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7da8c548fc56012/Documents/Projects/"/>
    </mc:Choice>
  </mc:AlternateContent>
  <xr:revisionPtr revIDLastSave="11" documentId="13_ncr:1_{3E587BC1-26E6-442A-9982-0A97BBE2DC73}" xr6:coauthVersionLast="47" xr6:coauthVersionMax="47" xr10:uidLastSave="{6505A1F8-6122-42E8-93AA-7956AC9211D8}"/>
  <bookViews>
    <workbookView xWindow="-110" yWindow="-110" windowWidth="19420" windowHeight="10300" activeTab="3" xr2:uid="{00000000-000D-0000-FFFF-FFFF00000000}"/>
  </bookViews>
  <sheets>
    <sheet name="Raw Sales Data" sheetId="1" r:id="rId1"/>
    <sheet name="Clean Sales Data" sheetId="6" r:id="rId2"/>
    <sheet name="Analysis" sheetId="7" r:id="rId3"/>
    <sheet name="Dashboard" sheetId="8" r:id="rId4"/>
  </sheets>
  <definedNames>
    <definedName name="_xlnm._FilterDatabase" localSheetId="1" hidden="1">'Clean Sales Data'!$A$1:$M$1001</definedName>
    <definedName name="_xlnm._FilterDatabase" localSheetId="0" hidden="1">'Raw Sales Data'!$A$1:$J$1002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6" l="1"/>
  <c r="L2" i="6"/>
  <c r="H53" i="7"/>
  <c r="H52" i="7"/>
  <c r="H51" i="7"/>
  <c r="H50" i="7"/>
  <c r="H49" i="7"/>
  <c r="H48" i="7"/>
  <c r="H47" i="7"/>
  <c r="H46" i="7"/>
  <c r="H45" i="7"/>
  <c r="H44" i="7"/>
  <c r="H43" i="7"/>
  <c r="H42" i="7"/>
  <c r="E89" i="7"/>
  <c r="E88" i="7"/>
  <c r="E87" i="7"/>
  <c r="E86" i="7"/>
  <c r="E85" i="7"/>
  <c r="E84" i="7"/>
  <c r="E83" i="7"/>
  <c r="E82" i="7"/>
  <c r="E81" i="7"/>
  <c r="E80" i="7"/>
  <c r="E79" i="7"/>
  <c r="E78" i="7"/>
  <c r="C10" i="7"/>
  <c r="G8" i="8" s="1"/>
  <c r="C9" i="7"/>
  <c r="C11" i="7" s="1"/>
  <c r="H8" i="8" s="1"/>
  <c r="C8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F8" i="8"/>
  <c r="E8" i="8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K1001" i="6"/>
  <c r="K1000" i="6"/>
  <c r="K999" i="6"/>
  <c r="K998" i="6"/>
  <c r="K997" i="6"/>
  <c r="K996" i="6"/>
  <c r="K995" i="6"/>
  <c r="K994" i="6"/>
  <c r="K993" i="6"/>
  <c r="K992" i="6"/>
  <c r="K991" i="6"/>
  <c r="K990" i="6"/>
  <c r="K989" i="6"/>
  <c r="K988" i="6"/>
  <c r="K987" i="6"/>
  <c r="K986" i="6"/>
  <c r="K985" i="6"/>
  <c r="K984" i="6"/>
  <c r="K983" i="6"/>
  <c r="K982" i="6"/>
  <c r="K981" i="6"/>
  <c r="K980" i="6"/>
  <c r="K979" i="6"/>
  <c r="K978" i="6"/>
  <c r="K977" i="6"/>
  <c r="K976" i="6"/>
  <c r="K975" i="6"/>
  <c r="K974" i="6"/>
  <c r="K973" i="6"/>
  <c r="K972" i="6"/>
  <c r="K971" i="6"/>
  <c r="K970" i="6"/>
  <c r="K969" i="6"/>
  <c r="K968" i="6"/>
  <c r="K967" i="6"/>
  <c r="K966" i="6"/>
  <c r="K965" i="6"/>
  <c r="K964" i="6"/>
  <c r="K963" i="6"/>
  <c r="K962" i="6"/>
  <c r="K961" i="6"/>
  <c r="K960" i="6"/>
  <c r="K959" i="6"/>
  <c r="K958" i="6"/>
  <c r="K957" i="6"/>
  <c r="K956" i="6"/>
  <c r="K955" i="6"/>
  <c r="K954" i="6"/>
  <c r="K953" i="6"/>
  <c r="K952" i="6"/>
  <c r="K951" i="6"/>
  <c r="K950" i="6"/>
  <c r="K949" i="6"/>
  <c r="K948" i="6"/>
  <c r="K947" i="6"/>
  <c r="K946" i="6"/>
  <c r="K945" i="6"/>
  <c r="K944" i="6"/>
  <c r="K943" i="6"/>
  <c r="K942" i="6"/>
  <c r="K941" i="6"/>
  <c r="K940" i="6"/>
  <c r="K939" i="6"/>
  <c r="K938" i="6"/>
  <c r="K937" i="6"/>
  <c r="K936" i="6"/>
  <c r="K935" i="6"/>
  <c r="K934" i="6"/>
  <c r="K933" i="6"/>
  <c r="K932" i="6"/>
  <c r="K931" i="6"/>
  <c r="K930" i="6"/>
  <c r="K929" i="6"/>
  <c r="K928" i="6"/>
  <c r="K927" i="6"/>
  <c r="K926" i="6"/>
  <c r="K925" i="6"/>
  <c r="K924" i="6"/>
  <c r="K923" i="6"/>
  <c r="K922" i="6"/>
  <c r="K921" i="6"/>
  <c r="K920" i="6"/>
  <c r="K919" i="6"/>
  <c r="K918" i="6"/>
  <c r="K917" i="6"/>
  <c r="K916" i="6"/>
  <c r="K915" i="6"/>
  <c r="K914" i="6"/>
  <c r="K913" i="6"/>
  <c r="K912" i="6"/>
  <c r="K911" i="6"/>
  <c r="K910" i="6"/>
  <c r="K909" i="6"/>
  <c r="K908" i="6"/>
  <c r="K907" i="6"/>
  <c r="K906" i="6"/>
  <c r="K905" i="6"/>
  <c r="K904" i="6"/>
  <c r="K903" i="6"/>
  <c r="K902" i="6"/>
  <c r="K901" i="6"/>
  <c r="K900" i="6"/>
  <c r="K899" i="6"/>
  <c r="K898" i="6"/>
  <c r="K897" i="6"/>
  <c r="K896" i="6"/>
  <c r="K895" i="6"/>
  <c r="K894" i="6"/>
  <c r="K893" i="6"/>
  <c r="K892" i="6"/>
  <c r="K891" i="6"/>
  <c r="K890" i="6"/>
  <c r="K889" i="6"/>
  <c r="K888" i="6"/>
  <c r="K887" i="6"/>
  <c r="K886" i="6"/>
  <c r="K885" i="6"/>
  <c r="K884" i="6"/>
  <c r="K883" i="6"/>
  <c r="K882" i="6"/>
  <c r="K881" i="6"/>
  <c r="K880" i="6"/>
  <c r="K879" i="6"/>
  <c r="K878" i="6"/>
  <c r="K877" i="6"/>
  <c r="K876" i="6"/>
  <c r="K875" i="6"/>
  <c r="K874" i="6"/>
  <c r="K873" i="6"/>
  <c r="K872" i="6"/>
  <c r="K871" i="6"/>
  <c r="K870" i="6"/>
  <c r="K869" i="6"/>
  <c r="K868" i="6"/>
  <c r="K867" i="6"/>
  <c r="K866" i="6"/>
  <c r="K865" i="6"/>
  <c r="K864" i="6"/>
  <c r="K863" i="6"/>
  <c r="K862" i="6"/>
  <c r="K861" i="6"/>
  <c r="K860" i="6"/>
  <c r="K859" i="6"/>
  <c r="K858" i="6"/>
  <c r="K857" i="6"/>
  <c r="K856" i="6"/>
  <c r="K855" i="6"/>
  <c r="K854" i="6"/>
  <c r="K853" i="6"/>
  <c r="K852" i="6"/>
  <c r="K851" i="6"/>
  <c r="K850" i="6"/>
  <c r="K849" i="6"/>
  <c r="K848" i="6"/>
  <c r="K847" i="6"/>
  <c r="K846" i="6"/>
  <c r="K845" i="6"/>
  <c r="K844" i="6"/>
  <c r="K843" i="6"/>
  <c r="K842" i="6"/>
  <c r="K841" i="6"/>
  <c r="K840" i="6"/>
  <c r="K839" i="6"/>
  <c r="K838" i="6"/>
  <c r="K837" i="6"/>
  <c r="K836" i="6"/>
  <c r="K835" i="6"/>
  <c r="K834" i="6"/>
  <c r="K833" i="6"/>
  <c r="K832" i="6"/>
  <c r="K831" i="6"/>
  <c r="K830" i="6"/>
  <c r="K829" i="6"/>
  <c r="K828" i="6"/>
  <c r="K827" i="6"/>
  <c r="K826" i="6"/>
  <c r="K825" i="6"/>
  <c r="K824" i="6"/>
  <c r="K823" i="6"/>
  <c r="K822" i="6"/>
  <c r="K821" i="6"/>
  <c r="K820" i="6"/>
  <c r="K819" i="6"/>
  <c r="K818" i="6"/>
  <c r="K817" i="6"/>
  <c r="K816" i="6"/>
  <c r="K815" i="6"/>
  <c r="K814" i="6"/>
  <c r="K813" i="6"/>
  <c r="K812" i="6"/>
  <c r="K811" i="6"/>
  <c r="K810" i="6"/>
  <c r="K809" i="6"/>
  <c r="K808" i="6"/>
  <c r="K807" i="6"/>
  <c r="K806" i="6"/>
  <c r="K805" i="6"/>
  <c r="K804" i="6"/>
  <c r="K803" i="6"/>
  <c r="K802" i="6"/>
  <c r="K801" i="6"/>
  <c r="K800" i="6"/>
  <c r="K799" i="6"/>
  <c r="K798" i="6"/>
  <c r="K797" i="6"/>
  <c r="K796" i="6"/>
  <c r="K795" i="6"/>
  <c r="K794" i="6"/>
  <c r="K793" i="6"/>
  <c r="K792" i="6"/>
  <c r="K791" i="6"/>
  <c r="K790" i="6"/>
  <c r="K789" i="6"/>
  <c r="K788" i="6"/>
  <c r="K787" i="6"/>
  <c r="K786" i="6"/>
  <c r="K785" i="6"/>
  <c r="K784" i="6"/>
  <c r="K783" i="6"/>
  <c r="K782" i="6"/>
  <c r="K781" i="6"/>
  <c r="K780" i="6"/>
  <c r="K779" i="6"/>
  <c r="K778" i="6"/>
  <c r="K777" i="6"/>
  <c r="K776" i="6"/>
  <c r="K775" i="6"/>
  <c r="K774" i="6"/>
  <c r="K773" i="6"/>
  <c r="K772" i="6"/>
  <c r="K771" i="6"/>
  <c r="K770" i="6"/>
  <c r="K769" i="6"/>
  <c r="K768" i="6"/>
  <c r="K767" i="6"/>
  <c r="K766" i="6"/>
  <c r="K765" i="6"/>
  <c r="K764" i="6"/>
  <c r="K763" i="6"/>
  <c r="K762" i="6"/>
  <c r="K761" i="6"/>
  <c r="K760" i="6"/>
  <c r="K759" i="6"/>
  <c r="K758" i="6"/>
  <c r="K757" i="6"/>
  <c r="K756" i="6"/>
  <c r="K755" i="6"/>
  <c r="K754" i="6"/>
  <c r="K753" i="6"/>
  <c r="K752" i="6"/>
  <c r="K751" i="6"/>
  <c r="K750" i="6"/>
  <c r="K749" i="6"/>
  <c r="K748" i="6"/>
  <c r="K747" i="6"/>
  <c r="K746" i="6"/>
  <c r="K745" i="6"/>
  <c r="K744" i="6"/>
  <c r="K743" i="6"/>
  <c r="K742" i="6"/>
  <c r="K741" i="6"/>
  <c r="K740" i="6"/>
  <c r="K739" i="6"/>
  <c r="K738" i="6"/>
  <c r="K737" i="6"/>
  <c r="K736" i="6"/>
  <c r="K735" i="6"/>
  <c r="K734" i="6"/>
  <c r="K733" i="6"/>
  <c r="K732" i="6"/>
  <c r="K731" i="6"/>
  <c r="K730" i="6"/>
  <c r="K729" i="6"/>
  <c r="K728" i="6"/>
  <c r="K727" i="6"/>
  <c r="K726" i="6"/>
  <c r="K725" i="6"/>
  <c r="K724" i="6"/>
  <c r="K723" i="6"/>
  <c r="K722" i="6"/>
  <c r="K721" i="6"/>
  <c r="K720" i="6"/>
  <c r="K719" i="6"/>
  <c r="K718" i="6"/>
  <c r="K717" i="6"/>
  <c r="K716" i="6"/>
  <c r="K715" i="6"/>
  <c r="K714" i="6"/>
  <c r="K713" i="6"/>
  <c r="K712" i="6"/>
  <c r="K711" i="6"/>
  <c r="K710" i="6"/>
  <c r="K709" i="6"/>
  <c r="K708" i="6"/>
  <c r="K707" i="6"/>
  <c r="K706" i="6"/>
  <c r="K705" i="6"/>
  <c r="K704" i="6"/>
  <c r="K703" i="6"/>
  <c r="K702" i="6"/>
  <c r="K701" i="6"/>
  <c r="K700" i="6"/>
  <c r="K699" i="6"/>
  <c r="K698" i="6"/>
  <c r="K697" i="6"/>
  <c r="K696" i="6"/>
  <c r="K695" i="6"/>
  <c r="K694" i="6"/>
  <c r="K693" i="6"/>
  <c r="K692" i="6"/>
  <c r="K691" i="6"/>
  <c r="K690" i="6"/>
  <c r="K689" i="6"/>
  <c r="K688" i="6"/>
  <c r="K687" i="6"/>
  <c r="K686" i="6"/>
  <c r="K685" i="6"/>
  <c r="K684" i="6"/>
  <c r="K683" i="6"/>
  <c r="K682" i="6"/>
  <c r="K681" i="6"/>
  <c r="K680" i="6"/>
  <c r="K679" i="6"/>
  <c r="K678" i="6"/>
  <c r="K677" i="6"/>
  <c r="K676" i="6"/>
  <c r="K675" i="6"/>
  <c r="K674" i="6"/>
  <c r="K673" i="6"/>
  <c r="K672" i="6"/>
  <c r="K671" i="6"/>
  <c r="K670" i="6"/>
  <c r="K669" i="6"/>
  <c r="K668" i="6"/>
  <c r="K667" i="6"/>
  <c r="K666" i="6"/>
  <c r="K665" i="6"/>
  <c r="K664" i="6"/>
  <c r="K663" i="6"/>
  <c r="K662" i="6"/>
  <c r="K661" i="6"/>
  <c r="K660" i="6"/>
  <c r="K659" i="6"/>
  <c r="K658" i="6"/>
  <c r="K657" i="6"/>
  <c r="K656" i="6"/>
  <c r="K655" i="6"/>
  <c r="K654" i="6"/>
  <c r="K653" i="6"/>
  <c r="K652" i="6"/>
  <c r="K651" i="6"/>
  <c r="K650" i="6"/>
  <c r="K649" i="6"/>
  <c r="K648" i="6"/>
  <c r="K647" i="6"/>
  <c r="K646" i="6"/>
  <c r="K645" i="6"/>
  <c r="K644" i="6"/>
  <c r="K643" i="6"/>
  <c r="K642" i="6"/>
  <c r="K641" i="6"/>
  <c r="K640" i="6"/>
  <c r="K639" i="6"/>
  <c r="K638" i="6"/>
  <c r="K637" i="6"/>
  <c r="K636" i="6"/>
  <c r="K635" i="6"/>
  <c r="K634" i="6"/>
  <c r="K633" i="6"/>
  <c r="K632" i="6"/>
  <c r="K631" i="6"/>
  <c r="K630" i="6"/>
  <c r="K629" i="6"/>
  <c r="K628" i="6"/>
  <c r="K627" i="6"/>
  <c r="K626" i="6"/>
  <c r="K625" i="6"/>
  <c r="K624" i="6"/>
  <c r="K623" i="6"/>
  <c r="K622" i="6"/>
  <c r="K621" i="6"/>
  <c r="K620" i="6"/>
  <c r="K619" i="6"/>
  <c r="K618" i="6"/>
  <c r="K617" i="6"/>
  <c r="K616" i="6"/>
  <c r="K615" i="6"/>
  <c r="K614" i="6"/>
  <c r="K613" i="6"/>
  <c r="K612" i="6"/>
  <c r="K611" i="6"/>
  <c r="K610" i="6"/>
  <c r="K609" i="6"/>
  <c r="K608" i="6"/>
  <c r="K607" i="6"/>
  <c r="K606" i="6"/>
  <c r="K605" i="6"/>
  <c r="K604" i="6"/>
  <c r="K603" i="6"/>
  <c r="K602" i="6"/>
  <c r="K601" i="6"/>
  <c r="K600" i="6"/>
  <c r="K599" i="6"/>
  <c r="K598" i="6"/>
  <c r="K597" i="6"/>
  <c r="K596" i="6"/>
  <c r="K595" i="6"/>
  <c r="K594" i="6"/>
  <c r="K593" i="6"/>
  <c r="K592" i="6"/>
  <c r="K591" i="6"/>
  <c r="K590" i="6"/>
  <c r="K589" i="6"/>
  <c r="K588" i="6"/>
  <c r="K587" i="6"/>
  <c r="K586" i="6"/>
  <c r="K585" i="6"/>
  <c r="K584" i="6"/>
  <c r="K583" i="6"/>
  <c r="K582" i="6"/>
  <c r="K581" i="6"/>
  <c r="K580" i="6"/>
  <c r="K579" i="6"/>
  <c r="K578" i="6"/>
  <c r="K577" i="6"/>
  <c r="K576" i="6"/>
  <c r="K575" i="6"/>
  <c r="K574" i="6"/>
  <c r="K573" i="6"/>
  <c r="K572" i="6"/>
  <c r="K571" i="6"/>
  <c r="K570" i="6"/>
  <c r="K569" i="6"/>
  <c r="K568" i="6"/>
  <c r="K567" i="6"/>
  <c r="K566" i="6"/>
  <c r="K565" i="6"/>
  <c r="K564" i="6"/>
  <c r="K563" i="6"/>
  <c r="K562" i="6"/>
  <c r="K561" i="6"/>
  <c r="K560" i="6"/>
  <c r="K559" i="6"/>
  <c r="K558" i="6"/>
  <c r="K557" i="6"/>
  <c r="K556" i="6"/>
  <c r="K555" i="6"/>
  <c r="K554" i="6"/>
  <c r="K553" i="6"/>
  <c r="K552" i="6"/>
  <c r="K551" i="6"/>
  <c r="K550" i="6"/>
  <c r="K549" i="6"/>
  <c r="K548" i="6"/>
  <c r="K547" i="6"/>
  <c r="K546" i="6"/>
  <c r="K545" i="6"/>
  <c r="K544" i="6"/>
  <c r="K543" i="6"/>
  <c r="K542" i="6"/>
  <c r="K541" i="6"/>
  <c r="K540" i="6"/>
  <c r="K539" i="6"/>
  <c r="K538" i="6"/>
  <c r="K537" i="6"/>
  <c r="K536" i="6"/>
  <c r="K535" i="6"/>
  <c r="K534" i="6"/>
  <c r="K533" i="6"/>
  <c r="K532" i="6"/>
  <c r="K531" i="6"/>
  <c r="K530" i="6"/>
  <c r="K529" i="6"/>
  <c r="K528" i="6"/>
  <c r="K527" i="6"/>
  <c r="K526" i="6"/>
  <c r="K525" i="6"/>
  <c r="K524" i="6"/>
  <c r="K523" i="6"/>
  <c r="K522" i="6"/>
  <c r="K521" i="6"/>
  <c r="K520" i="6"/>
  <c r="K519" i="6"/>
  <c r="K518" i="6"/>
  <c r="K517" i="6"/>
  <c r="K516" i="6"/>
  <c r="K515" i="6"/>
  <c r="K514" i="6"/>
  <c r="K513" i="6"/>
  <c r="K512" i="6"/>
  <c r="K511" i="6"/>
  <c r="K510" i="6"/>
  <c r="K509" i="6"/>
  <c r="K508" i="6"/>
  <c r="K507" i="6"/>
  <c r="K506" i="6"/>
  <c r="K505" i="6"/>
  <c r="K504" i="6"/>
  <c r="K503" i="6"/>
  <c r="K502" i="6"/>
  <c r="K501" i="6"/>
  <c r="K500" i="6"/>
  <c r="K499" i="6"/>
  <c r="K498" i="6"/>
  <c r="K497" i="6"/>
  <c r="K496" i="6"/>
  <c r="K495" i="6"/>
  <c r="K494" i="6"/>
  <c r="K493" i="6"/>
  <c r="K492" i="6"/>
  <c r="K491" i="6"/>
  <c r="K490" i="6"/>
  <c r="K489" i="6"/>
  <c r="K488" i="6"/>
  <c r="K487" i="6"/>
  <c r="K486" i="6"/>
  <c r="K485" i="6"/>
  <c r="K484" i="6"/>
  <c r="K483" i="6"/>
  <c r="K482" i="6"/>
  <c r="K481" i="6"/>
  <c r="K480" i="6"/>
  <c r="K479" i="6"/>
  <c r="K478" i="6"/>
  <c r="K477" i="6"/>
  <c r="K476" i="6"/>
  <c r="K475" i="6"/>
  <c r="K474" i="6"/>
  <c r="K473" i="6"/>
  <c r="K472" i="6"/>
  <c r="K471" i="6"/>
  <c r="K470" i="6"/>
  <c r="K469" i="6"/>
  <c r="K468" i="6"/>
  <c r="K467" i="6"/>
  <c r="K466" i="6"/>
  <c r="K465" i="6"/>
  <c r="K464" i="6"/>
  <c r="K463" i="6"/>
  <c r="K462" i="6"/>
  <c r="K461" i="6"/>
  <c r="K460" i="6"/>
  <c r="K459" i="6"/>
  <c r="K458" i="6"/>
  <c r="K457" i="6"/>
  <c r="K456" i="6"/>
  <c r="K455" i="6"/>
  <c r="K454" i="6"/>
  <c r="K453" i="6"/>
  <c r="K452" i="6"/>
  <c r="K451" i="6"/>
  <c r="K450" i="6"/>
  <c r="K449" i="6"/>
  <c r="K448" i="6"/>
  <c r="K447" i="6"/>
  <c r="K446" i="6"/>
  <c r="K445" i="6"/>
  <c r="K444" i="6"/>
  <c r="K443" i="6"/>
  <c r="K442" i="6"/>
  <c r="K441" i="6"/>
  <c r="K440" i="6"/>
  <c r="K439" i="6"/>
  <c r="K438" i="6"/>
  <c r="K437" i="6"/>
  <c r="K436" i="6"/>
  <c r="K435" i="6"/>
  <c r="K434" i="6"/>
  <c r="K433" i="6"/>
  <c r="K432" i="6"/>
  <c r="K431" i="6"/>
  <c r="K430" i="6"/>
  <c r="K429" i="6"/>
  <c r="K428" i="6"/>
  <c r="K427" i="6"/>
  <c r="K426" i="6"/>
  <c r="K425" i="6"/>
  <c r="K424" i="6"/>
  <c r="K423" i="6"/>
  <c r="K422" i="6"/>
  <c r="K421" i="6"/>
  <c r="K420" i="6"/>
  <c r="K419" i="6"/>
  <c r="K418" i="6"/>
  <c r="K417" i="6"/>
  <c r="K416" i="6"/>
  <c r="K415" i="6"/>
  <c r="K414" i="6"/>
  <c r="K413" i="6"/>
  <c r="K412" i="6"/>
  <c r="K411" i="6"/>
  <c r="K410" i="6"/>
  <c r="K409" i="6"/>
  <c r="K408" i="6"/>
  <c r="K407" i="6"/>
  <c r="K406" i="6"/>
  <c r="K405" i="6"/>
  <c r="K404" i="6"/>
  <c r="K403" i="6"/>
  <c r="K402" i="6"/>
  <c r="K401" i="6"/>
  <c r="K400" i="6"/>
  <c r="K399" i="6"/>
  <c r="K398" i="6"/>
  <c r="K397" i="6"/>
  <c r="K396" i="6"/>
  <c r="K395" i="6"/>
  <c r="K394" i="6"/>
  <c r="K393" i="6"/>
  <c r="K392" i="6"/>
  <c r="K391" i="6"/>
  <c r="K390" i="6"/>
  <c r="K389" i="6"/>
  <c r="K388" i="6"/>
  <c r="K387" i="6"/>
  <c r="K386" i="6"/>
  <c r="K385" i="6"/>
  <c r="K384" i="6"/>
  <c r="K383" i="6"/>
  <c r="K382" i="6"/>
  <c r="K381" i="6"/>
  <c r="K380" i="6"/>
  <c r="K379" i="6"/>
  <c r="K378" i="6"/>
  <c r="K377" i="6"/>
  <c r="K376" i="6"/>
  <c r="K375" i="6"/>
  <c r="K374" i="6"/>
  <c r="K373" i="6"/>
  <c r="K372" i="6"/>
  <c r="K371" i="6"/>
  <c r="K370" i="6"/>
  <c r="K369" i="6"/>
  <c r="K368" i="6"/>
  <c r="K367" i="6"/>
  <c r="K366" i="6"/>
  <c r="K365" i="6"/>
  <c r="K364" i="6"/>
  <c r="K363" i="6"/>
  <c r="K362" i="6"/>
  <c r="K361" i="6"/>
  <c r="K360" i="6"/>
  <c r="K359" i="6"/>
  <c r="K358" i="6"/>
  <c r="K357" i="6"/>
  <c r="K356" i="6"/>
  <c r="K355" i="6"/>
  <c r="K354" i="6"/>
  <c r="K353" i="6"/>
  <c r="K352" i="6"/>
  <c r="K351" i="6"/>
  <c r="K350" i="6"/>
  <c r="K349" i="6"/>
  <c r="K348" i="6"/>
  <c r="K347" i="6"/>
  <c r="K346" i="6"/>
  <c r="K345" i="6"/>
  <c r="K344" i="6"/>
  <c r="K343" i="6"/>
  <c r="K342" i="6"/>
  <c r="K341" i="6"/>
  <c r="K340" i="6"/>
  <c r="K339" i="6"/>
  <c r="K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E90" i="7" l="1"/>
  <c r="H54" i="7"/>
</calcChain>
</file>

<file path=xl/sharedStrings.xml><?xml version="1.0" encoding="utf-8"?>
<sst xmlns="http://schemas.openxmlformats.org/spreadsheetml/2006/main" count="10136" uniqueCount="1164">
  <si>
    <t>Order ID</t>
  </si>
  <si>
    <t>Order Date</t>
  </si>
  <si>
    <t>Customer</t>
  </si>
  <si>
    <t>Product</t>
  </si>
  <si>
    <t>Category</t>
  </si>
  <si>
    <t>Region</t>
  </si>
  <si>
    <t>Quantity</t>
  </si>
  <si>
    <t>Discount</t>
  </si>
  <si>
    <t>Sales</t>
  </si>
  <si>
    <t>Profit</t>
  </si>
  <si>
    <t>ORD-00001</t>
  </si>
  <si>
    <t>Customer 018</t>
  </si>
  <si>
    <t>Wireless Mouse</t>
  </si>
  <si>
    <t>Technology</t>
  </si>
  <si>
    <t>North</t>
  </si>
  <si>
    <t>ORD-00002</t>
  </si>
  <si>
    <t>Customer 005</t>
  </si>
  <si>
    <t>Coffee Table</t>
  </si>
  <si>
    <t>Furniture</t>
  </si>
  <si>
    <t>ORD-00003</t>
  </si>
  <si>
    <t>Customer 072</t>
  </si>
  <si>
    <t>Desk Lamp</t>
  </si>
  <si>
    <t>South</t>
  </si>
  <si>
    <t>ORD-00004</t>
  </si>
  <si>
    <t>Customer 076</t>
  </si>
  <si>
    <t>East</t>
  </si>
  <si>
    <t>ORD-00005</t>
  </si>
  <si>
    <t>Customer 028</t>
  </si>
  <si>
    <t>Office Chair</t>
  </si>
  <si>
    <t>ORD-00006</t>
  </si>
  <si>
    <t>Customer 045</t>
  </si>
  <si>
    <t>ORD-00007</t>
  </si>
  <si>
    <t>Customer 049</t>
  </si>
  <si>
    <t>ORD-00008</t>
  </si>
  <si>
    <t>Customer 091</t>
  </si>
  <si>
    <t>Smartphone X</t>
  </si>
  <si>
    <t>ORD-00009</t>
  </si>
  <si>
    <t>Customer 030</t>
  </si>
  <si>
    <t>Monitor 24</t>
  </si>
  <si>
    <t>ORD-00010</t>
  </si>
  <si>
    <t>Customer 046</t>
  </si>
  <si>
    <t>ORD-00011</t>
  </si>
  <si>
    <t>Customer 069</t>
  </si>
  <si>
    <t>ORD-00012</t>
  </si>
  <si>
    <t>Customer 082</t>
  </si>
  <si>
    <t>Notebook Pack</t>
  </si>
  <si>
    <t>Office Supplies</t>
  </si>
  <si>
    <t>ORD-00013</t>
  </si>
  <si>
    <t>Customer 041</t>
  </si>
  <si>
    <t>Keyboard</t>
  </si>
  <si>
    <t>West</t>
  </si>
  <si>
    <t>ORD-00014</t>
  </si>
  <si>
    <t>ORD-00015</t>
  </si>
  <si>
    <t>ORD-00016</t>
  </si>
  <si>
    <t>Customer 075</t>
  </si>
  <si>
    <t>Printer</t>
  </si>
  <si>
    <t>ORD-00017</t>
  </si>
  <si>
    <t>Customer 097</t>
  </si>
  <si>
    <t>ORD-00018</t>
  </si>
  <si>
    <t>Customer 050</t>
  </si>
  <si>
    <t>south</t>
  </si>
  <si>
    <t>ORD-00019</t>
  </si>
  <si>
    <t>Customer 002</t>
  </si>
  <si>
    <t>ORD-00020</t>
  </si>
  <si>
    <t>Customer 056</t>
  </si>
  <si>
    <t>ORD-00021</t>
  </si>
  <si>
    <t>Customer 065</t>
  </si>
  <si>
    <t>Laptop Pro 15</t>
  </si>
  <si>
    <t>ORD-00022</t>
  </si>
  <si>
    <t>Customer 048</t>
  </si>
  <si>
    <t>ORD-00023</t>
  </si>
  <si>
    <t>Customer 003</t>
  </si>
  <si>
    <t>ORD-00024</t>
  </si>
  <si>
    <t>Customer 073</t>
  </si>
  <si>
    <t>ORD-00025</t>
  </si>
  <si>
    <t>ORD-00026</t>
  </si>
  <si>
    <t>Customer 068</t>
  </si>
  <si>
    <t>ORD-00027</t>
  </si>
  <si>
    <t>Customer 086</t>
  </si>
  <si>
    <t>ORD-00028</t>
  </si>
  <si>
    <t>Customer 009</t>
  </si>
  <si>
    <t>ORD-00029</t>
  </si>
  <si>
    <t>Customer 001</t>
  </si>
  <si>
    <t>Desk Organizer</t>
  </si>
  <si>
    <t>ORD-00030</t>
  </si>
  <si>
    <t>ORD-00031</t>
  </si>
  <si>
    <t>ORD-00032</t>
  </si>
  <si>
    <t>Customer 053</t>
  </si>
  <si>
    <t>ORD-00033</t>
  </si>
  <si>
    <t>Customer 060</t>
  </si>
  <si>
    <t>ORD-00034</t>
  </si>
  <si>
    <t>Customer 044</t>
  </si>
  <si>
    <t>ORD-00035</t>
  </si>
  <si>
    <t>Customer 055</t>
  </si>
  <si>
    <t>ORD-00036</t>
  </si>
  <si>
    <t>Customer 071</t>
  </si>
  <si>
    <t>ORD-00037</t>
  </si>
  <si>
    <t>ORD-00038</t>
  </si>
  <si>
    <t>Customer 052</t>
  </si>
  <si>
    <t>Bookshelf</t>
  </si>
  <si>
    <t>ORD-00039</t>
  </si>
  <si>
    <t>Customer 059</t>
  </si>
  <si>
    <t>ORD-00040</t>
  </si>
  <si>
    <t>Customer 038</t>
  </si>
  <si>
    <t>ORD-00041</t>
  </si>
  <si>
    <t>Customer 008</t>
  </si>
  <si>
    <t>ORD-00042</t>
  </si>
  <si>
    <t>Customer 066</t>
  </si>
  <si>
    <t>ORD-00043</t>
  </si>
  <si>
    <t>Customer 031</t>
  </si>
  <si>
    <t>ORD-00044</t>
  </si>
  <si>
    <t>Customer 080</t>
  </si>
  <si>
    <t>ORD-00045</t>
  </si>
  <si>
    <t>Customer 034</t>
  </si>
  <si>
    <t>ORD-00046</t>
  </si>
  <si>
    <t>Customer 017</t>
  </si>
  <si>
    <t>ORD-00047</t>
  </si>
  <si>
    <t>ORD-00048</t>
  </si>
  <si>
    <t>ORD-00049</t>
  </si>
  <si>
    <t>Customer 070</t>
  </si>
  <si>
    <t>ORD-00050</t>
  </si>
  <si>
    <t>ORD-00051</t>
  </si>
  <si>
    <t>Customer 014</t>
  </si>
  <si>
    <t>ORD-00052</t>
  </si>
  <si>
    <t>Customer 027</t>
  </si>
  <si>
    <t>ORD-00053</t>
  </si>
  <si>
    <t>ORD-00054</t>
  </si>
  <si>
    <t>ORD-00055</t>
  </si>
  <si>
    <t>Customer 010</t>
  </si>
  <si>
    <t>ORD-00056</t>
  </si>
  <si>
    <t>ORD-00057</t>
  </si>
  <si>
    <t>ORD-00058</t>
  </si>
  <si>
    <t>ORD-00059</t>
  </si>
  <si>
    <t>Customer 095</t>
  </si>
  <si>
    <t>ORD-00060</t>
  </si>
  <si>
    <t>Customer 090</t>
  </si>
  <si>
    <t>ORD-00061</t>
  </si>
  <si>
    <t>ORD-00062</t>
  </si>
  <si>
    <t>ORD-00063</t>
  </si>
  <si>
    <t>ORD-00064</t>
  </si>
  <si>
    <t>ORD-00065</t>
  </si>
  <si>
    <t>ORD-00066</t>
  </si>
  <si>
    <t>Customer 025</t>
  </si>
  <si>
    <t>ORD-00067</t>
  </si>
  <si>
    <t>ORD-00068</t>
  </si>
  <si>
    <t>Customer 085</t>
  </si>
  <si>
    <t>ORD-00069</t>
  </si>
  <si>
    <t>ORD-00070</t>
  </si>
  <si>
    <t>ORD-00071</t>
  </si>
  <si>
    <t>ORD-00072</t>
  </si>
  <si>
    <t>Customer 042</t>
  </si>
  <si>
    <t>ORD-00073</t>
  </si>
  <si>
    <t>ORD-00074</t>
  </si>
  <si>
    <t>ORD-00075</t>
  </si>
  <si>
    <t>Customer 019</t>
  </si>
  <si>
    <t>ORD-00076</t>
  </si>
  <si>
    <t>ORD-00077</t>
  </si>
  <si>
    <t>ORD-00078</t>
  </si>
  <si>
    <t>Customer 099</t>
  </si>
  <si>
    <t>ORD-00079</t>
  </si>
  <si>
    <t>ORD-00080</t>
  </si>
  <si>
    <t>ORD-00081</t>
  </si>
  <si>
    <t>ORD-00082</t>
  </si>
  <si>
    <t>Customer 032</t>
  </si>
  <si>
    <t>ORD-00083</t>
  </si>
  <si>
    <t>Customer 092</t>
  </si>
  <si>
    <t>ORD-00084</t>
  </si>
  <si>
    <t>Customer 011</t>
  </si>
  <si>
    <t>ORD-00085</t>
  </si>
  <si>
    <t>ORD-00086</t>
  </si>
  <si>
    <t>ORD-00087</t>
  </si>
  <si>
    <t>ORD-00088</t>
  </si>
  <si>
    <t>ORD-00089</t>
  </si>
  <si>
    <t xml:space="preserve">Technology </t>
  </si>
  <si>
    <t>ORD-00090</t>
  </si>
  <si>
    <t>ORD-00091</t>
  </si>
  <si>
    <t>ORD-00092</t>
  </si>
  <si>
    <t>ORD-00093</t>
  </si>
  <si>
    <t>Customer 054</t>
  </si>
  <si>
    <t>ORD-00094</t>
  </si>
  <si>
    <t>ORD-00095</t>
  </si>
  <si>
    <t>Customer 026</t>
  </si>
  <si>
    <t>ORD-00096</t>
  </si>
  <si>
    <t>Customer 015</t>
  </si>
  <si>
    <t>ORD-00097</t>
  </si>
  <si>
    <t>Customer 078</t>
  </si>
  <si>
    <t>ORD-00098</t>
  </si>
  <si>
    <t>Customer 040</t>
  </si>
  <si>
    <t>ORD-00099</t>
  </si>
  <si>
    <t>Customer 081</t>
  </si>
  <si>
    <t>ORD-00100</t>
  </si>
  <si>
    <t>ORD-00101</t>
  </si>
  <si>
    <t>Customer 083</t>
  </si>
  <si>
    <t>ORD-00102</t>
  </si>
  <si>
    <t>Customer 047</t>
  </si>
  <si>
    <t>ORD-00103</t>
  </si>
  <si>
    <t>Customer 084</t>
  </si>
  <si>
    <t>ORD-00104</t>
  </si>
  <si>
    <t>Customer 094</t>
  </si>
  <si>
    <t>ORD-00105</t>
  </si>
  <si>
    <t>ORD-00106</t>
  </si>
  <si>
    <t>ORD-00107</t>
  </si>
  <si>
    <t>Customer 077</t>
  </si>
  <si>
    <t>ORD-00108</t>
  </si>
  <si>
    <t>Customer 093</t>
  </si>
  <si>
    <t>ORD-00109</t>
  </si>
  <si>
    <t>Customer 063</t>
  </si>
  <si>
    <t>ORD-00110</t>
  </si>
  <si>
    <t>ORD-00111</t>
  </si>
  <si>
    <t>ORD-00112</t>
  </si>
  <si>
    <t>Customer 033</t>
  </si>
  <si>
    <t>ORD-00113</t>
  </si>
  <si>
    <t>ORD-00114</t>
  </si>
  <si>
    <t>Customer 098</t>
  </si>
  <si>
    <t>ORD-00115</t>
  </si>
  <si>
    <t>Customer 039</t>
  </si>
  <si>
    <t>ORD-00116</t>
  </si>
  <si>
    <t>Customer 007</t>
  </si>
  <si>
    <t>ORD-00117</t>
  </si>
  <si>
    <t>Customer 074</t>
  </si>
  <si>
    <t>ORD-00118</t>
  </si>
  <si>
    <t>ORD-00119</t>
  </si>
  <si>
    <t>ORD-00120</t>
  </si>
  <si>
    <t>ORD-00121</t>
  </si>
  <si>
    <t>Customer 029</t>
  </si>
  <si>
    <t>ORD-00122</t>
  </si>
  <si>
    <t>ORD-00123</t>
  </si>
  <si>
    <t>ORD-00124</t>
  </si>
  <si>
    <t>ORD-00125</t>
  </si>
  <si>
    <t>ORD-00126</t>
  </si>
  <si>
    <t>ORD-00127</t>
  </si>
  <si>
    <t>Customer 035</t>
  </si>
  <si>
    <t>ORD-00128</t>
  </si>
  <si>
    <t>ORD-00129</t>
  </si>
  <si>
    <t>ORD-00130</t>
  </si>
  <si>
    <t>ORD-00131</t>
  </si>
  <si>
    <t>Customer 087</t>
  </si>
  <si>
    <t>ORD-00132</t>
  </si>
  <si>
    <t>Customer 023</t>
  </si>
  <si>
    <t>ORD-00133</t>
  </si>
  <si>
    <t>ORD-00134</t>
  </si>
  <si>
    <t>Customer 043</t>
  </si>
  <si>
    <t>ORD-00135</t>
  </si>
  <si>
    <t>Customer 064</t>
  </si>
  <si>
    <t>ORD-00136</t>
  </si>
  <si>
    <t>ORD-00137</t>
  </si>
  <si>
    <t>ORD-00138</t>
  </si>
  <si>
    <t>ORD-00139</t>
  </si>
  <si>
    <t>ORD-00140</t>
  </si>
  <si>
    <t>ORD-00141</t>
  </si>
  <si>
    <t>ORD-00142</t>
  </si>
  <si>
    <t>Customer 020</t>
  </si>
  <si>
    <t>ORD-00143</t>
  </si>
  <si>
    <t>Customer 061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</si>
  <si>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</si>
  <si>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</si>
  <si>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</si>
  <si>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</si>
  <si>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</si>
  <si>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</si>
  <si>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</si>
  <si>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</si>
  <si>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</si>
  <si>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</si>
  <si>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</si>
  <si>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</si>
  <si>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</si>
  <si>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</si>
  <si>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</si>
  <si>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Customer 024</t>
  </si>
  <si>
    <t>ORD-00159</t>
  </si>
  <si>
    <t>ORD-00160</t>
  </si>
  <si>
    <t>ORD-00161</t>
  </si>
  <si>
    <t>Customer 021</t>
  </si>
  <si>
    <t>ORD-00162</t>
  </si>
  <si>
    <t>ORD-00163</t>
  </si>
  <si>
    <t>ORD-00164</t>
  </si>
  <si>
    <t>ORD-00165</t>
  </si>
  <si>
    <t>Customer 088</t>
  </si>
  <si>
    <t>ORD-00166</t>
  </si>
  <si>
    <t>ORD-00167</t>
  </si>
  <si>
    <t>ORD-00168</t>
  </si>
  <si>
    <t>ORD-00169</t>
  </si>
  <si>
    <t>ORD-00170</t>
  </si>
  <si>
    <t>ORD-00171</t>
  </si>
  <si>
    <t>ORD-00172</t>
  </si>
  <si>
    <t>Customer 051</t>
  </si>
  <si>
    <t>ORD-00173</t>
  </si>
  <si>
    <t>Customer 096</t>
  </si>
  <si>
    <t>ORD-00174</t>
  </si>
  <si>
    <t>ORD-00175</t>
  </si>
  <si>
    <t>ORD-00176</t>
  </si>
  <si>
    <t>ORD-00177</t>
  </si>
  <si>
    <t>ORD-00178</t>
  </si>
  <si>
    <t>ORD-00179</t>
  </si>
  <si>
    <t>Customer 036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</si>
  <si>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</si>
  <si>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</si>
  <si>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</si>
  <si>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</si>
  <si>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</si>
  <si>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</si>
  <si>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</si>
  <si>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</si>
  <si>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</si>
  <si>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</si>
  <si>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</si>
  <si>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</si>
  <si>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</si>
  <si>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</si>
  <si>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</si>
  <si>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</si>
  <si>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</si>
  <si>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</si>
  <si>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</si>
  <si>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Customer 012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</si>
  <si>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</si>
  <si>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</si>
  <si>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</si>
  <si>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</si>
  <si>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</si>
  <si>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</si>
  <si>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</si>
  <si>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</si>
  <si>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</si>
  <si>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</si>
  <si>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</si>
  <si>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</si>
  <si>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</si>
  <si>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</si>
  <si>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</si>
  <si>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</si>
  <si>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</si>
  <si>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</si>
  <si>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</si>
  <si>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</si>
  <si>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</si>
  <si>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</si>
  <si>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</si>
  <si>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</si>
  <si>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</si>
  <si>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</si>
  <si>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Customer 057</t>
  </si>
  <si>
    <t>ORD-00225</t>
  </si>
  <si>
    <t>ORD-00226</t>
  </si>
  <si>
    <t>ORD-00227</t>
  </si>
  <si>
    <t>ORD-00228</t>
  </si>
  <si>
    <t>ORD-00229</t>
  </si>
  <si>
    <t>ORD-00230</t>
  </si>
  <si>
    <t>Customer 079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</si>
  <si>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</si>
  <si>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</si>
  <si>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</si>
  <si>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</si>
  <si>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</si>
  <si>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</si>
  <si>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</si>
  <si>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</si>
  <si>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</si>
  <si>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</si>
  <si>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Customer 006</t>
  </si>
  <si>
    <t>ORD-00241</t>
  </si>
  <si>
    <t>ORD-00242</t>
  </si>
  <si>
    <t>ORD-00243</t>
  </si>
  <si>
    <t>Customer 037</t>
  </si>
  <si>
    <t>ORD-00244</t>
  </si>
  <si>
    <t>ORD-00245</t>
  </si>
  <si>
    <t>ORD-00246</t>
  </si>
  <si>
    <t>ORD-00247</t>
  </si>
  <si>
    <t>Customer 004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</si>
  <si>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</si>
  <si>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</si>
  <si>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</si>
  <si>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</si>
  <si>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</si>
  <si>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</si>
  <si>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</si>
  <si>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</si>
  <si>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</si>
  <si>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</si>
  <si>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</si>
  <si>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</si>
  <si>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</si>
  <si>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</si>
  <si>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</si>
  <si>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</si>
  <si>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</si>
  <si>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Customer 100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</si>
  <si>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</si>
  <si>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</si>
  <si>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</si>
  <si>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</si>
  <si>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</si>
  <si>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</si>
  <si>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</si>
  <si>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</si>
  <si>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</si>
  <si>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</si>
  <si>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</si>
  <si>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</si>
  <si>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</si>
  <si>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</si>
  <si>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</si>
  <si>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</si>
  <si>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Customer 016</t>
  </si>
  <si>
    <t>ORD-00281</t>
  </si>
  <si>
    <t>ORD-00282</t>
  </si>
  <si>
    <t>ORD-00283</t>
  </si>
  <si>
    <t>ORD-00284</t>
  </si>
  <si>
    <t>Customer 067</t>
  </si>
  <si>
    <t>ORD-00285</t>
  </si>
  <si>
    <t>ORD-00286</t>
  </si>
  <si>
    <t>Customer 022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</si>
  <si>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</si>
  <si>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</si>
  <si>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</si>
  <si>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</si>
  <si>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</si>
  <si>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</si>
  <si>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</si>
  <si>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</si>
  <si>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</si>
  <si>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</si>
  <si>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</si>
  <si>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</si>
  <si>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</si>
  <si>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</si>
  <si>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</si>
  <si>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</si>
  <si>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</si>
  <si>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</si>
  <si>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</si>
  <si>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</si>
  <si>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</si>
  <si>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</si>
  <si>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</si>
  <si>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</si>
  <si>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</si>
  <si>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</si>
  <si>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</si>
  <si>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</si>
  <si>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</si>
  <si>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</si>
  <si>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</si>
  <si>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</si>
  <si>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</si>
  <si>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</si>
  <si>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</si>
  <si>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</si>
  <si>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</si>
  <si>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</si>
  <si>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</si>
  <si>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</si>
  <si>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</si>
  <si>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</si>
  <si>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</si>
  <si>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</si>
  <si>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</si>
  <si>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</si>
  <si>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</si>
  <si>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</si>
  <si>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</si>
  <si>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</si>
  <si>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</si>
  <si>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</si>
  <si>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</si>
  <si>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</si>
  <si>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</si>
  <si>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</si>
  <si>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</si>
  <si>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</si>
  <si>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</si>
  <si>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</si>
  <si>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</si>
  <si>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</si>
  <si>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</si>
  <si>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</si>
  <si>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</si>
  <si>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</si>
  <si>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</si>
  <si>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</si>
  <si>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</si>
  <si>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</si>
  <si>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Customer 058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</si>
  <si>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</si>
  <si>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</si>
  <si>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</si>
  <si>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</si>
  <si>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</si>
  <si>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</si>
  <si>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</si>
  <si>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</si>
  <si>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</si>
  <si>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</si>
  <si>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</si>
  <si>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</si>
  <si>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</si>
  <si>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</si>
  <si>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</si>
  <si>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</si>
  <si>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</si>
  <si>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</si>
  <si>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</si>
  <si>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</si>
  <si>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</si>
  <si>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</si>
  <si>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</si>
  <si>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</si>
  <si>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</si>
  <si>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</si>
  <si>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</si>
  <si>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</si>
  <si>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</si>
  <si>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</si>
  <si>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</si>
  <si>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Customer 089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</si>
  <si>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</si>
  <si>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</si>
  <si>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</si>
  <si>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</si>
  <si>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</si>
  <si>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</si>
  <si>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</si>
  <si>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</si>
  <si>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</si>
  <si>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</si>
  <si>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</si>
  <si>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</si>
  <si>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</si>
  <si>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</si>
  <si>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</si>
  <si>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</si>
  <si>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</si>
  <si>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</si>
  <si>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</si>
  <si>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</si>
  <si>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</si>
  <si>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</si>
  <si>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</si>
  <si>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</si>
  <si>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</si>
  <si>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</si>
  <si>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</si>
  <si>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</si>
  <si>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</si>
  <si>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</si>
  <si>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</si>
  <si>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</si>
  <si>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</si>
  <si>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</si>
  <si>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</si>
  <si>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</si>
  <si>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</si>
  <si>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</si>
  <si>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</si>
  <si>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</si>
  <si>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</si>
  <si>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</si>
  <si>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</si>
  <si>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</si>
  <si>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</si>
  <si>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</si>
  <si>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</si>
  <si>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</si>
  <si>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</si>
  <si>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</si>
  <si>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</si>
  <si>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</si>
  <si>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</si>
  <si>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</si>
  <si>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</si>
  <si>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</si>
  <si>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</si>
  <si>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</si>
  <si>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</si>
  <si>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</si>
  <si>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</si>
  <si>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</si>
  <si>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</si>
  <si>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</si>
  <si>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</si>
  <si>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</si>
  <si>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</si>
  <si>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</si>
  <si>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</si>
  <si>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</si>
  <si>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</si>
  <si>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</si>
  <si>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</si>
  <si>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</si>
  <si>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</si>
  <si>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</si>
  <si>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</si>
  <si>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</si>
  <si>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</si>
  <si>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</si>
  <si>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</si>
  <si>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</si>
  <si>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</si>
  <si>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</si>
  <si>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</si>
  <si>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</si>
  <si>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</si>
  <si>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</si>
  <si>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</si>
  <si>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</si>
  <si>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</si>
  <si>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</si>
  <si>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</si>
  <si>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</si>
  <si>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</si>
  <si>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</si>
  <si>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</si>
  <si>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</si>
  <si>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</si>
  <si>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</si>
  <si>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</si>
  <si>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</si>
  <si>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</si>
  <si>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</si>
  <si>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</si>
  <si>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</si>
  <si>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</si>
  <si>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</si>
  <si>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</si>
  <si>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</si>
  <si>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</si>
  <si>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</si>
  <si>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</si>
  <si>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</si>
  <si>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</si>
  <si>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</si>
  <si>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</si>
  <si>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</si>
  <si>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</si>
  <si>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</si>
  <si>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</si>
  <si>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</si>
  <si>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</si>
  <si>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</si>
  <si>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</si>
  <si>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Customer 062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</si>
  <si>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</si>
  <si>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</si>
  <si>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</si>
  <si>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</si>
  <si>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</si>
  <si>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</si>
  <si>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</si>
  <si>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</si>
  <si>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</si>
  <si>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</si>
  <si>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</si>
  <si>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</si>
  <si>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</si>
  <si>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</si>
  <si>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</si>
  <si>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</si>
  <si>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</si>
  <si>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</si>
  <si>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</si>
  <si>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</si>
  <si>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</si>
  <si>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</si>
  <si>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</si>
  <si>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</si>
  <si>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</si>
  <si>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</si>
  <si>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</si>
  <si>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</si>
  <si>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</si>
  <si>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</si>
  <si>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</si>
  <si>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</si>
  <si>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</si>
  <si>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</si>
  <si>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</si>
  <si>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</si>
  <si>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</si>
  <si>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</si>
  <si>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</si>
  <si>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</si>
  <si>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</si>
  <si>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</si>
  <si>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</si>
  <si>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</si>
  <si>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</si>
  <si>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</si>
  <si>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</si>
  <si>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</si>
  <si>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</si>
  <si>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</si>
  <si>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</si>
  <si>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</si>
  <si>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</si>
  <si>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</si>
  <si>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</si>
  <si>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</si>
  <si>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</si>
  <si>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</si>
  <si>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</si>
  <si>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</si>
  <si>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</si>
  <si>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</si>
  <si>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</si>
  <si>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</si>
  <si>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</si>
  <si>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</si>
  <si>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</si>
  <si>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</si>
  <si>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</si>
  <si>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</si>
  <si>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</si>
  <si>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</si>
  <si>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</si>
  <si>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</si>
  <si>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</si>
  <si>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</si>
  <si>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</si>
  <si>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</si>
  <si>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</si>
  <si>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</si>
  <si>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</si>
  <si>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</si>
  <si>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</si>
  <si>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</si>
  <si>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</si>
  <si>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</si>
  <si>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</si>
  <si>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</si>
  <si>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</si>
  <si>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</si>
  <si>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</si>
  <si>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Customer 013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</si>
  <si>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</si>
  <si>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</si>
  <si>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</si>
  <si>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</si>
  <si>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</si>
  <si>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</si>
  <si>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</si>
  <si>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</si>
  <si>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</si>
  <si>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</si>
  <si>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</si>
  <si>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</si>
  <si>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</si>
  <si>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</si>
  <si>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</si>
  <si>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</si>
  <si>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</si>
  <si>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</si>
  <si>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</si>
  <si>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</si>
  <si>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</si>
  <si>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</si>
  <si>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</si>
  <si>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</si>
  <si>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</si>
  <si>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</si>
  <si>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</si>
  <si>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</si>
  <si>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</si>
  <si>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</si>
  <si>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</si>
  <si>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</si>
  <si>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</si>
  <si>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</si>
  <si>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</si>
  <si>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</si>
  <si>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</si>
  <si>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</si>
  <si>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</si>
  <si>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</si>
  <si>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</si>
  <si>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</si>
  <si>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</si>
  <si>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</si>
  <si>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</si>
  <si>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</si>
  <si>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</si>
  <si>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</si>
  <si>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</si>
  <si>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</si>
  <si>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</si>
  <si>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</si>
  <si>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</si>
  <si>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</si>
  <si>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</si>
  <si>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</si>
  <si>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</si>
  <si>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</si>
  <si>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</si>
  <si>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</si>
  <si>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</si>
  <si>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</si>
  <si>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</si>
  <si>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</si>
  <si>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</si>
  <si>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</si>
  <si>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</si>
  <si>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</si>
  <si>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</si>
  <si>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</si>
  <si>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</si>
  <si>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</si>
  <si>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</si>
  <si>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</si>
  <si>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</si>
  <si>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</si>
  <si>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</si>
  <si>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</si>
  <si>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</si>
  <si>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</si>
  <si>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</si>
  <si>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</si>
  <si>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</si>
  <si>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</si>
  <si>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</si>
  <si>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</si>
  <si>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</si>
  <si>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</si>
  <si>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</si>
  <si>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</si>
  <si>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</si>
  <si>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</si>
  <si>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</si>
  <si>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</si>
  <si>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</si>
  <si>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</si>
  <si>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</si>
  <si>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</si>
  <si>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</si>
  <si>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</si>
  <si>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</si>
  <si>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</si>
  <si>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</si>
  <si>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</si>
  <si>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</si>
  <si>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</si>
  <si>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</si>
  <si>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</si>
  <si>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</si>
  <si>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</si>
  <si>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</si>
  <si>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</si>
  <si>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</si>
  <si>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</si>
  <si>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</si>
  <si>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</si>
  <si>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</si>
  <si>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</si>
  <si>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</si>
  <si>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</si>
  <si>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</si>
  <si>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</si>
  <si>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</si>
  <si>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</si>
  <si>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</si>
  <si>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</si>
  <si>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</si>
  <si>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</si>
  <si>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</si>
  <si>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</si>
  <si>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</si>
  <si>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</si>
  <si>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</si>
  <si>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</si>
  <si>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</si>
  <si>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</si>
  <si>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</si>
  <si>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</si>
  <si>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</si>
  <si>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</si>
  <si>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</si>
  <si>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</si>
  <si>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</si>
  <si>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</si>
  <si>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</si>
  <si>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</si>
  <si>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</si>
  <si>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</si>
  <si>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</si>
  <si>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</si>
  <si>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</si>
  <si>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</si>
  <si>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</si>
  <si>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</si>
  <si>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</si>
  <si>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</si>
  <si>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</si>
  <si>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</si>
  <si>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</si>
  <si>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</si>
  <si>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</si>
  <si>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</si>
  <si>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</si>
  <si>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</si>
  <si>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</si>
  <si>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</si>
  <si>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</si>
  <si>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</si>
  <si>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</si>
  <si>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</si>
  <si>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</si>
  <si>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</si>
  <si>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</si>
  <si>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</si>
  <si>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</si>
  <si>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</si>
  <si>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</si>
  <si>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</si>
  <si>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</si>
  <si>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</si>
  <si>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</si>
  <si>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</si>
  <si>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</si>
  <si>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</si>
  <si>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</si>
  <si>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</si>
  <si>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</si>
  <si>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</si>
  <si>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</si>
  <si>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</si>
  <si>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</si>
  <si>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</si>
  <si>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</si>
  <si>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</si>
  <si>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</si>
  <si>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</si>
  <si>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</si>
  <si>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</si>
  <si>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</si>
  <si>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</si>
  <si>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</si>
  <si>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</si>
  <si>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</si>
  <si>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</si>
  <si>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</si>
  <si>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</si>
  <si>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</si>
  <si>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</si>
  <si>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</si>
  <si>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</si>
  <si>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</si>
  <si>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</si>
  <si>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</si>
  <si>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</si>
  <si>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</si>
  <si>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</si>
  <si>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</si>
  <si>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</si>
  <si>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</si>
  <si>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</si>
  <si>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</si>
  <si>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</si>
  <si>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</si>
  <si>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</si>
  <si>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</si>
  <si>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</si>
  <si>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</si>
  <si>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</si>
  <si>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</si>
  <si>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</si>
  <si>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</si>
  <si>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</si>
  <si>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</si>
  <si>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</si>
  <si>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</si>
  <si>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</si>
  <si>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</si>
  <si>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</si>
  <si>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</si>
  <si>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</si>
  <si>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</si>
  <si>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</si>
  <si>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</si>
  <si>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</si>
  <si>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</si>
  <si>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</si>
  <si>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</si>
  <si>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</si>
  <si>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</si>
  <si>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</si>
  <si>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</si>
  <si>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</si>
  <si>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</si>
  <si>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</si>
  <si>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</si>
  <si>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</si>
  <si>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</si>
  <si>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</si>
  <si>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</si>
  <si>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</si>
  <si>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</si>
  <si>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</si>
  <si>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</si>
  <si>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</si>
  <si>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</si>
  <si>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</si>
  <si>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</si>
  <si>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</si>
  <si>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</si>
  <si>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</si>
  <si>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</si>
  <si>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</si>
  <si>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</si>
  <si>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</si>
  <si>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</si>
  <si>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</si>
  <si>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</si>
  <si>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</si>
  <si>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</si>
  <si>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</si>
  <si>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</si>
  <si>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</si>
  <si>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</si>
  <si>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</si>
  <si>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</si>
  <si>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</si>
  <si>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</si>
  <si>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</si>
  <si>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</si>
  <si>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</si>
  <si>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</si>
  <si>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</si>
  <si>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</si>
  <si>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</si>
  <si>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</si>
  <si>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</si>
  <si>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</si>
  <si>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</si>
  <si>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</si>
  <si>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</si>
  <si>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</si>
  <si>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</si>
  <si>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</si>
  <si>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</si>
  <si>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</si>
  <si>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</si>
  <si>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</si>
  <si>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</si>
  <si>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</si>
  <si>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</si>
  <si>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</si>
  <si>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</si>
  <si>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</si>
  <si>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</si>
  <si>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</si>
  <si>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</si>
  <si>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</si>
  <si>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</si>
  <si>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</si>
  <si>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</si>
  <si>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</si>
  <si>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</si>
  <si>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</si>
  <si>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</si>
  <si>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</si>
  <si>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</si>
  <si>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</si>
  <si>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</si>
  <si>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</si>
  <si>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</si>
  <si>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</si>
  <si>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</si>
  <si>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</si>
  <si>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</si>
  <si>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</si>
  <si>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</si>
  <si>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</si>
  <si>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</si>
  <si>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</si>
  <si>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</si>
  <si>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</si>
  <si>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</si>
  <si>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</si>
  <si>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</si>
  <si>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</si>
  <si>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</si>
  <si>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</si>
  <si>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</si>
  <si>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</si>
  <si>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</si>
  <si>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</si>
  <si>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</si>
  <si>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</si>
  <si>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</si>
  <si>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</si>
  <si>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</si>
  <si>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</si>
  <si>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</si>
  <si>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</si>
  <si>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</si>
  <si>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</si>
  <si>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</si>
  <si>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</si>
  <si>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</si>
  <si>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</si>
  <si>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</si>
  <si>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</si>
  <si>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</si>
  <si>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</si>
  <si>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</si>
  <si>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</si>
  <si>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</si>
  <si>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</si>
  <si>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</si>
  <si>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</si>
  <si>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</si>
  <si>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</si>
  <si>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</si>
  <si>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</si>
  <si>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</si>
  <si>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</si>
  <si>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</si>
  <si>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</si>
  <si>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</si>
  <si>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</si>
  <si>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</si>
  <si>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</si>
  <si>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</si>
  <si>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</si>
  <si>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</si>
  <si>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</si>
  <si>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</si>
  <si>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</si>
  <si>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</si>
  <si>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</si>
  <si>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</si>
  <si>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</si>
  <si>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Row Labels</t>
  </si>
  <si>
    <t>Grand Total</t>
  </si>
  <si>
    <t>Sum of Sales</t>
  </si>
  <si>
    <t>Sum of Profit</t>
  </si>
  <si>
    <t xml:space="preserve">Sum of Margin Profit of Product </t>
  </si>
  <si>
    <t>Category Analysis</t>
  </si>
  <si>
    <t>Product Profitability</t>
  </si>
  <si>
    <t>Total Sales</t>
  </si>
  <si>
    <t>Total Profit</t>
  </si>
  <si>
    <t>Total Quantity</t>
  </si>
  <si>
    <t>Profit Margin</t>
  </si>
  <si>
    <t>Values</t>
  </si>
  <si>
    <t>Profit Vs Sales Contribution</t>
  </si>
  <si>
    <t>Category 1</t>
  </si>
  <si>
    <t>Month</t>
  </si>
  <si>
    <t>Month Sort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</si>
  <si>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</si>
  <si>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</si>
  <si>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</si>
  <si>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</si>
  <si>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</si>
  <si>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</si>
  <si>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</si>
  <si>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</si>
  <si>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</si>
  <si>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</si>
  <si>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</si>
  <si>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</si>
  <si>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 xml:space="preserve">Monthly Sales &amp; Profit </t>
  </si>
  <si>
    <t>Metrics</t>
  </si>
  <si>
    <t>Regional Performance</t>
  </si>
  <si>
    <t>Profit by Product</t>
  </si>
  <si>
    <t>Product Sales &amp; Profit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</si>
</sst>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3" tint="0.59999389629810485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left"/>
    </xf>
    <xf numFmtId="10" fontId="2" fillId="2" borderId="0" xfId="0" applyNumberFormat="1" applyFont="1" applyFill="1"/>
    <xf numFmtId="10" fontId="0" fillId="0" borderId="2" xfId="0" applyNumberFormat="1" applyBorder="1"/>
    <xf numFmtId="0" fontId="2" fillId="2" borderId="2" xfId="0" applyFont="1" applyFill="1" applyBorder="1"/>
    <xf numFmtId="0" fontId="0" fillId="0" borderId="0" xfId="0" applyFont="1"/>
    <xf numFmtId="4" fontId="0" fillId="0" borderId="0" xfId="0" applyNumberFormat="1" applyFont="1"/>
    <xf numFmtId="17" fontId="0" fillId="0" borderId="0" xfId="0" applyNumberFormat="1"/>
    <xf numFmtId="0" fontId="2" fillId="0" borderId="0" xfId="0" pivotButton="1" applyFont="1"/>
    <xf numFmtId="0" fontId="2" fillId="0" borderId="0" xfId="0" applyNumberFormat="1" applyFont="1"/>
    <xf numFmtId="10" fontId="0" fillId="0" borderId="0" xfId="1" applyNumberFormat="1" applyFont="1"/>
    <xf numFmtId="0" fontId="0" fillId="0" borderId="0" xfId="0" applyAlignment="1">
      <alignment horizontal="left" indent="12"/>
    </xf>
    <xf numFmtId="0" fontId="2" fillId="0" borderId="0" xfId="0" applyFont="1" applyAlignment="1">
      <alignment horizontal="left" indent="12"/>
    </xf>
    <xf numFmtId="0" fontId="0" fillId="0" borderId="0" xfId="0" applyBorder="1"/>
    <xf numFmtId="10" fontId="0" fillId="0" borderId="0" xfId="0" applyNumberFormat="1" applyBorder="1"/>
    <xf numFmtId="0" fontId="2" fillId="0" borderId="0" xfId="0" applyFont="1" applyFill="1" applyAlignment="1">
      <alignment horizontal="left" indent="1"/>
    </xf>
    <xf numFmtId="0" fontId="2" fillId="0" borderId="0" xfId="0" applyFont="1" applyFill="1" applyAlignment="1">
      <alignment horizontal="left" indent="4"/>
    </xf>
    <xf numFmtId="0" fontId="2" fillId="0" borderId="0" xfId="0" applyFont="1" applyFill="1"/>
    <xf numFmtId="4" fontId="0" fillId="0" borderId="0" xfId="0" applyNumberFormat="1" applyFill="1"/>
    <xf numFmtId="3" fontId="0" fillId="0" borderId="0" xfId="0" applyNumberFormat="1" applyFill="1"/>
    <xf numFmtId="4" fontId="2" fillId="0" borderId="1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10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10" fontId="0" fillId="0" borderId="0" xfId="0" applyNumberFormat="1" applyFill="1" applyAlignment="1">
      <alignment horizontal="left" indent="5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indent="24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1" fillId="3" borderId="4" xfId="0" applyFont="1" applyFill="1" applyBorder="1" applyAlignment="1">
      <alignment horizontal="center" vertical="top"/>
    </xf>
    <xf numFmtId="17" fontId="1" fillId="3" borderId="4" xfId="0" applyNumberFormat="1" applyFont="1" applyFill="1" applyBorder="1" applyAlignment="1">
      <alignment horizontal="center" vertical="top"/>
    </xf>
  </cellXfs>
  <cellStyles count="2">
    <cellStyle name="Normal" xfId="0" builtinId="0"/>
    <cellStyle name="Per cent" xfId="1" builtinId="5"/>
  </cellStyles>
  <dxfs count="84"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horizontal="left" relativeIndent="1"/>
    </dxf>
    <dxf>
      <alignment horizontal="left" relativeIndent="1"/>
    </dxf>
    <dxf>
      <numFmt numFmtId="22" formatCode="mmm\-yy"/>
    </dxf>
    <dxf>
      <numFmt numFmtId="164" formatCode="yyyy\-mm\-dd\ hh:mm:ss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5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1090BE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Sales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Analysis!$B$16:$B$19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Analysis!$C$16:$C$19</c:f>
              <c:numCache>
                <c:formatCode>General</c:formatCode>
                <c:ptCount val="3"/>
                <c:pt idx="0">
                  <c:v>158069.5</c:v>
                </c:pt>
                <c:pt idx="1">
                  <c:v>67298.400000000009</c:v>
                </c:pt>
                <c:pt idx="2">
                  <c:v>561725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7-4EE4-A8DC-EA319AF691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628320"/>
        <c:axId val="1567569184"/>
      </c:barChart>
      <c:catAx>
        <c:axId val="152762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67569184"/>
        <c:crosses val="autoZero"/>
        <c:auto val="1"/>
        <c:lblAlgn val="ctr"/>
        <c:lblOffset val="100"/>
        <c:noMultiLvlLbl val="0"/>
      </c:catAx>
      <c:valAx>
        <c:axId val="15675691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 of 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2762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&amp; Profit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175969.65</c:v>
              </c:pt>
              <c:pt idx="1">
                <c:v>182652.59999999998</c:v>
              </c:pt>
              <c:pt idx="2">
                <c:v>200268.89999999997</c:v>
              </c:pt>
              <c:pt idx="3">
                <c:v>228201.75000000003</c:v>
              </c:pt>
            </c:numLit>
          </c:val>
          <c:extLst>
            <c:ext xmlns:c16="http://schemas.microsoft.com/office/drawing/2014/chart" uri="{C3380CC4-5D6E-409C-BE32-E72D297353CC}">
              <c16:uniqueId val="{00000000-C753-454B-8DF9-BF29FD12DB0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49281.12999999999</c:v>
              </c:pt>
              <c:pt idx="1">
                <c:v>49657.910000000011</c:v>
              </c:pt>
              <c:pt idx="2">
                <c:v>59950.920000000042</c:v>
              </c:pt>
              <c:pt idx="3">
                <c:v>62075.319999999985</c:v>
              </c:pt>
            </c:numLit>
          </c:val>
          <c:extLst>
            <c:ext xmlns:c16="http://schemas.microsoft.com/office/drawing/2014/chart" uri="{C3380CC4-5D6E-409C-BE32-E72D297353CC}">
              <c16:uniqueId val="{00000001-C753-454B-8DF9-BF29FD12DB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21407424"/>
        <c:axId val="1521408864"/>
      </c:barChart>
      <c:catAx>
        <c:axId val="1521407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21408864"/>
        <c:crosses val="autoZero"/>
        <c:auto val="1"/>
        <c:lblAlgn val="ctr"/>
        <c:lblOffset val="100"/>
        <c:noMultiLvlLbl val="0"/>
      </c:catAx>
      <c:valAx>
        <c:axId val="1521408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 of Sales</a:t>
                </a:r>
                <a:r>
                  <a:rPr lang="en-US" b="1" baseline="0"/>
                  <a:t> and Sum of Profit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52140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Sales &amp; Profit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Series1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61244.3</c:v>
              </c:pt>
              <c:pt idx="1">
                <c:v>68517.45</c:v>
              </c:pt>
              <c:pt idx="2">
                <c:v>55961.9</c:v>
              </c:pt>
              <c:pt idx="3">
                <c:v>73609.7</c:v>
              </c:pt>
              <c:pt idx="4">
                <c:v>66524.05</c:v>
              </c:pt>
              <c:pt idx="5">
                <c:v>77887.700000000012</c:v>
              </c:pt>
              <c:pt idx="6">
                <c:v>55649.9</c:v>
              </c:pt>
              <c:pt idx="7">
                <c:v>73392.899999999994</c:v>
              </c:pt>
              <c:pt idx="8">
                <c:v>53866.55</c:v>
              </c:pt>
              <c:pt idx="9">
                <c:v>61921.149999999994</c:v>
              </c:pt>
              <c:pt idx="10">
                <c:v>60570.25</c:v>
              </c:pt>
              <c:pt idx="11">
                <c:v>77947.049999999988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B9-456E-8BDA-8D6A572C88C9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numLit>
          </c:cat>
          <c:val>
            <c:numLit>
              <c:formatCode>General</c:formatCode>
              <c:ptCount val="12"/>
              <c:pt idx="0">
                <c:v>16352.990000000002</c:v>
              </c:pt>
              <c:pt idx="1">
                <c:v>17988.48</c:v>
              </c:pt>
              <c:pt idx="2">
                <c:v>16411.089999999997</c:v>
              </c:pt>
              <c:pt idx="3">
                <c:v>20339.519999999997</c:v>
              </c:pt>
              <c:pt idx="4">
                <c:v>17487.410000000007</c:v>
              </c:pt>
              <c:pt idx="5">
                <c:v>23709.399999999998</c:v>
              </c:pt>
              <c:pt idx="6">
                <c:v>17919.600000000002</c:v>
              </c:pt>
              <c:pt idx="7">
                <c:v>17997.03999999999</c:v>
              </c:pt>
              <c:pt idx="8">
                <c:v>15732.320000000002</c:v>
              </c:pt>
              <c:pt idx="9">
                <c:v>19056.680000000008</c:v>
              </c:pt>
              <c:pt idx="10">
                <c:v>15784.679999999995</c:v>
              </c:pt>
              <c:pt idx="11">
                <c:v>22186.07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B9-456E-8BDA-8D6A572C8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090624"/>
        <c:axId val="2051086304"/>
      </c:lineChart>
      <c:catAx>
        <c:axId val="205109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  <a:r>
                  <a:rPr lang="en-US" b="1" baseline="0"/>
                  <a:t> 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1086304"/>
        <c:crosses val="autoZero"/>
        <c:auto val="1"/>
        <c:lblAlgn val="ctr"/>
        <c:lblOffset val="100"/>
        <c:noMultiLvlLbl val="0"/>
      </c:catAx>
      <c:valAx>
        <c:axId val="2051086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</a:t>
                </a:r>
                <a:r>
                  <a:rPr lang="en-US" b="1" baseline="0"/>
                  <a:t> of Sales and Sum of Profit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5109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[Retail_Sales_Analysis.xlsx]Analysis!PivotTable8</c:name>
    <c:fmtId val="5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Products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Analysis!$B$25:$B$37</c:f>
              <c:strCache>
                <c:ptCount val="12"/>
                <c:pt idx="0">
                  <c:v>Laptop Pro 15</c:v>
                </c:pt>
                <c:pt idx="1">
                  <c:v>Smartphone X</c:v>
                </c:pt>
                <c:pt idx="2">
                  <c:v>Monitor 24</c:v>
                </c:pt>
                <c:pt idx="3">
                  <c:v>Office Chair</c:v>
                </c:pt>
                <c:pt idx="4">
                  <c:v>Printer</c:v>
                </c:pt>
                <c:pt idx="5">
                  <c:v>Coffee Table</c:v>
                </c:pt>
                <c:pt idx="6">
                  <c:v>Bookshelf</c:v>
                </c:pt>
                <c:pt idx="7">
                  <c:v>Keyboard</c:v>
                </c:pt>
                <c:pt idx="8">
                  <c:v>Desk Lamp</c:v>
                </c:pt>
                <c:pt idx="9">
                  <c:v>Wireless Mouse</c:v>
                </c:pt>
                <c:pt idx="10">
                  <c:v>Desk Organizer</c:v>
                </c:pt>
                <c:pt idx="11">
                  <c:v>Notebook Pack</c:v>
                </c:pt>
              </c:strCache>
            </c:strRef>
          </c:cat>
          <c:val>
            <c:numRef>
              <c:f>Analysis!$C$25:$C$37</c:f>
              <c:numCache>
                <c:formatCode>General</c:formatCode>
                <c:ptCount val="12"/>
                <c:pt idx="0">
                  <c:v>67389.740000000005</c:v>
                </c:pt>
                <c:pt idx="1">
                  <c:v>58833.869999999974</c:v>
                </c:pt>
                <c:pt idx="2">
                  <c:v>22520.160000000007</c:v>
                </c:pt>
                <c:pt idx="3">
                  <c:v>17445.89</c:v>
                </c:pt>
                <c:pt idx="4">
                  <c:v>15762.929999999995</c:v>
                </c:pt>
                <c:pt idx="5">
                  <c:v>15542.210000000001</c:v>
                </c:pt>
                <c:pt idx="6">
                  <c:v>10117.32</c:v>
                </c:pt>
                <c:pt idx="7">
                  <c:v>4212.13</c:v>
                </c:pt>
                <c:pt idx="8">
                  <c:v>3536.03</c:v>
                </c:pt>
                <c:pt idx="9">
                  <c:v>2643.6999999999994</c:v>
                </c:pt>
                <c:pt idx="10">
                  <c:v>1625.8400000000004</c:v>
                </c:pt>
                <c:pt idx="11">
                  <c:v>1335.46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A-4251-BF6C-6C2F3F6EA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211200"/>
        <c:axId val="212211616"/>
      </c:barChart>
      <c:catAx>
        <c:axId val="212211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211616"/>
        <c:crosses val="autoZero"/>
        <c:auto val="1"/>
        <c:lblAlgn val="ctr"/>
        <c:lblOffset val="100"/>
        <c:noMultiLvlLbl val="0"/>
      </c:catAx>
      <c:valAx>
        <c:axId val="21221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Sum</a:t>
                </a:r>
                <a:r>
                  <a:rPr lang="en-US" b="1" baseline="0"/>
                  <a:t> of Profit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1221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8</xdr:col>
      <xdr:colOff>52918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45FB74-EA40-AE16-AE8D-BE16F19FCEF1}"/>
            </a:ext>
          </a:extLst>
        </xdr:cNvPr>
        <xdr:cNvSpPr txBox="1"/>
      </xdr:nvSpPr>
      <xdr:spPr>
        <a:xfrm>
          <a:off x="0" y="12700"/>
          <a:ext cx="11345335" cy="88688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/>
            <a:t>RETAIL SALES ANALYSIS</a:t>
          </a:r>
        </a:p>
        <a:p>
          <a:pPr algn="ctr"/>
          <a:endParaRPr lang="en-US" sz="1800" b="1"/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Pivot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Analysis &amp; Business Metrics</a:t>
          </a:r>
          <a:endParaRPr lang="en-PK" sz="1200">
            <a:effectLst/>
          </a:endParaRPr>
        </a:p>
        <a:p>
          <a:pPr algn="ctr"/>
          <a:endParaRPr lang="en-PK" sz="18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6350</xdr:rowOff>
    </xdr:from>
    <xdr:to>
      <xdr:col>14</xdr:col>
      <xdr:colOff>6350</xdr:colOff>
      <xdr:row>4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D87780-A7BC-31BA-BE5B-FAFC702995BA}"/>
            </a:ext>
          </a:extLst>
        </xdr:cNvPr>
        <xdr:cNvSpPr txBox="1"/>
      </xdr:nvSpPr>
      <xdr:spPr>
        <a:xfrm>
          <a:off x="0" y="6350"/>
          <a:ext cx="11779250" cy="8953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SALES &amp; PROFITABILITY DASHBOARD</a:t>
          </a:r>
          <a:endParaRPr lang="en-PK" sz="2000" b="1"/>
        </a:p>
      </xdr:txBody>
    </xdr:sp>
    <xdr:clientData/>
  </xdr:twoCellAnchor>
  <xdr:twoCellAnchor>
    <xdr:from>
      <xdr:col>0</xdr:col>
      <xdr:colOff>299357</xdr:colOff>
      <xdr:row>10</xdr:row>
      <xdr:rowOff>141515</xdr:rowOff>
    </xdr:from>
    <xdr:to>
      <xdr:col>5</xdr:col>
      <xdr:colOff>1025071</xdr:colOff>
      <xdr:row>28</xdr:row>
      <xdr:rowOff>90715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37C914-386F-49A8-B435-71D979B95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1043214</xdr:colOff>
      <xdr:row>10</xdr:row>
      <xdr:rowOff>145142</xdr:rowOff>
    </xdr:from>
    <xdr:to>
      <xdr:col>13</xdr:col>
      <xdr:colOff>134257</xdr:colOff>
      <xdr:row>28</xdr:row>
      <xdr:rowOff>81642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840293-190E-4176-BD81-4B4E8A121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924379</xdr:colOff>
      <xdr:row>43</xdr:row>
      <xdr:rowOff>7258</xdr:rowOff>
    </xdr:from>
    <xdr:to>
      <xdr:col>9</xdr:col>
      <xdr:colOff>486229</xdr:colOff>
      <xdr:row>54</xdr:row>
      <xdr:rowOff>45358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DED2A4-C704-215A-CE35-CB1D6BBA4F15}"/>
            </a:ext>
          </a:extLst>
        </xdr:cNvPr>
        <xdr:cNvSpPr txBox="1"/>
      </xdr:nvSpPr>
      <xdr:spPr>
        <a:xfrm>
          <a:off x="2575379" y="7808687"/>
          <a:ext cx="6292850" cy="2033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Key Business Inshights</a:t>
          </a:r>
        </a:p>
        <a:p>
          <a:pPr algn="ctr"/>
          <a:endParaRPr lang="en-US" sz="1600" b="1"/>
        </a:p>
        <a:p>
          <a:pPr algn="l"/>
          <a:r>
            <a:rPr lang="en-US" sz="1600" b="1"/>
            <a:t>● Technology:</a:t>
          </a:r>
          <a:r>
            <a:rPr lang="en-US" sz="1600"/>
            <a:t> Contributes </a:t>
          </a:r>
          <a:r>
            <a:rPr lang="en-US" sz="1600" b="1"/>
            <a:t>71.3% of total sales</a:t>
          </a:r>
        </a:p>
        <a:p>
          <a:pPr algn="l"/>
          <a:r>
            <a:rPr lang="en-US" sz="1600" b="1"/>
            <a:t>● West:</a:t>
          </a:r>
          <a:r>
            <a:rPr lang="en-US" sz="1600"/>
            <a:t> Highest sales region, contributing </a:t>
          </a:r>
          <a:r>
            <a:rPr lang="en-US" sz="1600" b="1"/>
            <a:t>29.0% of total sales</a:t>
          </a:r>
        </a:p>
        <a:p>
          <a:pPr algn="l"/>
          <a:r>
            <a:rPr lang="en-US" sz="1600" b="1"/>
            <a:t>● South:</a:t>
          </a:r>
          <a:r>
            <a:rPr lang="en-US" sz="1600"/>
            <a:t> Highest regional profit margin at </a:t>
          </a:r>
          <a:r>
            <a:rPr lang="en-US" sz="1600" b="1"/>
            <a:t>29.94%</a:t>
          </a:r>
        </a:p>
        <a:p>
          <a:pPr algn="l"/>
          <a:r>
            <a:rPr lang="en-US" sz="1600" b="1"/>
            <a:t>● Laptop Pro 15:</a:t>
          </a:r>
          <a:r>
            <a:rPr lang="en-US" sz="1600"/>
            <a:t> Highest total profit with a </a:t>
          </a:r>
          <a:r>
            <a:rPr lang="en-US" sz="1600" b="1"/>
            <a:t>26.92% profit margin</a:t>
          </a:r>
        </a:p>
        <a:p>
          <a:pPr algn="l"/>
          <a:r>
            <a:rPr lang="en-US" sz="1600" b="1"/>
            <a:t>● Desk Lamp:</a:t>
          </a:r>
          <a:r>
            <a:rPr lang="en-US" sz="1600"/>
            <a:t> Highest product profit margin at </a:t>
          </a:r>
          <a:r>
            <a:rPr lang="en-US" sz="1600" b="1"/>
            <a:t>30.18%</a:t>
          </a:r>
        </a:p>
      </xdr:txBody>
    </xdr:sp>
    <xdr:clientData/>
  </xdr:twoCellAnchor>
  <xdr:twoCellAnchor>
    <xdr:from>
      <xdr:col>0</xdr:col>
      <xdr:colOff>326572</xdr:colOff>
      <xdr:row>28</xdr:row>
      <xdr:rowOff>108857</xdr:rowOff>
    </xdr:from>
    <xdr:to>
      <xdr:col>5</xdr:col>
      <xdr:colOff>1034143</xdr:colOff>
      <xdr:row>42</xdr:row>
      <xdr:rowOff>72572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AD3BE8-C93B-44A3-8EF3-7B005BBB5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1052285</xdr:colOff>
      <xdr:row>28</xdr:row>
      <xdr:rowOff>99786</xdr:rowOff>
    </xdr:from>
    <xdr:to>
      <xdr:col>13</xdr:col>
      <xdr:colOff>172357</xdr:colOff>
      <xdr:row>42</xdr:row>
      <xdr:rowOff>81644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0806387-544F-4F64-BE84-BFDD28DC3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Qadeer" refreshedDate="46278.942935648149" createdVersion="8" refreshedVersion="7" minRefreshableVersion="3" recordCount="1006" xr:uid="{FC09485B-4D31-4CD8-A2EF-E16F33FAD370}">
  <cacheSource type="worksheet">
    <worksheetSource ref="A1:K1007" sheet="Clean Sales Data"/>
  </cacheSource>
  <cacheFields count="15">
    <cacheField name="Order ID" numFmtId="0">
      <sharedItems containsBlank="1"/>
    </cacheField>
    <cacheField name="Order Date" numFmtId="0">
      <sharedItems containsNonDate="0" containsDate="1" containsString="0" containsBlank="1" minDate="2025-01-01T00:00:00" maxDate="2026-01-01T00:00:00"/>
    </cacheField>
    <cacheField name="Customer" numFmtId="0">
      <sharedItems containsBlank="1"/>
    </cacheField>
    <cacheField name="Product" numFmtId="0">
      <sharedItems containsBlank="1" count="13">
        <s v="Wireless Mouse"/>
        <s v="Coffee Table"/>
        <s v="Desk Lamp"/>
        <s v="Office Chair"/>
        <s v="Smartphone X"/>
        <s v="Monitor 24"/>
        <s v="Notebook Pack"/>
        <s v="Keyboard"/>
        <s v="Printer"/>
        <s v="Laptop Pro 15"/>
        <s v="Desk Organizer"/>
        <s v="Bookshelf"/>
        <m/>
      </sharedItems>
    </cacheField>
    <cacheField name="Category 1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Discount" numFmtId="0">
      <sharedItems containsString="0" containsBlank="1" containsNumber="1" minValue="0" maxValue="0.2"/>
    </cacheField>
    <cacheField name="Sales" numFmtId="0">
      <sharedItems containsString="0" containsBlank="1" containsNumber="1" minValue="14.4" maxValue="6000"/>
    </cacheField>
    <cacheField name="Profit" numFmtId="0">
      <sharedItems containsString="0" containsBlank="1" containsNumber="1" minValue="1.93" maxValue="2403.96"/>
    </cacheField>
    <cacheField name="Category" numFmtId="0">
      <sharedItems containsBlank="1"/>
    </cacheField>
    <cacheField name="Profit Margin" numFmtId="0" formula="Profit/Sales* 100" databaseField="0"/>
    <cacheField name="Field1" numFmtId="0" formula=" 0" databaseField="0"/>
    <cacheField name="Sum of  Profit Margin" numFmtId="0" formula="Profit/Sales* 100" databaseField="0"/>
    <cacheField name="Correc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Qadeer" refreshedDate="46278.942935763887" createdVersion="8" refreshedVersion="7" minRefreshableVersion="3" recordCount="1005" xr:uid="{3C69BD17-E2A8-464E-B012-EEB005D881BB}">
  <cacheSource type="worksheet">
    <worksheetSource ref="A1:K1006" sheet="Clean Sales Data"/>
  </cacheSource>
  <cacheFields count="20">
    <cacheField name="Order ID" numFmtId="0">
      <sharedItems containsBlank="1"/>
    </cacheField>
    <cacheField name="Order Date" numFmtId="0">
      <sharedItems containsNonDate="0" containsDate="1" containsString="0" containsBlank="1" minDate="2025-01-01T00:00:00" maxDate="2026-01-01T00:00:00"/>
    </cacheField>
    <cacheField name="Customer" numFmtId="0">
      <sharedItems containsBlank="1"/>
    </cacheField>
    <cacheField name="Product" numFmtId="0">
      <sharedItems containsBlank="1" count="13">
        <s v="Wireless Mouse"/>
        <s v="Coffee Table"/>
        <s v="Desk Lamp"/>
        <s v="Office Chair"/>
        <s v="Smartphone X"/>
        <s v="Monitor 24"/>
        <s v="Notebook Pack"/>
        <s v="Keyboard"/>
        <s v="Printer"/>
        <s v="Laptop Pro 15"/>
        <s v="Desk Organizer"/>
        <s v="Bookshelf"/>
        <m/>
      </sharedItems>
    </cacheField>
    <cacheField name="Category 1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Quantity" numFmtId="0">
      <sharedItems containsString="0" containsBlank="1" containsNumber="1" containsInteger="1" minValue="1" maxValue="5"/>
    </cacheField>
    <cacheField name="Discount" numFmtId="0">
      <sharedItems containsString="0" containsBlank="1" containsNumber="1" minValue="0" maxValue="0.2"/>
    </cacheField>
    <cacheField name="Sales" numFmtId="0">
      <sharedItems containsString="0" containsBlank="1" containsNumber="1" minValue="14.4" maxValue="6000"/>
    </cacheField>
    <cacheField name="Profit" numFmtId="0">
      <sharedItems containsString="0" containsBlank="1" containsNumber="1" minValue="1.93" maxValue="2403.96"/>
    </cacheField>
    <cacheField name="Category" numFmtId="0">
      <sharedItems containsBlank="1" count="4">
        <s v="Technology"/>
        <s v="Furniture"/>
        <s v="Office Supplies"/>
        <m/>
      </sharedItems>
    </cacheField>
    <cacheField name="Profit Margin" numFmtId="0" formula="Profit/Sales" databaseField="0"/>
    <cacheField name="Sales Contribution" numFmtId="0" formula="Sales/100" databaseField="0"/>
    <cacheField name="Product Performance" numFmtId="0" formula="Profit-Sales" databaseField="0"/>
    <cacheField name="Difference" numFmtId="0" formula=" (Profit-Sales)" databaseField="0"/>
    <cacheField name="Product Difference" numFmtId="0" formula=" (Profit-Sales) / 100" databaseField="0"/>
    <cacheField name="Average Selling Price" numFmtId="0" formula="Sales/Quantity" databaseField="0"/>
    <cacheField name="Profit Per Unit" numFmtId="0" formula="Profit/Quantity" databaseField="0"/>
    <cacheField name="Cost Per Unit" numFmtId="0" formula="(Sales-Profit)/Quantity" databaseField="0"/>
    <cacheField name="Margin Profit of Product 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Qadeer" refreshedDate="46278.942936342595" createdVersion="8" refreshedVersion="7" minRefreshableVersion="3" recordCount="1006" xr:uid="{2971B8A0-44B7-412A-8A02-0B13394D1CAB}">
  <cacheSource type="worksheet">
    <worksheetSource ref="A1:J1007" sheet="Clean Sales Data"/>
  </cacheSource>
  <cacheFields count="10">
    <cacheField name="Order ID" numFmtId="0">
      <sharedItems containsBlank="1"/>
    </cacheField>
    <cacheField name="Order Date" numFmtId="0">
      <sharedItems containsNonDate="0" containsDate="1" containsString="0" containsBlank="1" minDate="2025-01-01T00:00:00" maxDate="2026-01-01T00:00:00"/>
    </cacheField>
    <cacheField name="Customer" numFmtId="0">
      <sharedItems containsBlank="1"/>
    </cacheField>
    <cacheField name="Product" numFmtId="0">
      <sharedItems containsBlank="1" count="13">
        <s v="Wireless Mouse"/>
        <s v="Coffee Table"/>
        <s v="Desk Lamp"/>
        <s v="Office Chair"/>
        <s v="Smartphone X"/>
        <s v="Monitor 24"/>
        <s v="Notebook Pack"/>
        <s v="Keyboard"/>
        <s v="Printer"/>
        <s v="Laptop Pro 15"/>
        <s v="Desk Organizer"/>
        <s v="Bookshelf"/>
        <m/>
      </sharedItems>
    </cacheField>
    <cacheField name="Category 1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Discount" numFmtId="0">
      <sharedItems containsString="0" containsBlank="1" containsNumber="1" minValue="0" maxValue="0.2"/>
    </cacheField>
    <cacheField name="Sales" numFmtId="0">
      <sharedItems containsString="0" containsBlank="1" containsNumber="1" minValue="14.4" maxValue="6000"/>
    </cacheField>
    <cacheField name="Profit" numFmtId="0">
      <sharedItems containsString="0" containsBlank="1" containsNumber="1" minValue="1.93" maxValue="2403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Qadeer" refreshedDate="46278.942936805557" createdVersion="8" refreshedVersion="7" minRefreshableVersion="3" recordCount="1005" xr:uid="{8C4C36C9-7B9D-40C1-8FBF-75E2F904D9DC}">
  <cacheSource type="worksheet">
    <worksheetSource ref="A1:M1006" sheet="Clean Sales Data"/>
  </cacheSource>
  <cacheFields count="15">
    <cacheField name="Order ID" numFmtId="0">
      <sharedItems containsBlank="1"/>
    </cacheField>
    <cacheField name="Order Date" numFmtId="0">
      <sharedItems containsNonDate="0" containsDate="1" containsString="0" containsBlank="1" minDate="2025-01-01T00:00:00" maxDate="2026-01-01T00:00:00"/>
    </cacheField>
    <cacheField name="Customer" numFmtId="0">
      <sharedItems containsBlank="1"/>
    </cacheField>
    <cacheField name="Product" numFmtId="0">
      <sharedItems containsBlank="1"/>
    </cacheField>
    <cacheField name="Category 1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Discount" numFmtId="0">
      <sharedItems containsString="0" containsBlank="1" containsNumber="1" minValue="0" maxValue="0.2"/>
    </cacheField>
    <cacheField name="Sales" numFmtId="0">
      <sharedItems containsString="0" containsBlank="1" containsNumber="1" minValue="14.4" maxValue="6000"/>
    </cacheField>
    <cacheField name="Profit" numFmtId="0">
      <sharedItems containsString="0" containsBlank="1" containsNumber="1" minValue="1.93" maxValue="2403.96"/>
    </cacheField>
    <cacheField name="Category" numFmtId="0">
      <sharedItems containsBlank="1"/>
    </cacheField>
    <cacheField name="Month" numFmtId="0">
      <sharedItems containsBlank="1"/>
    </cacheField>
    <cacheField name="Month Sort" numFmtId="17">
      <sharedItems containsNonDate="0" containsDate="1" containsString="0" containsBlank="1" minDate="2025-01-01T00:00:00" maxDate="2025-12-02T00:00:00" count="13">
        <d v="2025-11-01T00:00:00"/>
        <d v="2025-12-01T00:00:00"/>
        <d v="2025-02-01T00:00:00"/>
        <d v="2025-01-01T00:00:00"/>
        <d v="2025-10-01T00:00:00"/>
        <d v="2025-07-01T00:00:00"/>
        <d v="2025-03-01T00:00:00"/>
        <d v="2025-05-01T00:00:00"/>
        <d v="2025-08-01T00:00:00"/>
        <d v="2025-04-01T00:00:00"/>
        <d v="2025-09-01T00:00:00"/>
        <d v="2025-06-01T00:00:00"/>
        <m/>
      </sharedItems>
      <fieldGroup par="14"/>
    </cacheField>
    <cacheField name="Days (Month Sort)" numFmtId="0" databaseField="0">
      <fieldGroup base="12">
        <rangePr groupBy="days" startDate="2025-01-01T00:00:00" endDate="2025-12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12/2025"/>
        </groupItems>
      </fieldGroup>
    </cacheField>
    <cacheField name="Months (Month Sort)" numFmtId="0" databaseField="0">
      <fieldGroup base="12">
        <rangePr groupBy="months" startDate="2025-01-01T00:00:00" endDate="2025-12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6">
  <r>
    <s v="ORD-00001"/>
    <d v="2025-11-24T00:00:00"/>
    <s v="Customer 018"/>
    <x v="0"/>
    <s v="Technology"/>
    <s v="North"/>
    <n v="1"/>
    <n v="0.1"/>
    <n v="31.5"/>
    <n v="11.63"/>
    <s v="Technology"/>
  </r>
  <r>
    <s v="ORD-00002"/>
    <d v="2025-12-13T00:00:00"/>
    <s v="Customer 005"/>
    <x v="1"/>
    <s v="Furniture"/>
    <s v="North"/>
    <n v="5"/>
    <n v="0"/>
    <n v="1050"/>
    <n v="267.89"/>
    <s v="Furniture"/>
  </r>
  <r>
    <s v="ORD-00003"/>
    <d v="2025-02-17T00:00:00"/>
    <s v="Customer 072"/>
    <x v="2"/>
    <s v="Furniture"/>
    <s v="South"/>
    <n v="2"/>
    <n v="0.2"/>
    <n v="88"/>
    <n v="22.12"/>
    <s v="Furniture"/>
  </r>
  <r>
    <s v="ORD-00004"/>
    <d v="2025-11-29T00:00:00"/>
    <s v="Customer 076"/>
    <x v="1"/>
    <s v="Furniture"/>
    <s v="East"/>
    <n v="5"/>
    <n v="0.15"/>
    <n v="892.5"/>
    <n v="336.7"/>
    <s v="Furniture"/>
  </r>
  <r>
    <s v="ORD-00005"/>
    <d v="2025-01-04T00:00:00"/>
    <s v="Customer 028"/>
    <x v="3"/>
    <s v="Furniture"/>
    <s v="East"/>
    <n v="4"/>
    <n v="0.1"/>
    <n v="1008"/>
    <n v="361.17"/>
    <s v="Furniture"/>
  </r>
  <r>
    <s v="ORD-00006"/>
    <d v="2025-02-22T00:00:00"/>
    <s v="Customer 045"/>
    <x v="0"/>
    <s v="Technology"/>
    <s v="East"/>
    <n v="4"/>
    <n v="0"/>
    <n v="140"/>
    <n v="46.42"/>
    <s v="Technology"/>
  </r>
  <r>
    <s v="ORD-00007"/>
    <d v="2025-01-23T00:00:00"/>
    <s v="Customer 049"/>
    <x v="1"/>
    <s v="Furniture"/>
    <s v="North"/>
    <n v="4"/>
    <n v="0.2"/>
    <n v="672"/>
    <n v="274.72000000000003"/>
    <s v="Furniture"/>
  </r>
  <r>
    <s v="ORD-00008"/>
    <d v="2025-10-10T00:00:00"/>
    <s v="Customer 091"/>
    <x v="4"/>
    <s v="Technology"/>
    <s v="North"/>
    <n v="5"/>
    <n v="0.1"/>
    <n v="3825"/>
    <n v="992.49"/>
    <s v="Technology"/>
  </r>
  <r>
    <s v="ORD-00009"/>
    <d v="2025-01-24T00:00:00"/>
    <s v="Customer 030"/>
    <x v="5"/>
    <s v="Technology"/>
    <s v="North"/>
    <n v="2"/>
    <n v="0.1"/>
    <n v="576"/>
    <n v="71.930000000000007"/>
    <s v="Technology"/>
  </r>
  <r>
    <s v="ORD-00010"/>
    <d v="2025-07-14T00:00:00"/>
    <s v="Customer 046"/>
    <x v="4"/>
    <s v="Technology"/>
    <s v="South"/>
    <n v="4"/>
    <n v="0.1"/>
    <n v="3060"/>
    <n v="1212.75"/>
    <s v="Technology"/>
  </r>
  <r>
    <s v="ORD-00011"/>
    <d v="2025-12-10T00:00:00"/>
    <s v="Customer 069"/>
    <x v="4"/>
    <s v="Technology"/>
    <s v="South"/>
    <n v="1"/>
    <n v="0.2"/>
    <n v="680"/>
    <n v="163.51"/>
    <s v="Technology"/>
  </r>
  <r>
    <s v="ORD-00012"/>
    <d v="2025-03-25T00:00:00"/>
    <s v="Customer 082"/>
    <x v="6"/>
    <s v="Office Supplies"/>
    <s v="South"/>
    <n v="4"/>
    <n v="0.1"/>
    <n v="64.8"/>
    <n v="8"/>
    <s v="Office Supplies"/>
  </r>
  <r>
    <s v="ORD-00013"/>
    <d v="2025-12-17T00:00:00"/>
    <s v="Customer 041"/>
    <x v="7"/>
    <s v="Technology"/>
    <s v="West"/>
    <n v="1"/>
    <n v="0.05"/>
    <n v="66.5"/>
    <n v="11.89"/>
    <s v="Technology"/>
  </r>
  <r>
    <s v="ORD-00014"/>
    <d v="2025-05-18T00:00:00"/>
    <s v="Customer 041"/>
    <x v="0"/>
    <s v="Technology"/>
    <s v="South"/>
    <n v="2"/>
    <n v="0.2"/>
    <n v="56"/>
    <n v="9"/>
    <s v="Technology"/>
  </r>
  <r>
    <s v="ORD-00015"/>
    <d v="2025-12-02T00:00:00"/>
    <s v="Customer 018"/>
    <x v="6"/>
    <s v="Office Supplies"/>
    <s v="South"/>
    <n v="4"/>
    <n v="0.15"/>
    <n v="61.2"/>
    <n v="24.65"/>
    <s v="Office Supplies"/>
  </r>
  <r>
    <s v="ORD-00016"/>
    <d v="2025-10-15T00:00:00"/>
    <s v="Customer 075"/>
    <x v="8"/>
    <s v="Office Supplies"/>
    <s v="West"/>
    <n v="3"/>
    <n v="0.2"/>
    <n v="576"/>
    <n v="177.76"/>
    <s v="Office Supplies"/>
  </r>
  <r>
    <s v="ORD-00017"/>
    <d v="2025-07-05T00:00:00"/>
    <s v="Customer 097"/>
    <x v="2"/>
    <s v="Furniture"/>
    <s v="North"/>
    <n v="2"/>
    <n v="0.2"/>
    <n v="88"/>
    <n v="25.27"/>
    <s v="Furniture"/>
  </r>
  <r>
    <s v="ORD-00018"/>
    <d v="2025-02-26T00:00:00"/>
    <s v="Customer 050"/>
    <x v="3"/>
    <s v="Furniture"/>
    <s v="South"/>
    <n v="2"/>
    <n v="0.15"/>
    <n v="476"/>
    <n v="120.52"/>
    <s v="Furniture"/>
  </r>
  <r>
    <s v="ORD-00019"/>
    <d v="2025-11-02T00:00:00"/>
    <s v="Customer 002"/>
    <x v="6"/>
    <s v="Office Supplies"/>
    <s v="North"/>
    <n v="5"/>
    <n v="0.1"/>
    <n v="81"/>
    <n v="10.49"/>
    <s v="Office Supplies"/>
  </r>
  <r>
    <s v="ORD-00020"/>
    <d v="2025-12-16T00:00:00"/>
    <s v="Customer 056"/>
    <x v="8"/>
    <s v="Office Supplies"/>
    <s v="South"/>
    <n v="3"/>
    <n v="0.1"/>
    <n v="648"/>
    <n v="267.75"/>
    <s v="Office Supplies"/>
  </r>
  <r>
    <s v="ORD-00021"/>
    <d v="2025-08-21T00:00:00"/>
    <s v="Customer 065"/>
    <x v="9"/>
    <s v="Technology"/>
    <s v="North"/>
    <n v="3"/>
    <n v="0.2"/>
    <n v="2880"/>
    <n v="571.83000000000004"/>
    <s v="Technology"/>
  </r>
  <r>
    <s v="ORD-00022"/>
    <d v="2025-11-17T00:00:00"/>
    <s v="Customer 048"/>
    <x v="4"/>
    <s v="Technology"/>
    <s v="South"/>
    <n v="5"/>
    <n v="0.2"/>
    <n v="3400"/>
    <n v="1306.82"/>
    <s v="Technology"/>
  </r>
  <r>
    <s v="ORD-00023"/>
    <d v="2025-10-04T00:00:00"/>
    <s v="Customer 003"/>
    <x v="8"/>
    <s v="Office Supplies"/>
    <s v="North"/>
    <n v="1"/>
    <n v="0.2"/>
    <n v="192"/>
    <n v="65.86"/>
    <s v="Office Supplies"/>
  </r>
  <r>
    <s v="ORD-00024"/>
    <d v="2025-07-05T00:00:00"/>
    <s v="Customer 073"/>
    <x v="4"/>
    <s v="Technology"/>
    <s v="North"/>
    <n v="2"/>
    <n v="0"/>
    <n v="1700"/>
    <n v="629.87"/>
    <s v="Technology"/>
  </r>
  <r>
    <s v="ORD-00025"/>
    <d v="2025-02-13T00:00:00"/>
    <s v="Customer 069"/>
    <x v="1"/>
    <s v="Furniture"/>
    <s v="South"/>
    <n v="4"/>
    <n v="0"/>
    <n v="840"/>
    <n v="106.9"/>
    <s v="Furniture"/>
  </r>
  <r>
    <s v="ORD-00026"/>
    <d v="2025-03-07T00:00:00"/>
    <s v="Customer 068"/>
    <x v="5"/>
    <s v="Technology"/>
    <s v="West"/>
    <n v="4"/>
    <n v="0.2"/>
    <n v="1024"/>
    <n v="405"/>
    <s v="Technology"/>
  </r>
  <r>
    <s v="ORD-00027"/>
    <d v="2025-04-19T00:00:00"/>
    <s v="Customer 086"/>
    <x v="8"/>
    <s v="Office Supplies"/>
    <s v="East"/>
    <n v="2"/>
    <n v="0.1"/>
    <n v="432"/>
    <n v="137.52000000000001"/>
    <s v="Office Supplies"/>
  </r>
  <r>
    <s v="ORD-00028"/>
    <d v="2025-08-13T00:00:00"/>
    <s v="Customer 009"/>
    <x v="8"/>
    <s v="Office Supplies"/>
    <s v="East"/>
    <n v="4"/>
    <n v="0"/>
    <n v="960"/>
    <n v="353.46"/>
    <s v="Office Supplies"/>
  </r>
  <r>
    <s v="ORD-00029"/>
    <d v="2025-01-11T00:00:00"/>
    <s v="Customer 001"/>
    <x v="10"/>
    <s v="Office Supplies"/>
    <s v="North"/>
    <n v="5"/>
    <n v="0.05"/>
    <n v="118.75"/>
    <n v="30.38"/>
    <s v="Office Supplies"/>
  </r>
  <r>
    <s v="ORD-00030"/>
    <d v="2025-12-29T00:00:00"/>
    <s v="Customer 005"/>
    <x v="5"/>
    <s v="Technology"/>
    <s v="East"/>
    <n v="1"/>
    <n v="0.05"/>
    <n v="304"/>
    <n v="130.04"/>
    <s v="Technology"/>
  </r>
  <r>
    <s v="ORD-00031"/>
    <d v="2025-02-06T00:00:00"/>
    <s v="Customer 028"/>
    <x v="8"/>
    <s v="Office Supplies"/>
    <s v="South"/>
    <n v="2"/>
    <n v="0.1"/>
    <n v="432"/>
    <n v="99.03"/>
    <s v="Office Supplies"/>
  </r>
  <r>
    <s v="ORD-00032"/>
    <d v="2025-10-20T00:00:00"/>
    <s v="Customer 053"/>
    <x v="10"/>
    <s v="Office Supplies"/>
    <s v="South"/>
    <n v="4"/>
    <n v="0.05"/>
    <n v="95"/>
    <n v="18.149999999999999"/>
    <s v="Office Supplies"/>
  </r>
  <r>
    <s v="ORD-00033"/>
    <d v="2025-02-18T00:00:00"/>
    <s v="Customer 060"/>
    <x v="0"/>
    <s v="Technology"/>
    <s v="North"/>
    <n v="4"/>
    <n v="0.1"/>
    <n v="126"/>
    <n v="39.090000000000003"/>
    <s v="Technology"/>
  </r>
  <r>
    <s v="ORD-00034"/>
    <d v="2025-12-11T00:00:00"/>
    <s v="Customer 044"/>
    <x v="5"/>
    <s v="Technology"/>
    <s v="North"/>
    <n v="1"/>
    <n v="0"/>
    <n v="320"/>
    <n v="101.48"/>
    <s v="Technology"/>
  </r>
  <r>
    <s v="ORD-00035"/>
    <d v="2025-05-08T00:00:00"/>
    <s v="Customer 055"/>
    <x v="2"/>
    <s v="Furniture"/>
    <s v="South"/>
    <n v="2"/>
    <n v="0.2"/>
    <n v="88"/>
    <n v="26.57"/>
    <s v="Furniture"/>
  </r>
  <r>
    <s v="ORD-00036"/>
    <d v="2025-05-23T00:00:00"/>
    <s v="Customer 071"/>
    <x v="6"/>
    <s v="Office Supplies"/>
    <s v="North"/>
    <n v="2"/>
    <n v="0"/>
    <n v="36"/>
    <n v="10.94"/>
    <s v="Office Supplies"/>
  </r>
  <r>
    <s v="ORD-00037"/>
    <d v="2025-01-26T00:00:00"/>
    <s v="Customer 097"/>
    <x v="5"/>
    <s v="Technology"/>
    <s v="South"/>
    <n v="5"/>
    <n v="0"/>
    <n v="1600"/>
    <n v="208.37"/>
    <s v="Technology"/>
  </r>
  <r>
    <s v="ORD-00038"/>
    <d v="2025-03-27T00:00:00"/>
    <s v="Customer 052"/>
    <x v="11"/>
    <s v="Furniture"/>
    <s v="North"/>
    <n v="4"/>
    <n v="0.15"/>
    <n v="646"/>
    <n v="245.13"/>
    <s v="Furniture"/>
  </r>
  <r>
    <s v="ORD-00039"/>
    <d v="2025-03-26T00:00:00"/>
    <s v="Customer 059"/>
    <x v="11"/>
    <s v="Furniture"/>
    <s v="East"/>
    <n v="1"/>
    <n v="0.15"/>
    <n v="161.5"/>
    <n v="58.54"/>
    <s v="Furniture"/>
  </r>
  <r>
    <s v="ORD-00040"/>
    <d v="2025-08-05T00:00:00"/>
    <s v="Customer 038"/>
    <x v="1"/>
    <s v="Furniture"/>
    <s v="South"/>
    <n v="5"/>
    <n v="0.15"/>
    <n v="892.5"/>
    <n v="356.03"/>
    <s v="Furniture"/>
  </r>
  <r>
    <s v="ORD-00041"/>
    <d v="2025-01-30T00:00:00"/>
    <s v="Customer 008"/>
    <x v="10"/>
    <s v="Office Supplies"/>
    <s v="North"/>
    <n v="5"/>
    <n v="0"/>
    <n v="125"/>
    <n v="25.4"/>
    <s v="Office Supplies"/>
  </r>
  <r>
    <s v="ORD-00042"/>
    <d v="2025-10-27T00:00:00"/>
    <s v="Customer 066"/>
    <x v="6"/>
    <s v="Office Supplies"/>
    <s v="North"/>
    <n v="5"/>
    <n v="0.2"/>
    <n v="72"/>
    <n v="28.66"/>
    <s v="Office Supplies"/>
  </r>
  <r>
    <s v="ORD-00043"/>
    <d v="2025-04-06T00:00:00"/>
    <s v="Customer 031"/>
    <x v="0"/>
    <s v="Technology"/>
    <s v="West"/>
    <n v="5"/>
    <n v="0"/>
    <n v="175"/>
    <n v="39.76"/>
    <s v="Technology"/>
  </r>
  <r>
    <s v="ORD-00044"/>
    <d v="2025-03-03T00:00:00"/>
    <s v="Customer 080"/>
    <x v="10"/>
    <s v="Office Supplies"/>
    <s v="North"/>
    <n v="2"/>
    <n v="0.2"/>
    <n v="40"/>
    <n v="10.15"/>
    <s v="Office Supplies"/>
  </r>
  <r>
    <s v="ORD-00045"/>
    <d v="2025-08-03T00:00:00"/>
    <s v="Customer 034"/>
    <x v="5"/>
    <s v="Technology"/>
    <s v="South"/>
    <n v="5"/>
    <n v="0.2"/>
    <n v="1280"/>
    <n v="355.18"/>
    <s v="Technology"/>
  </r>
  <r>
    <s v="ORD-00046"/>
    <d v="2025-12-09T00:00:00"/>
    <s v="Customer 017"/>
    <x v="1"/>
    <s v="Furniture"/>
    <s v="East"/>
    <n v="3"/>
    <n v="0.05"/>
    <n v="598.5"/>
    <n v="216.86"/>
    <s v="Furniture"/>
  </r>
  <r>
    <s v="ORD-00047"/>
    <d v="2025-08-23T00:00:00"/>
    <s v="Customer 073"/>
    <x v="7"/>
    <s v="Technology"/>
    <s v="North"/>
    <n v="1"/>
    <n v="0"/>
    <n v="70"/>
    <n v="20.91"/>
    <s v="Technology"/>
  </r>
  <r>
    <s v="ORD-00048"/>
    <d v="2025-02-07T00:00:00"/>
    <s v="Customer 045"/>
    <x v="8"/>
    <s v="Office Supplies"/>
    <s v="North"/>
    <n v="2"/>
    <n v="0.2"/>
    <n v="384"/>
    <n v="139.19"/>
    <s v="Office Supplies"/>
  </r>
  <r>
    <s v="ORD-00049"/>
    <d v="2025-05-06T00:00:00"/>
    <s v="Customer 070"/>
    <x v="7"/>
    <s v="Technology"/>
    <s v="East"/>
    <n v="3"/>
    <n v="0.05"/>
    <n v="199.5"/>
    <n v="60.93"/>
    <s v="Technology"/>
  </r>
  <r>
    <s v="ORD-00050"/>
    <d v="2025-11-10T00:00:00"/>
    <s v="Customer 071"/>
    <x v="5"/>
    <s v="Technology"/>
    <s v="East"/>
    <n v="5"/>
    <n v="0"/>
    <n v="1600"/>
    <n v="367.37"/>
    <s v="Technology"/>
  </r>
  <r>
    <s v="ORD-00051"/>
    <d v="2025-12-06T00:00:00"/>
    <s v="Customer 014"/>
    <x v="0"/>
    <s v="Technology"/>
    <s v="South"/>
    <n v="2"/>
    <n v="0.1"/>
    <n v="63"/>
    <n v="25.95"/>
    <s v="Technology"/>
  </r>
  <r>
    <s v="ORD-00052"/>
    <d v="2025-05-20T00:00:00"/>
    <s v="Customer 027"/>
    <x v="4"/>
    <s v="Technology"/>
    <s v="East"/>
    <n v="5"/>
    <n v="0.05"/>
    <n v="4037.5"/>
    <n v="860.75"/>
    <s v="Technology"/>
  </r>
  <r>
    <s v="ORD-00053"/>
    <d v="2025-09-16T00:00:00"/>
    <s v="Customer 055"/>
    <x v="6"/>
    <s v="Office Supplies"/>
    <s v="East"/>
    <n v="3"/>
    <n v="0"/>
    <n v="54"/>
    <n v="22.66"/>
    <s v="Office Supplies"/>
  </r>
  <r>
    <s v="ORD-00054"/>
    <d v="2025-01-23T00:00:00"/>
    <s v="Customer 034"/>
    <x v="9"/>
    <s v="Technology"/>
    <s v="South"/>
    <n v="3"/>
    <n v="0.05"/>
    <n v="3420"/>
    <n v="819.95"/>
    <s v="Technology"/>
  </r>
  <r>
    <s v="ORD-00055"/>
    <d v="2025-08-15T00:00:00"/>
    <s v="Customer 010"/>
    <x v="8"/>
    <s v="Office Supplies"/>
    <s v="South"/>
    <n v="4"/>
    <n v="0.2"/>
    <n v="768"/>
    <n v="343.15"/>
    <s v="Office Supplies"/>
  </r>
  <r>
    <s v="ORD-00056"/>
    <d v="2025-10-07T00:00:00"/>
    <s v="Customer 056"/>
    <x v="9"/>
    <s v="Technology"/>
    <s v="South"/>
    <n v="3"/>
    <n v="0.2"/>
    <n v="2880"/>
    <n v="770.88"/>
    <s v="Technology"/>
  </r>
  <r>
    <s v="ORD-00057"/>
    <d v="2025-01-22T00:00:00"/>
    <s v="Customer 027"/>
    <x v="4"/>
    <s v="Technology"/>
    <s v="South"/>
    <n v="3"/>
    <n v="0"/>
    <n v="2550"/>
    <n v="391.05"/>
    <s v="Technology"/>
  </r>
  <r>
    <s v="ORD-00058"/>
    <d v="2025-12-08T00:00:00"/>
    <s v="Customer 053"/>
    <x v="0"/>
    <s v="Technology"/>
    <s v="South"/>
    <n v="3"/>
    <n v="0.2"/>
    <n v="84"/>
    <n v="13.29"/>
    <s v="Technology"/>
  </r>
  <r>
    <s v="ORD-00059"/>
    <d v="2025-05-02T00:00:00"/>
    <s v="Customer 095"/>
    <x v="3"/>
    <s v="Furniture"/>
    <s v="East"/>
    <n v="2"/>
    <n v="0.15"/>
    <n v="476"/>
    <n v="210.31"/>
    <s v="Furniture"/>
  </r>
  <r>
    <s v="ORD-00060"/>
    <d v="2025-07-30T00:00:00"/>
    <s v="Customer 090"/>
    <x v="5"/>
    <s v="Technology"/>
    <s v="North"/>
    <n v="2"/>
    <n v="0.1"/>
    <n v="576"/>
    <n v="228.94"/>
    <s v="Technology"/>
  </r>
  <r>
    <s v="ORD-00061"/>
    <d v="2025-07-15T00:00:00"/>
    <s v="Customer 059"/>
    <x v="9"/>
    <s v="Technology"/>
    <s v="East"/>
    <n v="4"/>
    <n v="0.05"/>
    <n v="4560"/>
    <n v="1751.68"/>
    <s v="Technology"/>
  </r>
  <r>
    <s v="ORD-00062"/>
    <d v="2025-06-06T00:00:00"/>
    <s v="Customer 052"/>
    <x v="2"/>
    <s v="Furniture"/>
    <s v="East"/>
    <n v="2"/>
    <n v="0"/>
    <n v="110"/>
    <n v="25.54"/>
    <s v="Furniture"/>
  </r>
  <r>
    <s v="ORD-00063"/>
    <d v="2025-05-23T00:00:00"/>
    <s v="Customer 052"/>
    <x v="0"/>
    <s v="Technology"/>
    <s v="East"/>
    <n v="3"/>
    <n v="0.1"/>
    <n v="94.5"/>
    <n v="22.52"/>
    <s v="Technology"/>
  </r>
  <r>
    <s v="ORD-00064"/>
    <d v="2025-01-15T00:00:00"/>
    <s v="Customer 034"/>
    <x v="0"/>
    <s v="Technology"/>
    <s v="North"/>
    <n v="3"/>
    <n v="0.05"/>
    <n v="99.75"/>
    <n v="25.78"/>
    <s v="Technology"/>
  </r>
  <r>
    <s v="ORD-00065"/>
    <d v="2025-02-25T00:00:00"/>
    <s v="Customer 041"/>
    <x v="10"/>
    <s v="Office Supplies"/>
    <s v="West"/>
    <n v="4"/>
    <n v="0.1"/>
    <n v="90"/>
    <n v="18.86"/>
    <s v="Office Supplies"/>
  </r>
  <r>
    <s v="ORD-00066"/>
    <d v="2025-11-07T00:00:00"/>
    <s v="Customer 025"/>
    <x v="8"/>
    <s v="Office Supplies"/>
    <s v="East"/>
    <n v="1"/>
    <n v="0.15"/>
    <n v="204"/>
    <n v="31.25"/>
    <s v="Office Supplies"/>
  </r>
  <r>
    <s v="ORD-00067"/>
    <d v="2025-01-23T00:00:00"/>
    <s v="Customer 069"/>
    <x v="1"/>
    <s v="Furniture"/>
    <s v="South"/>
    <n v="4"/>
    <n v="0"/>
    <n v="840"/>
    <n v="233.88"/>
    <s v="Furniture"/>
  </r>
  <r>
    <s v="ORD-00068"/>
    <d v="2025-07-06T00:00:00"/>
    <s v="Customer 085"/>
    <x v="11"/>
    <s v="Furniture"/>
    <s v="North"/>
    <n v="1"/>
    <n v="0.1"/>
    <n v="171"/>
    <n v="41.79"/>
    <s v="Furniture"/>
  </r>
  <r>
    <s v="ORD-00069"/>
    <d v="2025-06-03T00:00:00"/>
    <s v="Customer 090"/>
    <x v="8"/>
    <s v="Office Supplies"/>
    <s v="East"/>
    <n v="3"/>
    <n v="0.15"/>
    <n v="612"/>
    <n v="209.52"/>
    <s v="Office Supplies"/>
  </r>
  <r>
    <s v="ORD-00070"/>
    <d v="2025-10-11T00:00:00"/>
    <s v="Customer 049"/>
    <x v="3"/>
    <s v="Furniture"/>
    <s v="South"/>
    <n v="2"/>
    <n v="0.15"/>
    <n v="476"/>
    <n v="109.75"/>
    <s v="Furniture"/>
  </r>
  <r>
    <s v="ORD-00071"/>
    <d v="2025-11-12T00:00:00"/>
    <s v="Customer 001"/>
    <x v="10"/>
    <s v="Office Supplies"/>
    <s v="East"/>
    <n v="3"/>
    <n v="0.15"/>
    <n v="63.75"/>
    <n v="17.16"/>
    <s v="Office Supplies"/>
  </r>
  <r>
    <s v="ORD-00072"/>
    <d v="2025-05-27T00:00:00"/>
    <s v="Customer 042"/>
    <x v="2"/>
    <s v="Furniture"/>
    <s v="West"/>
    <n v="4"/>
    <n v="0.2"/>
    <n v="176"/>
    <n v="43.97"/>
    <s v="Furniture"/>
  </r>
  <r>
    <s v="ORD-00073"/>
    <d v="2025-08-15T00:00:00"/>
    <s v="Customer 095"/>
    <x v="6"/>
    <s v="Office Supplies"/>
    <s v="South"/>
    <n v="2"/>
    <n v="0.2"/>
    <n v="28.8"/>
    <n v="8.4600000000000009"/>
    <s v="Office Supplies"/>
  </r>
  <r>
    <s v="ORD-00074"/>
    <d v="2025-12-04T00:00:00"/>
    <s v="Customer 080"/>
    <x v="0"/>
    <s v="Technology"/>
    <s v="East"/>
    <n v="3"/>
    <n v="0.2"/>
    <n v="84"/>
    <n v="19.399999999999999"/>
    <s v="Technology"/>
  </r>
  <r>
    <s v="ORD-00075"/>
    <d v="2025-02-17T00:00:00"/>
    <s v="Customer 019"/>
    <x v="2"/>
    <s v="Furniture"/>
    <s v="North"/>
    <n v="3"/>
    <n v="0.05"/>
    <n v="156.75"/>
    <n v="28.82"/>
    <s v="Furniture"/>
  </r>
  <r>
    <s v="ORD-00076"/>
    <d v="2025-01-24T00:00:00"/>
    <s v="Customer 010"/>
    <x v="2"/>
    <s v="Furniture"/>
    <s v="West"/>
    <n v="4"/>
    <n v="0.2"/>
    <n v="176"/>
    <n v="29.85"/>
    <s v="Furniture"/>
  </r>
  <r>
    <s v="ORD-00077"/>
    <d v="2025-08-01T00:00:00"/>
    <s v="Customer 050"/>
    <x v="5"/>
    <s v="Technology"/>
    <s v="West"/>
    <n v="5"/>
    <n v="0.05"/>
    <n v="1520"/>
    <n v="323.68"/>
    <s v="Technology"/>
  </r>
  <r>
    <s v="ORD-00078"/>
    <d v="2025-07-24T00:00:00"/>
    <s v="Customer 099"/>
    <x v="2"/>
    <s v="Furniture"/>
    <s v="North"/>
    <n v="2"/>
    <n v="0"/>
    <n v="110"/>
    <n v="17.100000000000001"/>
    <s v="Furniture"/>
  </r>
  <r>
    <s v="ORD-00079"/>
    <d v="2025-08-06T00:00:00"/>
    <s v="Customer 072"/>
    <x v="2"/>
    <s v="Furniture"/>
    <s v="South"/>
    <n v="2"/>
    <n v="0.2"/>
    <n v="88"/>
    <n v="26.11"/>
    <s v="Furniture"/>
  </r>
  <r>
    <s v="ORD-00080"/>
    <d v="2025-03-04T00:00:00"/>
    <s v="Customer 072"/>
    <x v="6"/>
    <s v="Office Supplies"/>
    <s v="East"/>
    <n v="2"/>
    <n v="0.15"/>
    <n v="30.6"/>
    <n v="7.03"/>
    <s v="Office Supplies"/>
  </r>
  <r>
    <s v="ORD-00081"/>
    <d v="2025-08-15T00:00:00"/>
    <s v="Customer 071"/>
    <x v="10"/>
    <s v="Office Supplies"/>
    <s v="West"/>
    <n v="5"/>
    <n v="0.15"/>
    <n v="106.25"/>
    <n v="18.690000000000001"/>
    <s v="Office Supplies"/>
  </r>
  <r>
    <s v="ORD-00082"/>
    <d v="2025-03-23T00:00:00"/>
    <s v="Customer 032"/>
    <x v="1"/>
    <s v="Furniture"/>
    <s v="East"/>
    <n v="4"/>
    <n v="0.15"/>
    <n v="714"/>
    <n v="260.23"/>
    <s v="Furniture"/>
  </r>
  <r>
    <s v="ORD-00083"/>
    <d v="2025-09-24T00:00:00"/>
    <s v="Customer 092"/>
    <x v="6"/>
    <s v="Office Supplies"/>
    <s v="East"/>
    <n v="2"/>
    <n v="0.1"/>
    <n v="32.4"/>
    <n v="9.8800000000000008"/>
    <s v="Office Supplies"/>
  </r>
  <r>
    <s v="ORD-00084"/>
    <d v="2025-05-01T00:00:00"/>
    <s v="Customer 011"/>
    <x v="4"/>
    <s v="Technology"/>
    <s v="South"/>
    <n v="3"/>
    <n v="0.1"/>
    <n v="2295"/>
    <n v="356.42"/>
    <s v="Technology"/>
  </r>
  <r>
    <s v="ORD-00085"/>
    <d v="2025-03-19T00:00:00"/>
    <s v="Customer 009"/>
    <x v="2"/>
    <s v="Furniture"/>
    <s v="West"/>
    <n v="4"/>
    <n v="0.05"/>
    <n v="209"/>
    <n v="45.33"/>
    <s v="Furniture"/>
  </r>
  <r>
    <s v="ORD-00086"/>
    <d v="2025-07-28T00:00:00"/>
    <s v="Customer 027"/>
    <x v="7"/>
    <s v="Technology"/>
    <s v="West"/>
    <n v="5"/>
    <n v="0.15"/>
    <n v="297.5"/>
    <n v="93.06"/>
    <s v="Technology"/>
  </r>
  <r>
    <s v="ORD-00087"/>
    <d v="2025-07-19T00:00:00"/>
    <s v="Customer 001"/>
    <x v="10"/>
    <s v="Office Supplies"/>
    <s v="East"/>
    <n v="1"/>
    <n v="0.2"/>
    <n v="20"/>
    <n v="6.49"/>
    <s v="Office Supplies"/>
  </r>
  <r>
    <s v="ORD-00088"/>
    <d v="2025-06-02T00:00:00"/>
    <s v="Customer 070"/>
    <x v="11"/>
    <s v="Furniture"/>
    <s v="South"/>
    <n v="4"/>
    <n v="0.2"/>
    <n v="608"/>
    <n v="123.62"/>
    <s v="Furniture"/>
  </r>
  <r>
    <s v="ORD-00089"/>
    <d v="2025-09-07T00:00:00"/>
    <s v="Customer 050"/>
    <x v="2"/>
    <s v="Technology "/>
    <s v="East"/>
    <n v="3"/>
    <n v="0.15"/>
    <n v="140.25"/>
    <n v="40.64"/>
    <s v="Technology"/>
  </r>
  <r>
    <s v="ORD-00090"/>
    <d v="2025-12-09T00:00:00"/>
    <s v="Customer 017"/>
    <x v="5"/>
    <s v="Technology"/>
    <s v="North"/>
    <n v="4"/>
    <n v="0.05"/>
    <n v="1216"/>
    <n v="209.92"/>
    <s v="Technology"/>
  </r>
  <r>
    <s v="ORD-00091"/>
    <d v="2025-07-21T00:00:00"/>
    <s v="Customer 055"/>
    <x v="10"/>
    <s v="Office Supplies"/>
    <s v="South"/>
    <n v="5"/>
    <n v="0"/>
    <n v="125"/>
    <n v="52.79"/>
    <s v="Office Supplies"/>
  </r>
  <r>
    <s v="ORD-00092"/>
    <d v="2025-08-25T00:00:00"/>
    <s v="Customer 028"/>
    <x v="3"/>
    <s v="Furniture"/>
    <s v="West"/>
    <n v="1"/>
    <n v="0.1"/>
    <n v="252"/>
    <n v="81.87"/>
    <s v="Furniture"/>
  </r>
  <r>
    <s v="ORD-00093"/>
    <d v="2025-06-17T00:00:00"/>
    <s v="Customer 054"/>
    <x v="7"/>
    <s v="Technology"/>
    <s v="East"/>
    <n v="4"/>
    <n v="0.1"/>
    <n v="252"/>
    <n v="50.86"/>
    <s v="Technology"/>
  </r>
  <r>
    <s v="ORD-00094"/>
    <d v="2025-02-11T00:00:00"/>
    <s v="Customer 045"/>
    <x v="6"/>
    <s v="Office Supplies"/>
    <s v="South"/>
    <n v="1"/>
    <n v="0.2"/>
    <n v="14.4"/>
    <n v="6.23"/>
    <s v="Office Supplies"/>
  </r>
  <r>
    <s v="ORD-00095"/>
    <d v="2025-11-29T00:00:00"/>
    <s v="Customer 026"/>
    <x v="0"/>
    <s v="Technology"/>
    <s v="North"/>
    <n v="1"/>
    <n v="0"/>
    <n v="35"/>
    <n v="4.78"/>
    <s v="Technology"/>
  </r>
  <r>
    <s v="ORD-00096"/>
    <d v="2025-11-15T00:00:00"/>
    <s v="Customer 015"/>
    <x v="3"/>
    <s v="Furniture"/>
    <s v="South"/>
    <n v="2"/>
    <n v="0.05"/>
    <n v="532"/>
    <n v="156.26"/>
    <s v="Furniture"/>
  </r>
  <r>
    <s v="ORD-00097"/>
    <d v="2025-08-27T00:00:00"/>
    <s v="Customer 078"/>
    <x v="1"/>
    <s v="Furniture"/>
    <s v="North"/>
    <n v="3"/>
    <n v="0.1"/>
    <n v="567"/>
    <n v="223.75"/>
    <s v="Furniture"/>
  </r>
  <r>
    <s v="ORD-00098"/>
    <d v="2025-03-25T00:00:00"/>
    <s v="Customer 040"/>
    <x v="4"/>
    <s v="Technology"/>
    <s v="West"/>
    <n v="1"/>
    <n v="0.2"/>
    <n v="680"/>
    <n v="300.24"/>
    <s v="Technology"/>
  </r>
  <r>
    <s v="ORD-00099"/>
    <d v="2025-07-23T00:00:00"/>
    <s v="Customer 081"/>
    <x v="1"/>
    <s v="Furniture"/>
    <s v="South"/>
    <n v="2"/>
    <n v="0"/>
    <n v="420"/>
    <n v="106.94"/>
    <s v="Furniture"/>
  </r>
  <r>
    <s v="ORD-00100"/>
    <d v="2025-02-22T00:00:00"/>
    <s v="Customer 073"/>
    <x v="1"/>
    <s v="Furniture"/>
    <s v="North"/>
    <n v="3"/>
    <n v="0.2"/>
    <n v="504"/>
    <n v="92.82"/>
    <s v="Furniture"/>
  </r>
  <r>
    <s v="ORD-00101"/>
    <d v="2025-06-27T00:00:00"/>
    <s v="Customer 083"/>
    <x v="8"/>
    <s v="Office Supplies"/>
    <s v="East"/>
    <n v="4"/>
    <n v="0.1"/>
    <n v="864"/>
    <n v="369.14"/>
    <s v="Office Supplies"/>
  </r>
  <r>
    <s v="ORD-00102"/>
    <d v="2025-01-07T00:00:00"/>
    <s v="Customer 047"/>
    <x v="11"/>
    <s v="Furniture"/>
    <s v="West"/>
    <n v="4"/>
    <n v="0"/>
    <n v="760"/>
    <n v="233.27"/>
    <s v="Furniture"/>
  </r>
  <r>
    <s v="ORD-00103"/>
    <d v="2025-12-29T00:00:00"/>
    <s v="Customer 084"/>
    <x v="3"/>
    <s v="Furniture"/>
    <s v="East"/>
    <n v="4"/>
    <n v="0.05"/>
    <n v="1064"/>
    <n v="221.15"/>
    <s v="Furniture"/>
  </r>
  <r>
    <s v="ORD-00104"/>
    <d v="2025-11-12T00:00:00"/>
    <s v="Customer 094"/>
    <x v="8"/>
    <s v="Office Supplies"/>
    <s v="East"/>
    <n v="4"/>
    <n v="0.15"/>
    <n v="816"/>
    <n v="249.91"/>
    <s v="Office Supplies"/>
  </r>
  <r>
    <s v="ORD-00105"/>
    <d v="2025-06-15T00:00:00"/>
    <s v="Customer 032"/>
    <x v="2"/>
    <s v="Furniture"/>
    <s v="West"/>
    <n v="1"/>
    <n v="0.1"/>
    <n v="49.5"/>
    <n v="7.87"/>
    <s v="Furniture"/>
  </r>
  <r>
    <s v="ORD-00106"/>
    <d v="2025-10-19T00:00:00"/>
    <s v="Customer 042"/>
    <x v="10"/>
    <s v="Office Supplies"/>
    <s v="South"/>
    <n v="4"/>
    <n v="0.1"/>
    <n v="90"/>
    <n v="39.65"/>
    <s v="Office Supplies"/>
  </r>
  <r>
    <s v="ORD-00107"/>
    <d v="2025-09-07T00:00:00"/>
    <s v="Customer 077"/>
    <x v="2"/>
    <s v="Furniture"/>
    <s v="East"/>
    <n v="3"/>
    <n v="0.1"/>
    <n v="148.5"/>
    <n v="50.15"/>
    <s v="Furniture"/>
  </r>
  <r>
    <s v="ORD-00108"/>
    <d v="2025-10-12T00:00:00"/>
    <s v="Customer 093"/>
    <x v="9"/>
    <s v="Technology"/>
    <s v="West"/>
    <n v="5"/>
    <n v="0.05"/>
    <n v="5700"/>
    <n v="2403.96"/>
    <s v="Technology"/>
  </r>
  <r>
    <s v="ORD-00109"/>
    <d v="2025-09-08T00:00:00"/>
    <s v="Customer 063"/>
    <x v="8"/>
    <s v="Office Supplies"/>
    <s v="West"/>
    <n v="2"/>
    <n v="0.15"/>
    <n v="408"/>
    <n v="96.64"/>
    <s v="Office Supplies"/>
  </r>
  <r>
    <s v="ORD-00110"/>
    <d v="2025-01-09T00:00:00"/>
    <s v="Customer 032"/>
    <x v="0"/>
    <s v="Technology"/>
    <s v="East"/>
    <n v="3"/>
    <n v="0.05"/>
    <n v="99.75"/>
    <n v="31.58"/>
    <s v="Technology"/>
  </r>
  <r>
    <s v="ORD-00111"/>
    <d v="2025-12-06T00:00:00"/>
    <s v="Customer 045"/>
    <x v="10"/>
    <s v="Office Supplies"/>
    <s v="West"/>
    <n v="3"/>
    <n v="0.15"/>
    <n v="63.75"/>
    <n v="17.04"/>
    <s v="Office Supplies"/>
  </r>
  <r>
    <s v="ORD-00112"/>
    <d v="2025-10-09T00:00:00"/>
    <s v="Customer 033"/>
    <x v="7"/>
    <s v="Technology"/>
    <s v="South"/>
    <n v="3"/>
    <n v="0.15"/>
    <n v="178.5"/>
    <n v="64.37"/>
    <s v="Technology"/>
  </r>
  <r>
    <s v="ORD-00113"/>
    <d v="2025-03-03T00:00:00"/>
    <s v="Customer 069"/>
    <x v="1"/>
    <s v="Furniture"/>
    <s v="South"/>
    <n v="2"/>
    <n v="0.1"/>
    <n v="378"/>
    <n v="155.19"/>
    <s v="Furniture"/>
  </r>
  <r>
    <s v="ORD-00114"/>
    <d v="2025-04-09T00:00:00"/>
    <s v="Customer 098"/>
    <x v="2"/>
    <s v="Furniture"/>
    <s v="East"/>
    <n v="4"/>
    <n v="0.1"/>
    <n v="198"/>
    <n v="41.76"/>
    <s v="Furniture"/>
  </r>
  <r>
    <s v="ORD-00115"/>
    <d v="2025-02-21T00:00:00"/>
    <s v="Customer 039"/>
    <x v="2"/>
    <s v="Furniture"/>
    <s v="North"/>
    <n v="3"/>
    <n v="0.05"/>
    <n v="156.75"/>
    <n v="51.87"/>
    <s v="Furniture"/>
  </r>
  <r>
    <s v="ORD-00116"/>
    <d v="2025-12-29T00:00:00"/>
    <s v="Customer 007"/>
    <x v="8"/>
    <s v="Office Supplies"/>
    <s v="East"/>
    <n v="2"/>
    <n v="0.1"/>
    <n v="432"/>
    <n v="187.91"/>
    <s v="Office Supplies"/>
  </r>
  <r>
    <s v="ORD-00117"/>
    <d v="2025-12-24T00:00:00"/>
    <s v="Customer 074"/>
    <x v="3"/>
    <s v="Furniture"/>
    <s v="East"/>
    <n v="4"/>
    <n v="0"/>
    <n v="1120"/>
    <n v="181.44"/>
    <s v="Furniture"/>
  </r>
  <r>
    <s v="ORD-00118"/>
    <d v="2025-08-29T00:00:00"/>
    <s v="Customer 007"/>
    <x v="6"/>
    <s v="Office Supplies"/>
    <s v="East"/>
    <n v="4"/>
    <n v="0.1"/>
    <n v="64.8"/>
    <n v="25.22"/>
    <s v="Office Supplies"/>
  </r>
  <r>
    <s v="ORD-00119"/>
    <d v="2025-09-02T00:00:00"/>
    <s v="Customer 074"/>
    <x v="0"/>
    <s v="Technology"/>
    <s v="North"/>
    <n v="1"/>
    <n v="0.15"/>
    <n v="29.75"/>
    <n v="8.56"/>
    <s v="Technology"/>
  </r>
  <r>
    <s v="ORD-00120"/>
    <d v="2025-03-19T00:00:00"/>
    <s v="Customer 032"/>
    <x v="3"/>
    <s v="Furniture"/>
    <s v="North"/>
    <n v="5"/>
    <n v="0.1"/>
    <n v="1260"/>
    <n v="531.58000000000004"/>
    <s v="Furniture"/>
  </r>
  <r>
    <s v="ORD-00121"/>
    <d v="2025-10-13T00:00:00"/>
    <s v="Customer 029"/>
    <x v="11"/>
    <s v="Furniture"/>
    <s v="West"/>
    <n v="5"/>
    <n v="0.2"/>
    <n v="760"/>
    <n v="143.68"/>
    <s v="Furniture"/>
  </r>
  <r>
    <s v="ORD-00122"/>
    <d v="2025-08-19T00:00:00"/>
    <s v="Customer 040"/>
    <x v="6"/>
    <s v="Office Supplies"/>
    <s v="North"/>
    <n v="3"/>
    <n v="0.2"/>
    <n v="43.2"/>
    <n v="5.33"/>
    <s v="Office Supplies"/>
  </r>
  <r>
    <s v="ORD-00123"/>
    <d v="2025-11-09T00:00:00"/>
    <s v="Customer 034"/>
    <x v="1"/>
    <s v="Furniture"/>
    <s v="North"/>
    <n v="1"/>
    <n v="0.05"/>
    <n v="199.5"/>
    <n v="48.59"/>
    <s v="Furniture"/>
  </r>
  <r>
    <s v="ORD-00124"/>
    <d v="2025-03-22T00:00:00"/>
    <s v="Customer 001"/>
    <x v="2"/>
    <s v="Furniture"/>
    <s v="West"/>
    <n v="2"/>
    <n v="0.2"/>
    <n v="88"/>
    <n v="37.42"/>
    <s v="Furniture"/>
  </r>
  <r>
    <s v="ORD-00125"/>
    <d v="2025-08-19T00:00:00"/>
    <s v="Customer 030"/>
    <x v="1"/>
    <s v="Furniture"/>
    <s v="East"/>
    <n v="5"/>
    <n v="0.15"/>
    <n v="892.5"/>
    <n v="315.83999999999997"/>
    <s v="Furniture"/>
  </r>
  <r>
    <s v="ORD-00126"/>
    <d v="2025-12-28T00:00:00"/>
    <s v="Customer 034"/>
    <x v="4"/>
    <s v="Technology"/>
    <s v="South"/>
    <n v="4"/>
    <n v="0"/>
    <n v="3400"/>
    <n v="758.75"/>
    <s v="Technology"/>
  </r>
  <r>
    <s v="ORD-00127"/>
    <d v="2025-08-06T00:00:00"/>
    <s v="Customer 035"/>
    <x v="0"/>
    <s v="Technology"/>
    <s v="South"/>
    <n v="5"/>
    <n v="0.05"/>
    <n v="166.25"/>
    <n v="39.28"/>
    <s v="Technology"/>
  </r>
  <r>
    <s v="ORD-00128"/>
    <d v="2025-02-06T00:00:00"/>
    <s v="Customer 073"/>
    <x v="9"/>
    <s v="Technology"/>
    <s v="East"/>
    <n v="2"/>
    <n v="0.1"/>
    <n v="2160"/>
    <n v="547.85"/>
    <s v="Technology"/>
  </r>
  <r>
    <s v="ORD-00129"/>
    <d v="2025-08-13T00:00:00"/>
    <s v="Customer 035"/>
    <x v="0"/>
    <s v="Technology"/>
    <s v="West"/>
    <n v="4"/>
    <n v="0.1"/>
    <n v="126"/>
    <n v="27.61"/>
    <s v="Technology"/>
  </r>
  <r>
    <s v="ORD-00130"/>
    <d v="2025-08-13T00:00:00"/>
    <s v="Customer 095"/>
    <x v="0"/>
    <s v="Technology"/>
    <s v="East"/>
    <n v="5"/>
    <n v="0"/>
    <n v="175"/>
    <n v="27.39"/>
    <s v="Technology"/>
  </r>
  <r>
    <s v="ORD-00131"/>
    <d v="2025-11-06T00:00:00"/>
    <s v="Customer 087"/>
    <x v="4"/>
    <s v="Technology"/>
    <s v="North"/>
    <n v="1"/>
    <n v="0"/>
    <n v="850"/>
    <n v="318.29000000000002"/>
    <s v="Technology"/>
  </r>
  <r>
    <s v="ORD-00132"/>
    <d v="2025-12-11T00:00:00"/>
    <s v="Customer 023"/>
    <x v="4"/>
    <s v="Technology"/>
    <s v="West"/>
    <n v="5"/>
    <n v="0"/>
    <n v="4250"/>
    <n v="842.24"/>
    <s v="Technology"/>
  </r>
  <r>
    <s v="ORD-00133"/>
    <d v="2025-09-23T00:00:00"/>
    <s v="Customer 075"/>
    <x v="5"/>
    <s v="Technology"/>
    <s v="West"/>
    <n v="4"/>
    <n v="0.1"/>
    <n v="1152"/>
    <n v="449.41"/>
    <s v="Technology"/>
  </r>
  <r>
    <s v="ORD-00134"/>
    <d v="2025-11-22T00:00:00"/>
    <s v="Customer 043"/>
    <x v="6"/>
    <s v="Office Supplies"/>
    <s v="East"/>
    <n v="1"/>
    <n v="0.15"/>
    <n v="15.3"/>
    <n v="5.13"/>
    <s v="Office Supplies"/>
  </r>
  <r>
    <s v="ORD-00135"/>
    <d v="2025-12-10T00:00:00"/>
    <s v="Customer 064"/>
    <x v="0"/>
    <s v="Technology"/>
    <s v="East"/>
    <n v="2"/>
    <n v="0.1"/>
    <n v="63"/>
    <n v="19.79"/>
    <s v="Technology"/>
  </r>
  <r>
    <s v="ORD-00136"/>
    <d v="2025-12-06T00:00:00"/>
    <s v="Customer 041"/>
    <x v="11"/>
    <s v="Furniture"/>
    <s v="East"/>
    <n v="5"/>
    <n v="0"/>
    <n v="950"/>
    <n v="284.91000000000003"/>
    <s v="Furniture"/>
  </r>
  <r>
    <s v="ORD-00137"/>
    <d v="2025-06-15T00:00:00"/>
    <s v="Customer 001"/>
    <x v="0"/>
    <s v="Technology"/>
    <s v="West"/>
    <n v="4"/>
    <n v="0.2"/>
    <n v="112"/>
    <n v="19.91"/>
    <s v="Technology"/>
  </r>
  <r>
    <s v="ORD-00138"/>
    <d v="2025-07-31T00:00:00"/>
    <s v="Customer 097"/>
    <x v="9"/>
    <s v="Technology"/>
    <s v="West"/>
    <n v="2"/>
    <n v="0.2"/>
    <n v="1920"/>
    <n v="634.78"/>
    <s v="Technology"/>
  </r>
  <r>
    <s v="ORD-00139"/>
    <d v="2025-11-17T00:00:00"/>
    <s v="Customer 017"/>
    <x v="6"/>
    <s v="Office Supplies"/>
    <s v="East"/>
    <n v="1"/>
    <n v="0.05"/>
    <n v="17.100000000000001"/>
    <n v="6.19"/>
    <s v="Office Supplies"/>
  </r>
  <r>
    <s v="ORD-00140"/>
    <d v="2025-08-13T00:00:00"/>
    <s v="Customer 081"/>
    <x v="1"/>
    <s v="Furniture"/>
    <s v="South"/>
    <n v="4"/>
    <n v="0"/>
    <n v="840"/>
    <n v="370"/>
    <s v="Furniture"/>
  </r>
  <r>
    <s v="ORD-00141"/>
    <d v="2025-12-30T00:00:00"/>
    <s v="Customer 053"/>
    <x v="3"/>
    <s v="Furniture"/>
    <s v="North"/>
    <n v="3"/>
    <n v="0.2"/>
    <n v="672"/>
    <n v="299.37"/>
    <s v="Furniture"/>
  </r>
  <r>
    <s v="ORD-00142"/>
    <d v="2025-04-26T00:00:00"/>
    <s v="Customer 020"/>
    <x v="0"/>
    <s v="Technology"/>
    <s v="West"/>
    <n v="4"/>
    <n v="0"/>
    <n v="140"/>
    <n v="33.08"/>
    <s v="Technology"/>
  </r>
  <r>
    <s v="ORD-00143"/>
    <d v="2025-05-30T00:00:00"/>
    <s v="Customer 061"/>
    <x v="8"/>
    <s v="Office Supplies"/>
    <s v="South"/>
    <n v="3"/>
    <n v="0.15"/>
    <n v="612"/>
    <n v="106.82"/>
    <s v="Office Supplies"/>
  </r>
  <r>
    <s v="ORD-00144"/>
    <d v="2025-08-22T00:00:00"/>
    <s v="Customer 077"/>
    <x v="8"/>
    <s v="Office Supplies"/>
    <s v="South"/>
    <n v="2"/>
    <n v="0.15"/>
    <n v="408"/>
    <n v="157.94"/>
    <s v="Office Supplies"/>
  </r>
  <r>
    <s v="ORD-00145"/>
    <d v="2025-02-05T00:00:00"/>
    <s v="Customer 065"/>
    <x v="4"/>
    <s v="Technology"/>
    <s v="East"/>
    <n v="4"/>
    <n v="0.1"/>
    <n v="3060"/>
    <n v="433.6"/>
    <s v="Technology"/>
  </r>
  <r>
    <s v="ORD-00146"/>
    <d v="2025-01-02T00:00:00"/>
    <s v="Customer 085"/>
    <x v="4"/>
    <s v="Technology"/>
    <s v="West"/>
    <n v="3"/>
    <n v="0.2"/>
    <n v="2040"/>
    <n v="527.6"/>
    <s v="Technology"/>
  </r>
  <r>
    <s v="ORD-00147"/>
    <d v="2025-03-18T00:00:00"/>
    <s v="Customer 071"/>
    <x v="6"/>
    <s v="Office Supplies"/>
    <s v="West"/>
    <n v="5"/>
    <n v="0.15"/>
    <n v="76.5"/>
    <n v="25.71"/>
    <s v="Office Supplies"/>
  </r>
  <r>
    <s v="ORD-00148"/>
    <d v="2025-08-22T00:00:00"/>
    <s v="Customer 030"/>
    <x v="7"/>
    <s v="Technology"/>
    <s v="West"/>
    <n v="2"/>
    <n v="0.05"/>
    <n v="133"/>
    <n v="34.75"/>
    <s v="Technology"/>
  </r>
  <r>
    <s v="ORD-00149"/>
    <d v="2025-01-23T00:00:00"/>
    <s v="Customer 085"/>
    <x v="7"/>
    <s v="Technology"/>
    <s v="South"/>
    <n v="4"/>
    <n v="0.15"/>
    <n v="238"/>
    <n v="76.78"/>
    <s v="Technology"/>
  </r>
  <r>
    <s v="ORD-00150"/>
    <d v="2025-09-11T00:00:00"/>
    <s v="Customer 043"/>
    <x v="9"/>
    <s v="Technology"/>
    <s v="North"/>
    <n v="2"/>
    <n v="0.2"/>
    <n v="1920"/>
    <n v="252.35"/>
    <s v="Technology"/>
  </r>
  <r>
    <s v="ORD-00151"/>
    <d v="2025-08-14T00:00:00"/>
    <s v="Customer 019"/>
    <x v="0"/>
    <s v="Technology"/>
    <s v="West"/>
    <n v="5"/>
    <n v="0.15"/>
    <n v="148.75"/>
    <n v="66.180000000000007"/>
    <s v="Technology"/>
  </r>
  <r>
    <s v="ORD-00152"/>
    <d v="2025-12-02T00:00:00"/>
    <s v="Customer 034"/>
    <x v="3"/>
    <s v="Furniture"/>
    <s v="East"/>
    <n v="1"/>
    <n v="0.15"/>
    <n v="238"/>
    <n v="45.72"/>
    <s v="Furniture"/>
  </r>
  <r>
    <s v="ORD-00153"/>
    <d v="2025-11-16T00:00:00"/>
    <s v="Customer 087"/>
    <x v="1"/>
    <s v="Furniture"/>
    <s v="West"/>
    <n v="4"/>
    <n v="0"/>
    <n v="840"/>
    <n v="141.88999999999999"/>
    <s v="Furniture"/>
  </r>
  <r>
    <s v="ORD-00154"/>
    <d v="2025-06-12T00:00:00"/>
    <s v="Customer 009"/>
    <x v="5"/>
    <s v="Technology"/>
    <s v="South"/>
    <n v="4"/>
    <n v="0.2"/>
    <n v="1024"/>
    <n v="448.67"/>
    <s v="Technology"/>
  </r>
  <r>
    <s v="ORD-00155"/>
    <d v="2025-11-20T00:00:00"/>
    <s v="Customer 056"/>
    <x v="5"/>
    <s v="Technology"/>
    <s v="North"/>
    <n v="3"/>
    <n v="0.05"/>
    <n v="912"/>
    <n v="185.65"/>
    <s v="Technology"/>
  </r>
  <r>
    <s v="ORD-00156"/>
    <d v="2025-11-21T00:00:00"/>
    <s v="Customer 039"/>
    <x v="1"/>
    <s v="Furniture"/>
    <s v="North"/>
    <n v="1"/>
    <n v="0.15"/>
    <n v="178.5"/>
    <n v="70.53"/>
    <s v="Furniture"/>
  </r>
  <r>
    <s v="ORD-00157"/>
    <d v="2025-01-24T00:00:00"/>
    <s v="Customer 056"/>
    <x v="7"/>
    <s v="Technology"/>
    <s v="South"/>
    <n v="1"/>
    <n v="0.1"/>
    <n v="63"/>
    <n v="20.9"/>
    <s v="Technology"/>
  </r>
  <r>
    <s v="ORD-00158"/>
    <d v="2025-05-06T00:00:00"/>
    <s v="Customer 024"/>
    <x v="8"/>
    <s v="Office Supplies"/>
    <s v="South"/>
    <n v="4"/>
    <n v="0.2"/>
    <n v="768"/>
    <n v="172.8"/>
    <s v="Office Supplies"/>
  </r>
  <r>
    <s v="ORD-00159"/>
    <d v="2025-03-31T00:00:00"/>
    <s v="Customer 031"/>
    <x v="0"/>
    <s v="Technology"/>
    <s v="West"/>
    <n v="5"/>
    <n v="0.15"/>
    <n v="148.75"/>
    <n v="36.520000000000003"/>
    <s v="Technology"/>
  </r>
  <r>
    <s v="ORD-00160"/>
    <d v="2025-10-26T00:00:00"/>
    <s v="Customer 059"/>
    <x v="3"/>
    <s v="Furniture"/>
    <s v="East"/>
    <n v="2"/>
    <n v="0.15"/>
    <n v="476"/>
    <n v="114"/>
    <s v="Furniture"/>
  </r>
  <r>
    <s v="ORD-00161"/>
    <d v="2025-12-08T00:00:00"/>
    <s v="Customer 021"/>
    <x v="9"/>
    <s v="Technology"/>
    <s v="North"/>
    <n v="4"/>
    <n v="0.1"/>
    <n v="4320"/>
    <n v="978"/>
    <s v="Technology"/>
  </r>
  <r>
    <s v="ORD-00162"/>
    <d v="2025-08-15T00:00:00"/>
    <s v="Customer 055"/>
    <x v="7"/>
    <s v="Technology"/>
    <s v="East"/>
    <n v="5"/>
    <n v="0.1"/>
    <n v="315"/>
    <n v="75.33"/>
    <s v="Technology"/>
  </r>
  <r>
    <s v="ORD-00163"/>
    <d v="2025-08-22T00:00:00"/>
    <s v="Customer 014"/>
    <x v="4"/>
    <s v="Technology"/>
    <s v="South"/>
    <n v="2"/>
    <n v="0.15"/>
    <n v="1445"/>
    <n v="243.34"/>
    <s v="Technology"/>
  </r>
  <r>
    <s v="ORD-00164"/>
    <d v="2025-07-15T00:00:00"/>
    <s v="Customer 090"/>
    <x v="10"/>
    <s v="Office Supplies"/>
    <s v="East"/>
    <n v="3"/>
    <n v="0.2"/>
    <n v="60"/>
    <n v="21.14"/>
    <s v="Office Supplies"/>
  </r>
  <r>
    <s v="ORD-00165"/>
    <d v="2025-01-12T00:00:00"/>
    <s v="Customer 088"/>
    <x v="5"/>
    <s v="Technology"/>
    <s v="North"/>
    <n v="4"/>
    <n v="0.1"/>
    <n v="1152"/>
    <n v="515.32000000000005"/>
    <s v="Technology"/>
  </r>
  <r>
    <s v="ORD-00166"/>
    <d v="2025-11-07T00:00:00"/>
    <s v="Customer 030"/>
    <x v="1"/>
    <s v="Furniture"/>
    <s v="East"/>
    <n v="4"/>
    <n v="0.1"/>
    <n v="756"/>
    <n v="146.66999999999999"/>
    <s v="Furniture"/>
  </r>
  <r>
    <s v="ORD-00167"/>
    <d v="2025-04-23T00:00:00"/>
    <s v="Customer 097"/>
    <x v="5"/>
    <s v="Technology"/>
    <s v="South"/>
    <n v="2"/>
    <n v="0.2"/>
    <n v="512"/>
    <n v="188.05"/>
    <s v="Technology"/>
  </r>
  <r>
    <s v="ORD-00168"/>
    <d v="2025-11-18T00:00:00"/>
    <s v="Customer 005"/>
    <x v="0"/>
    <s v="Technology"/>
    <s v="East"/>
    <n v="1"/>
    <n v="0.1"/>
    <n v="31.5"/>
    <n v="5.98"/>
    <s v="Technology"/>
  </r>
  <r>
    <s v="ORD-00169"/>
    <d v="2025-03-09T00:00:00"/>
    <s v="Customer 023"/>
    <x v="0"/>
    <s v="Technology"/>
    <s v="South"/>
    <n v="3"/>
    <n v="0.1"/>
    <n v="94.5"/>
    <n v="19.21"/>
    <s v="Technology"/>
  </r>
  <r>
    <s v="ORD-00170"/>
    <d v="2025-03-09T00:00:00"/>
    <s v="Customer 035"/>
    <x v="8"/>
    <s v="Office Supplies"/>
    <s v="South"/>
    <n v="3"/>
    <n v="0.2"/>
    <n v="576"/>
    <n v="163.82"/>
    <s v="Office Supplies"/>
  </r>
  <r>
    <s v="ORD-00171"/>
    <d v="2025-05-12T00:00:00"/>
    <s v="Customer 060"/>
    <x v="6"/>
    <s v="Office Supplies"/>
    <s v="North"/>
    <n v="3"/>
    <n v="0.1"/>
    <n v="48.6"/>
    <n v="8.9700000000000006"/>
    <s v="Office Supplies"/>
  </r>
  <r>
    <s v="ORD-00172"/>
    <d v="2025-03-14T00:00:00"/>
    <s v="Customer 051"/>
    <x v="2"/>
    <s v="Furniture"/>
    <s v="North"/>
    <n v="4"/>
    <n v="0.2"/>
    <n v="176"/>
    <n v="57.96"/>
    <s v="Furniture"/>
  </r>
  <r>
    <s v="ORD-00173"/>
    <d v="2025-05-16T00:00:00"/>
    <s v="Customer 096"/>
    <x v="8"/>
    <s v="Office Supplies"/>
    <s v="East"/>
    <n v="1"/>
    <n v="0.15"/>
    <n v="204"/>
    <n v="66.989999999999995"/>
    <s v="Office Supplies"/>
  </r>
  <r>
    <s v="ORD-00174"/>
    <d v="2025-10-27T00:00:00"/>
    <s v="Customer 061"/>
    <x v="11"/>
    <s v="Furniture"/>
    <s v="North"/>
    <n v="3"/>
    <n v="0"/>
    <n v="570"/>
    <n v="129.56"/>
    <s v="Furniture"/>
  </r>
  <r>
    <s v="ORD-00175"/>
    <d v="2025-11-14T00:00:00"/>
    <s v="Customer 009"/>
    <x v="8"/>
    <s v="Office Supplies"/>
    <s v="West"/>
    <n v="3"/>
    <n v="0.2"/>
    <n v="576"/>
    <n v="217.12"/>
    <s v="Office Supplies"/>
  </r>
  <r>
    <s v="ORD-00176"/>
    <d v="2025-12-25T00:00:00"/>
    <s v="Customer 005"/>
    <x v="4"/>
    <s v="Technology"/>
    <s v="East"/>
    <n v="4"/>
    <n v="0"/>
    <n v="3400"/>
    <n v="1373.17"/>
    <s v="Technology"/>
  </r>
  <r>
    <s v="ORD-00177"/>
    <d v="2025-09-10T00:00:00"/>
    <s v="Customer 018"/>
    <x v="0"/>
    <s v="Technology"/>
    <s v="West"/>
    <n v="1"/>
    <n v="0.05"/>
    <n v="33.25"/>
    <n v="5.23"/>
    <s v="Technology"/>
  </r>
  <r>
    <s v="ORD-00178"/>
    <d v="2025-08-21T00:00:00"/>
    <s v="Customer 094"/>
    <x v="7"/>
    <s v="Technology"/>
    <s v="South"/>
    <n v="5"/>
    <n v="0.15"/>
    <n v="297.5"/>
    <n v="76.209999999999994"/>
    <s v="Technology"/>
  </r>
  <r>
    <s v="ORD-00179"/>
    <d v="2025-08-01T00:00:00"/>
    <s v="Customer 036"/>
    <x v="5"/>
    <s v="Technology"/>
    <s v="North"/>
    <n v="1"/>
    <n v="0.15"/>
    <n v="272"/>
    <n v="67.14"/>
    <s v="Technology"/>
  </r>
  <r>
    <s v="ORD-00180"/>
    <d v="2025-12-20T00:00:00"/>
    <s v="Customer 031"/>
    <x v="7"/>
    <s v="Technology"/>
    <s v="East"/>
    <n v="2"/>
    <n v="0.15"/>
    <n v="119"/>
    <n v="36.090000000000003"/>
    <s v="Technology"/>
  </r>
  <r>
    <s v="ORD-00181"/>
    <d v="2025-02-20T00:00:00"/>
    <s v="Customer 083"/>
    <x v="5"/>
    <s v="Technology"/>
    <s v="East"/>
    <n v="3"/>
    <n v="0.2"/>
    <n v="768"/>
    <n v="117.07"/>
    <s v="Technology"/>
  </r>
  <r>
    <s v="ORD-00182"/>
    <d v="2025-02-01T00:00:00"/>
    <s v="Customer 059"/>
    <x v="11"/>
    <s v="Furniture"/>
    <s v="North"/>
    <n v="3"/>
    <n v="0.05"/>
    <n v="541.5"/>
    <n v="70.66"/>
    <s v="Furniture"/>
  </r>
  <r>
    <s v="ORD-00183"/>
    <d v="2025-12-06T00:00:00"/>
    <s v="Customer 043"/>
    <x v="2"/>
    <s v="Furniture"/>
    <s v="South"/>
    <n v="5"/>
    <n v="0"/>
    <n v="275"/>
    <n v="119.16"/>
    <s v="Furniture"/>
  </r>
  <r>
    <s v="ORD-00184"/>
    <d v="2025-03-06T00:00:00"/>
    <s v="Customer 071"/>
    <x v="10"/>
    <s v="Office Supplies"/>
    <s v="South"/>
    <n v="2"/>
    <n v="0"/>
    <n v="50"/>
    <n v="8.81"/>
    <s v="Office Supplies"/>
  </r>
  <r>
    <s v="ORD-00185"/>
    <d v="2025-10-28T00:00:00"/>
    <s v="Customer 077"/>
    <x v="2"/>
    <s v="Furniture"/>
    <s v="North"/>
    <n v="2"/>
    <n v="0.1"/>
    <n v="99"/>
    <n v="19.25"/>
    <s v="Furniture"/>
  </r>
  <r>
    <s v="ORD-00186"/>
    <d v="2025-05-22T00:00:00"/>
    <s v="Customer 023"/>
    <x v="3"/>
    <s v="Furniture"/>
    <s v="North"/>
    <n v="2"/>
    <n v="0.2"/>
    <n v="448"/>
    <n v="164.54"/>
    <s v="Furniture"/>
  </r>
  <r>
    <s v="ORD-00187"/>
    <d v="2025-12-05T00:00:00"/>
    <s v="Customer 031"/>
    <x v="9"/>
    <s v="Technology"/>
    <s v="East"/>
    <n v="2"/>
    <n v="0"/>
    <n v="2400"/>
    <n v="796.27"/>
    <s v="Technology"/>
  </r>
  <r>
    <s v="ORD-00188"/>
    <d v="2025-01-09T00:00:00"/>
    <s v="Customer 054"/>
    <x v="3"/>
    <s v="Furniture"/>
    <s v="North"/>
    <n v="3"/>
    <n v="0"/>
    <n v="840"/>
    <n v="342.86"/>
    <s v="Furniture"/>
  </r>
  <r>
    <s v="ORD-00189"/>
    <d v="2025-02-02T00:00:00"/>
    <s v="Customer 014"/>
    <x v="6"/>
    <s v="Office Supplies"/>
    <s v="West"/>
    <n v="4"/>
    <n v="0.1"/>
    <n v="64.8"/>
    <n v="18.18"/>
    <s v="Office Supplies"/>
  </r>
  <r>
    <s v="ORD-00190"/>
    <d v="2025-09-15T00:00:00"/>
    <s v="Customer 085"/>
    <x v="2"/>
    <s v="Furniture"/>
    <s v="East"/>
    <n v="5"/>
    <n v="0"/>
    <n v="275"/>
    <n v="57.75"/>
    <s v="Furniture"/>
  </r>
  <r>
    <s v="ORD-00191"/>
    <d v="2025-08-23T00:00:00"/>
    <s v="Customer 052"/>
    <x v="5"/>
    <s v="Technology"/>
    <s v="West"/>
    <n v="1"/>
    <n v="0"/>
    <n v="320"/>
    <n v="38.549999999999997"/>
    <s v="Technology"/>
  </r>
  <r>
    <s v="ORD-00192"/>
    <d v="2025-12-18T00:00:00"/>
    <s v="Customer 011"/>
    <x v="0"/>
    <s v="Technology"/>
    <s v="East"/>
    <n v="4"/>
    <n v="0.15"/>
    <n v="119"/>
    <n v="50.66"/>
    <s v="Technology"/>
  </r>
  <r>
    <s v="ORD-00193"/>
    <d v="2025-11-08T00:00:00"/>
    <s v="Customer 082"/>
    <x v="3"/>
    <s v="Furniture"/>
    <s v="East"/>
    <n v="1"/>
    <n v="0.05"/>
    <n v="266"/>
    <n v="95.56"/>
    <s v="Furniture"/>
  </r>
  <r>
    <s v="ORD-00194"/>
    <d v="2025-07-15T00:00:00"/>
    <s v="Customer 078"/>
    <x v="10"/>
    <s v="Office Supplies"/>
    <s v="West"/>
    <n v="5"/>
    <n v="0.1"/>
    <n v="112.5"/>
    <n v="33.78"/>
    <s v="Office Supplies"/>
  </r>
  <r>
    <s v="ORD-00195"/>
    <d v="2025-02-20T00:00:00"/>
    <s v="Customer 028"/>
    <x v="1"/>
    <s v="Furniture"/>
    <s v="West"/>
    <n v="1"/>
    <n v="0.2"/>
    <n v="168"/>
    <n v="35.64"/>
    <s v="Furniture"/>
  </r>
  <r>
    <s v="ORD-00196"/>
    <d v="2025-08-20T00:00:00"/>
    <s v="Customer 052"/>
    <x v="2"/>
    <s v="Furniture"/>
    <s v="West"/>
    <n v="4"/>
    <n v="0.1"/>
    <n v="198"/>
    <n v="35.04"/>
    <s v="Furniture"/>
  </r>
  <r>
    <s v="ORD-00197"/>
    <d v="2025-02-18T00:00:00"/>
    <s v="Customer 048"/>
    <x v="7"/>
    <s v="Technology"/>
    <s v="South"/>
    <n v="4"/>
    <n v="0.1"/>
    <n v="252"/>
    <n v="58.09"/>
    <s v="Technology"/>
  </r>
  <r>
    <s v="ORD-00198"/>
    <d v="2025-12-18T00:00:00"/>
    <s v="Customer 012"/>
    <x v="6"/>
    <s v="Office Supplies"/>
    <s v="West"/>
    <n v="1"/>
    <n v="0"/>
    <n v="18"/>
    <n v="3.16"/>
    <s v="Office Supplies"/>
  </r>
  <r>
    <s v="ORD-00199"/>
    <d v="2025-02-19T00:00:00"/>
    <s v="Customer 076"/>
    <x v="1"/>
    <s v="Furniture"/>
    <s v="East"/>
    <n v="3"/>
    <n v="0.05"/>
    <n v="598.5"/>
    <n v="159.44"/>
    <s v="Furniture"/>
  </r>
  <r>
    <s v="ORD-00200"/>
    <d v="2025-12-10T00:00:00"/>
    <s v="Customer 097"/>
    <x v="0"/>
    <s v="Technology"/>
    <s v="West"/>
    <n v="4"/>
    <n v="0.1"/>
    <n v="126"/>
    <n v="20.38"/>
    <s v="Technology"/>
  </r>
  <r>
    <s v="ORD-00201"/>
    <d v="2025-01-27T00:00:00"/>
    <s v="Customer 074"/>
    <x v="4"/>
    <s v="Technology"/>
    <s v="South"/>
    <n v="5"/>
    <n v="0.1"/>
    <n v="3825"/>
    <n v="1277.3800000000001"/>
    <s v="Technology"/>
  </r>
  <r>
    <s v="ORD-00202"/>
    <d v="2025-03-21T00:00:00"/>
    <s v="Customer 045"/>
    <x v="5"/>
    <s v="Technology"/>
    <s v="East"/>
    <n v="4"/>
    <n v="0.05"/>
    <n v="1216"/>
    <n v="207.21"/>
    <s v="Technology"/>
  </r>
  <r>
    <s v="ORD-00203"/>
    <d v="2025-02-28T00:00:00"/>
    <s v="Customer 072"/>
    <x v="4"/>
    <s v="Technology"/>
    <s v="North"/>
    <n v="5"/>
    <n v="0.05"/>
    <n v="4037.5"/>
    <n v="741.35"/>
    <s v="Technology"/>
  </r>
  <r>
    <s v="ORD-00204"/>
    <d v="2025-11-08T00:00:00"/>
    <s v="Customer 090"/>
    <x v="5"/>
    <s v="Technology"/>
    <s v="East"/>
    <n v="3"/>
    <n v="0"/>
    <n v="960"/>
    <n v="374.84"/>
    <s v="Technology"/>
  </r>
  <r>
    <s v="ORD-00205"/>
    <d v="2025-06-23T00:00:00"/>
    <s v="Customer 073"/>
    <x v="7"/>
    <s v="Technology"/>
    <s v="West"/>
    <n v="1"/>
    <n v="0.05"/>
    <n v="66.5"/>
    <n v="10.84"/>
    <s v="Technology"/>
  </r>
  <r>
    <s v="ORD-00206"/>
    <d v="2025-02-05T00:00:00"/>
    <s v="Customer 028"/>
    <x v="3"/>
    <s v="Furniture"/>
    <s v="West"/>
    <n v="1"/>
    <n v="0"/>
    <n v="280"/>
    <n v="57.06"/>
    <s v="Furniture"/>
  </r>
  <r>
    <s v="ORD-00207"/>
    <d v="2025-08-03T00:00:00"/>
    <s v="Customer 093"/>
    <x v="6"/>
    <s v="Office Supplies"/>
    <s v="East"/>
    <n v="3"/>
    <n v="0.05"/>
    <n v="51.3"/>
    <n v="16.82"/>
    <s v="Office Supplies"/>
  </r>
  <r>
    <s v="ORD-00208"/>
    <d v="2025-10-18T00:00:00"/>
    <s v="Customer 097"/>
    <x v="10"/>
    <s v="Office Supplies"/>
    <s v="North"/>
    <n v="1"/>
    <n v="0"/>
    <n v="25"/>
    <n v="9.9700000000000006"/>
    <s v="Office Supplies"/>
  </r>
  <r>
    <s v="ORD-00209"/>
    <d v="2025-12-12T00:00:00"/>
    <s v="Customer 063"/>
    <x v="0"/>
    <s v="Technology"/>
    <s v="West"/>
    <n v="3"/>
    <n v="0.15"/>
    <n v="89.25"/>
    <n v="20.67"/>
    <s v="Technology"/>
  </r>
  <r>
    <s v="ORD-00210"/>
    <d v="2025-08-01T00:00:00"/>
    <s v="Customer 056"/>
    <x v="4"/>
    <s v="Technology"/>
    <s v="North"/>
    <n v="2"/>
    <n v="0.2"/>
    <n v="1360"/>
    <n v="560.91999999999996"/>
    <s v="Technology"/>
  </r>
  <r>
    <s v="ORD-00211"/>
    <d v="2025-05-26T00:00:00"/>
    <s v="Customer 040"/>
    <x v="5"/>
    <s v="Technology"/>
    <s v="North"/>
    <n v="5"/>
    <n v="0.15"/>
    <n v="1360"/>
    <n v="375.51"/>
    <s v="Technology"/>
  </r>
  <r>
    <s v="ORD-00212"/>
    <d v="2025-04-23T00:00:00"/>
    <s v="Customer 039"/>
    <x v="11"/>
    <s v="Furniture"/>
    <s v="South"/>
    <n v="5"/>
    <n v="0"/>
    <n v="950"/>
    <n v="425.09"/>
    <s v="Furniture"/>
  </r>
  <r>
    <s v="ORD-00213"/>
    <d v="2025-03-12T00:00:00"/>
    <s v="Customer 064"/>
    <x v="4"/>
    <s v="Technology"/>
    <s v="West"/>
    <n v="3"/>
    <n v="0.1"/>
    <n v="2295"/>
    <n v="941.88"/>
    <s v="Technology"/>
  </r>
  <r>
    <s v="ORD-00214"/>
    <d v="2025-03-31T00:00:00"/>
    <s v="Customer 065"/>
    <x v="3"/>
    <s v="Furniture"/>
    <s v="East"/>
    <n v="4"/>
    <n v="0.2"/>
    <n v="896"/>
    <n v="195.14"/>
    <s v="Furniture"/>
  </r>
  <r>
    <s v="ORD-00215"/>
    <d v="2025-02-06T00:00:00"/>
    <s v="Customer 010"/>
    <x v="11"/>
    <s v="Furniture"/>
    <s v="East"/>
    <n v="1"/>
    <n v="0.15"/>
    <n v="161.5"/>
    <n v="71.680000000000007"/>
    <s v="Furniture"/>
  </r>
  <r>
    <s v="ORD-00216"/>
    <d v="2025-10-22T00:00:00"/>
    <s v="Customer 054"/>
    <x v="11"/>
    <s v="Furniture"/>
    <s v="East"/>
    <n v="5"/>
    <n v="0.15"/>
    <n v="807.5"/>
    <n v="174.31"/>
    <s v="Furniture"/>
  </r>
  <r>
    <s v="ORD-00217"/>
    <d v="2025-02-28T00:00:00"/>
    <s v="Customer 080"/>
    <x v="11"/>
    <s v="Furniture"/>
    <s v="West"/>
    <n v="1"/>
    <n v="0.1"/>
    <n v="171"/>
    <n v="67.25"/>
    <s v="Furniture"/>
  </r>
  <r>
    <s v="ORD-00218"/>
    <d v="2025-12-20T00:00:00"/>
    <s v="Customer 032"/>
    <x v="7"/>
    <s v="Technology"/>
    <s v="West"/>
    <n v="1"/>
    <n v="0.15"/>
    <n v="59.5"/>
    <n v="10.19"/>
    <s v="Technology"/>
  </r>
  <r>
    <s v="ORD-00219"/>
    <d v="2025-10-29T00:00:00"/>
    <s v="Customer 040"/>
    <x v="11"/>
    <s v="Furniture"/>
    <s v="East"/>
    <n v="5"/>
    <n v="0"/>
    <n v="950"/>
    <n v="303.43"/>
    <s v="Furniture"/>
  </r>
  <r>
    <s v="ORD-00220"/>
    <d v="2025-04-24T00:00:00"/>
    <s v="Customer 015"/>
    <x v="7"/>
    <s v="Technology"/>
    <s v="South"/>
    <n v="2"/>
    <n v="0"/>
    <n v="140"/>
    <n v="39.42"/>
    <s v="Technology"/>
  </r>
  <r>
    <s v="ORD-00221"/>
    <d v="2025-06-28T00:00:00"/>
    <s v="Customer 033"/>
    <x v="7"/>
    <s v="Technology"/>
    <s v="South"/>
    <n v="2"/>
    <n v="0.05"/>
    <n v="133"/>
    <n v="55.34"/>
    <s v="Technology"/>
  </r>
  <r>
    <s v="ORD-00222"/>
    <d v="2025-03-30T00:00:00"/>
    <s v="Customer 099"/>
    <x v="10"/>
    <s v="Office Supplies"/>
    <s v="West"/>
    <n v="2"/>
    <n v="0"/>
    <n v="50"/>
    <n v="19.579999999999998"/>
    <s v="Office Supplies"/>
  </r>
  <r>
    <s v="ORD-00223"/>
    <d v="2025-08-26T00:00:00"/>
    <s v="Customer 073"/>
    <x v="10"/>
    <s v="Office Supplies"/>
    <s v="East"/>
    <n v="5"/>
    <n v="0.15"/>
    <n v="106.25"/>
    <n v="23.93"/>
    <s v="Office Supplies"/>
  </r>
  <r>
    <s v="ORD-00224"/>
    <d v="2025-11-18T00:00:00"/>
    <s v="Customer 057"/>
    <x v="7"/>
    <s v="Technology"/>
    <s v="East"/>
    <n v="2"/>
    <n v="0.15"/>
    <n v="119"/>
    <n v="50.87"/>
    <s v="Technology"/>
  </r>
  <r>
    <s v="ORD-00225"/>
    <d v="2025-05-21T00:00:00"/>
    <s v="Customer 040"/>
    <x v="10"/>
    <s v="Office Supplies"/>
    <s v="West"/>
    <n v="1"/>
    <n v="0.1"/>
    <n v="22.5"/>
    <n v="6.36"/>
    <s v="Office Supplies"/>
  </r>
  <r>
    <s v="ORD-00226"/>
    <d v="2025-08-20T00:00:00"/>
    <s v="Customer 010"/>
    <x v="9"/>
    <s v="Technology"/>
    <s v="North"/>
    <n v="1"/>
    <n v="0.1"/>
    <n v="1080"/>
    <n v="189.58"/>
    <s v="Technology"/>
  </r>
  <r>
    <s v="ORD-00227"/>
    <d v="2025-11-11T00:00:00"/>
    <s v="Customer 071"/>
    <x v="10"/>
    <s v="Office Supplies"/>
    <s v="North"/>
    <n v="5"/>
    <n v="0.15"/>
    <n v="106.25"/>
    <n v="31.59"/>
    <s v="Office Supplies"/>
  </r>
  <r>
    <s v="ORD-00228"/>
    <d v="2025-08-19T00:00:00"/>
    <s v="Customer 065"/>
    <x v="10"/>
    <s v="Office Supplies"/>
    <s v="South"/>
    <n v="2"/>
    <n v="0.1"/>
    <n v="45"/>
    <n v="11.27"/>
    <s v="Office Supplies"/>
  </r>
  <r>
    <s v="ORD-00229"/>
    <d v="2025-02-01T00:00:00"/>
    <s v="Customer 011"/>
    <x v="6"/>
    <s v="Office Supplies"/>
    <s v="South"/>
    <n v="1"/>
    <n v="0.1"/>
    <n v="16.2"/>
    <n v="2.04"/>
    <s v="Office Supplies"/>
  </r>
  <r>
    <s v="ORD-00230"/>
    <d v="2025-01-21T00:00:00"/>
    <s v="Customer 079"/>
    <x v="2"/>
    <s v="Furniture"/>
    <s v="South"/>
    <n v="4"/>
    <n v="0.15"/>
    <n v="187"/>
    <n v="51.81"/>
    <s v="Furniture"/>
  </r>
  <r>
    <s v="ORD-00231"/>
    <d v="2025-07-06T00:00:00"/>
    <s v="Customer 044"/>
    <x v="7"/>
    <s v="Technology"/>
    <s v="North"/>
    <n v="3"/>
    <n v="0.15"/>
    <n v="178.5"/>
    <n v="56.25"/>
    <s v="Technology"/>
  </r>
  <r>
    <s v="ORD-00232"/>
    <d v="2025-11-20T00:00:00"/>
    <m/>
    <x v="5"/>
    <s v="Technology"/>
    <s v="West"/>
    <n v="3"/>
    <n v="0"/>
    <n v="960"/>
    <n v="327.55"/>
    <s v="Technology"/>
  </r>
  <r>
    <s v="ORD-00233"/>
    <d v="2025-05-26T00:00:00"/>
    <s v="Customer 075"/>
    <x v="4"/>
    <s v="Technology"/>
    <s v="South"/>
    <n v="5"/>
    <n v="0.05"/>
    <n v="4037.5"/>
    <n v="1372.71"/>
    <s v="Technology"/>
  </r>
  <r>
    <s v="ORD-00234"/>
    <d v="2025-06-29T00:00:00"/>
    <s v="Customer 011"/>
    <x v="4"/>
    <s v="Technology"/>
    <s v="East"/>
    <n v="4"/>
    <n v="0.05"/>
    <n v="3230"/>
    <n v="819.25"/>
    <s v="Technology"/>
  </r>
  <r>
    <s v="ORD-00235"/>
    <d v="2025-10-14T00:00:00"/>
    <s v="Customer 095"/>
    <x v="11"/>
    <s v="Furniture"/>
    <s v="North"/>
    <n v="3"/>
    <n v="0.05"/>
    <n v="541.5"/>
    <n v="123.93"/>
    <s v="Furniture"/>
  </r>
  <r>
    <s v="ORD-00236"/>
    <d v="2025-11-27T00:00:00"/>
    <s v="Customer 047"/>
    <x v="5"/>
    <s v="Technology"/>
    <s v="East"/>
    <n v="4"/>
    <n v="0.2"/>
    <n v="1024"/>
    <n v="338.53"/>
    <s v="Technology"/>
  </r>
  <r>
    <s v="ORD-00237"/>
    <d v="2025-04-03T00:00:00"/>
    <s v="Customer 018"/>
    <x v="2"/>
    <s v="Furniture"/>
    <s v="South"/>
    <n v="3"/>
    <n v="0.15"/>
    <n v="140.25"/>
    <n v="54.23"/>
    <s v="Furniture"/>
  </r>
  <r>
    <s v="ORD-00238"/>
    <d v="2025-02-09T00:00:00"/>
    <s v="Customer 095"/>
    <x v="4"/>
    <s v="Technology"/>
    <s v="North"/>
    <n v="1"/>
    <n v="0.2"/>
    <n v="680"/>
    <n v="133.02000000000001"/>
    <s v="Technology"/>
  </r>
  <r>
    <s v="ORD-00239"/>
    <d v="2025-12-05T00:00:00"/>
    <s v="Customer 020"/>
    <x v="7"/>
    <s v="Technology"/>
    <s v="South"/>
    <n v="5"/>
    <n v="0.05"/>
    <n v="332.5"/>
    <n v="84.09"/>
    <s v="Technology"/>
  </r>
  <r>
    <s v="ORD-00240"/>
    <d v="2025-04-03T00:00:00"/>
    <s v="Customer 006"/>
    <x v="1"/>
    <s v="Furniture"/>
    <s v="West"/>
    <n v="5"/>
    <n v="0.05"/>
    <n v="997.5"/>
    <n v="211.48"/>
    <s v="Furniture"/>
  </r>
  <r>
    <s v="ORD-00241"/>
    <d v="2025-07-06T00:00:00"/>
    <s v="Customer 097"/>
    <x v="5"/>
    <s v="Technology"/>
    <s v="West"/>
    <n v="2"/>
    <n v="0.15"/>
    <n v="544"/>
    <n v="135.19"/>
    <s v="Technology"/>
  </r>
  <r>
    <s v="ORD-00242"/>
    <d v="2025-04-30T00:00:00"/>
    <s v="Customer 061"/>
    <x v="8"/>
    <s v="Office Supplies"/>
    <s v="South"/>
    <n v="2"/>
    <n v="0.1"/>
    <n v="432"/>
    <n v="56.74"/>
    <s v="Office Supplies"/>
  </r>
  <r>
    <s v="ORD-00243"/>
    <d v="2025-07-08T00:00:00"/>
    <s v="Customer 037"/>
    <x v="5"/>
    <s v="Technology"/>
    <s v="West"/>
    <n v="5"/>
    <n v="0.15"/>
    <n v="1360"/>
    <n v="404.8"/>
    <s v="Technology"/>
  </r>
  <r>
    <s v="ORD-00244"/>
    <d v="2025-09-15T00:00:00"/>
    <s v="Customer 078"/>
    <x v="8"/>
    <s v="Office Supplies"/>
    <s v="South"/>
    <n v="4"/>
    <n v="0.05"/>
    <n v="912"/>
    <n v="164.55"/>
    <s v="Office Supplies"/>
  </r>
  <r>
    <s v="ORD-00245"/>
    <d v="2025-05-09T00:00:00"/>
    <s v="Customer 014"/>
    <x v="9"/>
    <s v="Technology"/>
    <s v="North"/>
    <n v="4"/>
    <n v="0.1"/>
    <n v="4320"/>
    <n v="1153.45"/>
    <s v="Technology"/>
  </r>
  <r>
    <s v="ORD-00246"/>
    <d v="2025-05-26T00:00:00"/>
    <s v="Customer 066"/>
    <x v="0"/>
    <s v="Technology"/>
    <s v="South"/>
    <n v="2"/>
    <n v="0.1"/>
    <n v="63"/>
    <n v="19.010000000000002"/>
    <s v="Technology"/>
  </r>
  <r>
    <s v="ORD-00247"/>
    <d v="2025-08-12T00:00:00"/>
    <s v="Customer 004"/>
    <x v="0"/>
    <s v="Technology"/>
    <s v="West"/>
    <n v="2"/>
    <n v="0.15"/>
    <n v="59.5"/>
    <n v="9.41"/>
    <s v="Technology"/>
  </r>
  <r>
    <s v="ORD-00248"/>
    <d v="2025-01-28T00:00:00"/>
    <s v="Customer 011"/>
    <x v="11"/>
    <s v="Furniture"/>
    <s v="East"/>
    <n v="5"/>
    <n v="0.1"/>
    <n v="855"/>
    <n v="318.23"/>
    <s v="Furniture"/>
  </r>
  <r>
    <s v="ORD-00249"/>
    <d v="2025-04-25T00:00:00"/>
    <s v="Customer 084"/>
    <x v="9"/>
    <s v="Technology"/>
    <s v="East"/>
    <n v="3"/>
    <n v="0"/>
    <n v="3600"/>
    <n v="623.05999999999995"/>
    <s v="Technology"/>
  </r>
  <r>
    <s v="ORD-00250"/>
    <d v="2025-03-16T00:00:00"/>
    <s v="Customer 061"/>
    <x v="3"/>
    <s v="Furniture"/>
    <s v="South"/>
    <n v="1"/>
    <n v="0.1"/>
    <n v="252"/>
    <n v="37.11"/>
    <s v="Furniture"/>
  </r>
  <r>
    <s v="ORD-00251"/>
    <d v="2025-12-28T00:00:00"/>
    <s v="Customer 011"/>
    <x v="6"/>
    <s v="Office Supplies"/>
    <s v="North"/>
    <n v="4"/>
    <n v="0.2"/>
    <n v="57.6"/>
    <n v="25.82"/>
    <s v="Office Supplies"/>
  </r>
  <r>
    <s v="ORD-00252"/>
    <d v="2025-05-12T00:00:00"/>
    <s v="Customer 078"/>
    <x v="2"/>
    <s v="Furniture"/>
    <s v="West"/>
    <n v="2"/>
    <n v="0.2"/>
    <n v="88"/>
    <n v="12.3"/>
    <s v="Furniture"/>
  </r>
  <r>
    <s v="ORD-00253"/>
    <d v="2025-02-26T00:00:00"/>
    <s v="Customer 031"/>
    <x v="4"/>
    <s v="Technology"/>
    <s v="West"/>
    <n v="2"/>
    <n v="0.1"/>
    <n v="1530"/>
    <n v="626.98"/>
    <s v="Technology"/>
  </r>
  <r>
    <s v="ORD-00254"/>
    <d v="2025-11-24T00:00:00"/>
    <s v="Customer 064"/>
    <x v="10"/>
    <s v="Office Supplies"/>
    <s v="North"/>
    <n v="4"/>
    <n v="0"/>
    <n v="100"/>
    <n v="41.34"/>
    <s v="Office Supplies"/>
  </r>
  <r>
    <s v="ORD-00255"/>
    <d v="2025-11-20T00:00:00"/>
    <s v="Customer 038"/>
    <x v="8"/>
    <s v="Office Supplies"/>
    <s v="West"/>
    <n v="5"/>
    <n v="0.05"/>
    <n v="1140"/>
    <n v="242.68"/>
    <s v="Office Supplies"/>
  </r>
  <r>
    <s v="ORD-00256"/>
    <d v="2025-01-01T00:00:00"/>
    <s v="Customer 024"/>
    <x v="10"/>
    <s v="Office Supplies"/>
    <s v="North"/>
    <n v="3"/>
    <n v="0.05"/>
    <n v="71.25"/>
    <n v="18.64"/>
    <s v="Office Supplies"/>
  </r>
  <r>
    <s v="ORD-00257"/>
    <d v="2025-09-26T00:00:00"/>
    <s v="Customer 065"/>
    <x v="7"/>
    <s v="Technology"/>
    <s v="North"/>
    <n v="1"/>
    <n v="0.2"/>
    <n v="56"/>
    <n v="15.15"/>
    <s v="Technology"/>
  </r>
  <r>
    <s v="ORD-00258"/>
    <d v="2025-07-19T00:00:00"/>
    <s v="Customer 033"/>
    <x v="6"/>
    <s v="Office Supplies"/>
    <s v="North"/>
    <n v="1"/>
    <n v="0.15"/>
    <n v="15.3"/>
    <n v="1.93"/>
    <s v="Office Supplies"/>
  </r>
  <r>
    <s v="ORD-00259"/>
    <d v="2025-07-02T00:00:00"/>
    <s v="Customer 081"/>
    <x v="0"/>
    <s v="Technology"/>
    <s v="North"/>
    <n v="3"/>
    <n v="0.05"/>
    <n v="99.75"/>
    <n v="20.76"/>
    <s v="Technology"/>
  </r>
  <r>
    <s v="ORD-00260"/>
    <d v="2025-10-25T00:00:00"/>
    <s v="Customer 070"/>
    <x v="1"/>
    <s v="Furniture"/>
    <s v="East"/>
    <n v="3"/>
    <n v="0.05"/>
    <n v="598.5"/>
    <n v="260.57"/>
    <s v="Furniture"/>
  </r>
  <r>
    <s v="ORD-00261"/>
    <d v="2025-11-26T00:00:00"/>
    <s v="Customer 018"/>
    <x v="3"/>
    <s v="Furniture"/>
    <s v="North"/>
    <n v="4"/>
    <n v="0.15"/>
    <n v="952"/>
    <n v="229.93"/>
    <s v="Furniture"/>
  </r>
  <r>
    <s v="ORD-00262"/>
    <d v="2025-08-23T00:00:00"/>
    <s v="Customer 026"/>
    <x v="9"/>
    <s v="Technology"/>
    <s v="North"/>
    <n v="3"/>
    <n v="0.05"/>
    <n v="3420"/>
    <n v="1489.56"/>
    <s v="Technology"/>
  </r>
  <r>
    <s v="ORD-00263"/>
    <d v="2025-06-11T00:00:00"/>
    <s v="Customer 070"/>
    <x v="4"/>
    <s v="Technology"/>
    <s v="West"/>
    <n v="5"/>
    <n v="0.15"/>
    <n v="3612.5"/>
    <n v="446.47"/>
    <s v="Technology"/>
  </r>
  <r>
    <s v="ORD-00264"/>
    <d v="2025-05-10T00:00:00"/>
    <s v="Customer 100"/>
    <x v="9"/>
    <s v="Technology"/>
    <s v="North"/>
    <n v="2"/>
    <n v="0.1"/>
    <n v="2160"/>
    <n v="717.55"/>
    <s v="Technology"/>
  </r>
  <r>
    <s v="ORD-00265"/>
    <d v="2025-12-02T00:00:00"/>
    <s v="Customer 056"/>
    <x v="7"/>
    <s v="Technology"/>
    <s v="West"/>
    <n v="3"/>
    <n v="0"/>
    <n v="210"/>
    <n v="39.11"/>
    <s v="Technology"/>
  </r>
  <r>
    <s v="ORD-00266"/>
    <d v="2025-08-14T00:00:00"/>
    <s v="Customer 064"/>
    <x v="11"/>
    <s v="Furniture"/>
    <s v="East"/>
    <n v="3"/>
    <n v="0.05"/>
    <n v="541.5"/>
    <n v="155.01"/>
    <s v="Furniture"/>
  </r>
  <r>
    <s v="ORD-00267"/>
    <d v="2025-09-23T00:00:00"/>
    <s v="Customer 078"/>
    <x v="4"/>
    <s v="Technology"/>
    <s v="South"/>
    <n v="1"/>
    <n v="0.15"/>
    <n v="722.5"/>
    <n v="306.31"/>
    <s v="Technology"/>
  </r>
  <r>
    <s v="ORD-00268"/>
    <d v="2025-10-07T00:00:00"/>
    <s v="Customer 085"/>
    <x v="4"/>
    <s v="Technology"/>
    <s v="East"/>
    <n v="3"/>
    <n v="0"/>
    <n v="2550"/>
    <n v="1080.1199999999999"/>
    <s v="Technology"/>
  </r>
  <r>
    <s v="ORD-00269"/>
    <d v="2025-06-06T00:00:00"/>
    <s v="Customer 057"/>
    <x v="6"/>
    <s v="Office Supplies"/>
    <s v="East"/>
    <n v="5"/>
    <n v="0.15"/>
    <n v="76.5"/>
    <n v="30.22"/>
    <s v="Office Supplies"/>
  </r>
  <r>
    <s v="ORD-00270"/>
    <d v="2025-08-17T00:00:00"/>
    <s v="Customer 036"/>
    <x v="9"/>
    <s v="Technology"/>
    <s v="North"/>
    <n v="3"/>
    <n v="0.2"/>
    <n v="2880"/>
    <n v="347.36"/>
    <s v="Technology"/>
  </r>
  <r>
    <s v="ORD-00271"/>
    <d v="2025-02-08T00:00:00"/>
    <s v="Customer 096"/>
    <x v="5"/>
    <s v="Technology"/>
    <s v="South"/>
    <n v="4"/>
    <n v="0.1"/>
    <n v="1152"/>
    <n v="323.35000000000002"/>
    <s v="Technology"/>
  </r>
  <r>
    <s v="ORD-00272"/>
    <d v="2025-01-16T00:00:00"/>
    <s v="Customer 009"/>
    <x v="3"/>
    <s v="Furniture"/>
    <s v="South"/>
    <n v="5"/>
    <n v="0.15"/>
    <n v="1190"/>
    <n v="521.83000000000004"/>
    <s v="Furniture"/>
  </r>
  <r>
    <s v="ORD-00273"/>
    <d v="2025-11-27T00:00:00"/>
    <s v="Customer 005"/>
    <x v="7"/>
    <s v="Technology"/>
    <s v="South"/>
    <n v="3"/>
    <n v="0.15"/>
    <n v="178.5"/>
    <n v="24.4"/>
    <s v="Technology"/>
  </r>
  <r>
    <s v="ORD-00274"/>
    <d v="2025-12-14T00:00:00"/>
    <s v="Customer 010"/>
    <x v="6"/>
    <s v="Office Supplies"/>
    <s v="South"/>
    <n v="3"/>
    <n v="0.1"/>
    <n v="48.6"/>
    <n v="14.75"/>
    <s v="Office Supplies"/>
  </r>
  <r>
    <s v="ORD-00275"/>
    <d v="2025-09-29T00:00:00"/>
    <s v="Customer 032"/>
    <x v="7"/>
    <s v="Technology"/>
    <s v="North"/>
    <n v="4"/>
    <n v="0.1"/>
    <n v="252"/>
    <n v="59.38"/>
    <s v="Technology"/>
  </r>
  <r>
    <s v="ORD-00276"/>
    <d v="2025-01-14T00:00:00"/>
    <s v="Customer 072"/>
    <x v="1"/>
    <s v="Furniture"/>
    <s v="North"/>
    <n v="2"/>
    <n v="0.15"/>
    <n v="357"/>
    <n v="99.65"/>
    <s v="Furniture"/>
  </r>
  <r>
    <s v="ORD-00277"/>
    <d v="2025-05-15T00:00:00"/>
    <s v="Customer 037"/>
    <x v="4"/>
    <s v="Technology"/>
    <s v="West"/>
    <n v="4"/>
    <n v="0.05"/>
    <n v="3230"/>
    <n v="391.47"/>
    <s v="Technology"/>
  </r>
  <r>
    <s v="ORD-00278"/>
    <d v="2025-04-13T00:00:00"/>
    <s v="Customer 092"/>
    <x v="0"/>
    <s v="Technology"/>
    <s v="West"/>
    <n v="2"/>
    <n v="0"/>
    <n v="70"/>
    <n v="21.06"/>
    <s v="Technology"/>
  </r>
  <r>
    <s v="ORD-00279"/>
    <d v="2025-02-14T00:00:00"/>
    <s v="Customer 071"/>
    <x v="5"/>
    <s v="Technology"/>
    <s v="East"/>
    <n v="3"/>
    <n v="0.1"/>
    <n v="864"/>
    <n v="186.5"/>
    <s v="Technology"/>
  </r>
  <r>
    <s v="ORD-00280"/>
    <d v="2025-06-03T00:00:00"/>
    <s v="Customer 016"/>
    <x v="3"/>
    <s v="Furniture"/>
    <s v="South"/>
    <n v="2"/>
    <n v="0.1"/>
    <n v="504"/>
    <n v="142.18"/>
    <s v="Furniture"/>
  </r>
  <r>
    <s v="ORD-00281"/>
    <d v="2025-03-13T00:00:00"/>
    <s v="Customer 074"/>
    <x v="2"/>
    <s v="Furniture"/>
    <s v="East"/>
    <n v="4"/>
    <n v="0"/>
    <n v="220"/>
    <n v="72.8"/>
    <s v="Furniture"/>
  </r>
  <r>
    <s v="ORD-00282"/>
    <d v="2025-08-28T00:00:00"/>
    <s v="Customer 009"/>
    <x v="8"/>
    <s v="Office Supplies"/>
    <s v="East"/>
    <n v="2"/>
    <n v="0.2"/>
    <n v="384"/>
    <n v="60.75"/>
    <s v="Office Supplies"/>
  </r>
  <r>
    <s v="ORD-00283"/>
    <d v="2025-07-23T00:00:00"/>
    <s v="Customer 053"/>
    <x v="1"/>
    <s v="Furniture"/>
    <s v="North"/>
    <n v="4"/>
    <n v="0.2"/>
    <n v="672"/>
    <n v="211.3"/>
    <s v="Furniture"/>
  </r>
  <r>
    <s v="ORD-00284"/>
    <d v="2025-03-06T00:00:00"/>
    <s v="Customer 067"/>
    <x v="7"/>
    <s v="Technology"/>
    <s v="East"/>
    <n v="1"/>
    <n v="0.15"/>
    <n v="59.5"/>
    <n v="17.63"/>
    <s v="Technology"/>
  </r>
  <r>
    <s v="ORD-00285"/>
    <d v="2025-03-07T00:00:00"/>
    <s v="Customer 017"/>
    <x v="8"/>
    <s v="Office Supplies"/>
    <s v="West"/>
    <n v="5"/>
    <n v="0.05"/>
    <n v="1140"/>
    <n v="224.16"/>
    <s v="Office Supplies"/>
  </r>
  <r>
    <s v="ORD-00286"/>
    <d v="2025-09-15T00:00:00"/>
    <s v="Customer 022"/>
    <x v="9"/>
    <s v="Technology"/>
    <s v="South"/>
    <n v="1"/>
    <n v="0.2"/>
    <n v="960"/>
    <n v="383.52"/>
    <s v="Technology"/>
  </r>
  <r>
    <s v="ORD-00287"/>
    <d v="2025-06-15T00:00:00"/>
    <s v="Customer 067"/>
    <x v="1"/>
    <s v="Furniture"/>
    <s v="East"/>
    <n v="2"/>
    <n v="0.1"/>
    <n v="378"/>
    <n v="51.91"/>
    <s v="Furniture"/>
  </r>
  <r>
    <s v="ORD-00288"/>
    <d v="2025-02-10T00:00:00"/>
    <s v="Customer 081"/>
    <x v="4"/>
    <s v="Technology"/>
    <s v="East"/>
    <n v="2"/>
    <n v="0.2"/>
    <n v="1360"/>
    <n v="488.83"/>
    <s v="Technology"/>
  </r>
  <r>
    <s v="ORD-00289"/>
    <d v="2025-11-11T00:00:00"/>
    <s v="Customer 076"/>
    <x v="8"/>
    <s v="Office Supplies"/>
    <s v="South"/>
    <n v="1"/>
    <n v="0.2"/>
    <n v="192"/>
    <n v="45.79"/>
    <s v="Office Supplies"/>
  </r>
  <r>
    <s v="ORD-00290"/>
    <d v="2025-03-29T00:00:00"/>
    <s v="Customer 073"/>
    <x v="5"/>
    <s v="Technology"/>
    <s v="North"/>
    <n v="5"/>
    <n v="0.2"/>
    <n v="1280"/>
    <n v="433.39"/>
    <s v="Technology"/>
  </r>
  <r>
    <s v="ORD-00291"/>
    <d v="2025-01-15T00:00:00"/>
    <s v="Customer 027"/>
    <x v="0"/>
    <s v="Technology"/>
    <s v="West"/>
    <n v="1"/>
    <n v="0.2"/>
    <n v="28"/>
    <n v="10.15"/>
    <s v="Technology"/>
  </r>
  <r>
    <s v="ORD-00292"/>
    <d v="2025-11-13T00:00:00"/>
    <s v="Customer 070"/>
    <x v="5"/>
    <s v="Technology"/>
    <s v="East"/>
    <n v="1"/>
    <n v="0.15"/>
    <n v="272"/>
    <n v="42.6"/>
    <s v="Technology"/>
  </r>
  <r>
    <s v="ORD-00293"/>
    <d v="2025-11-25T00:00:00"/>
    <s v="Customer 088"/>
    <x v="4"/>
    <s v="Technology"/>
    <s v="West"/>
    <n v="4"/>
    <n v="0.05"/>
    <n v="3230"/>
    <n v="595.78"/>
    <s v="Technology"/>
  </r>
  <r>
    <s v="ORD-00294"/>
    <d v="2025-06-02T00:00:00"/>
    <s v="Customer 054"/>
    <x v="6"/>
    <s v="Office Supplies"/>
    <s v="West"/>
    <n v="1"/>
    <n v="0"/>
    <n v="18"/>
    <n v="7.16"/>
    <s v="Office Supplies"/>
  </r>
  <r>
    <s v="ORD-00295"/>
    <d v="2025-08-26T00:00:00"/>
    <s v="Customer 092"/>
    <x v="2"/>
    <s v="Furniture"/>
    <s v="East"/>
    <n v="3"/>
    <n v="0.2"/>
    <n v="132"/>
    <n v="53.14"/>
    <s v="Furniture"/>
  </r>
  <r>
    <s v="ORD-00296"/>
    <d v="2025-06-26T00:00:00"/>
    <s v="Customer 014"/>
    <x v="11"/>
    <s v="Furniture"/>
    <s v="East"/>
    <n v="2"/>
    <n v="0.1"/>
    <n v="342"/>
    <n v="95.78"/>
    <s v="Furniture"/>
  </r>
  <r>
    <s v="ORD-00297"/>
    <d v="2025-05-04T00:00:00"/>
    <s v="Customer 019"/>
    <x v="6"/>
    <s v="Office Supplies"/>
    <s v="North"/>
    <n v="1"/>
    <n v="0.1"/>
    <n v="16.2"/>
    <n v="4.8899999999999997"/>
    <s v="Office Supplies"/>
  </r>
  <r>
    <s v="ORD-00298"/>
    <d v="2025-01-26T00:00:00"/>
    <s v="Customer 021"/>
    <x v="4"/>
    <s v="Technology"/>
    <s v="East"/>
    <n v="4"/>
    <n v="0.2"/>
    <n v="2720"/>
    <n v="848.68"/>
    <s v="Technology"/>
  </r>
  <r>
    <s v="ORD-00299"/>
    <d v="2025-10-23T00:00:00"/>
    <s v="Customer 064"/>
    <x v="1"/>
    <s v="Furniture"/>
    <s v="West"/>
    <n v="3"/>
    <n v="0.05"/>
    <n v="598.5"/>
    <n v="118.6"/>
    <s v="Furniture"/>
  </r>
  <r>
    <s v="ORD-00300"/>
    <d v="2025-09-13T00:00:00"/>
    <s v="Customer 051"/>
    <x v="4"/>
    <s v="Technology"/>
    <s v="West"/>
    <n v="4"/>
    <n v="0"/>
    <n v="3400"/>
    <n v="1428.96"/>
    <s v="Technology"/>
  </r>
  <r>
    <s v="ORD-00301"/>
    <d v="2025-05-04T00:00:00"/>
    <s v="Customer 037"/>
    <x v="2"/>
    <s v="Furniture"/>
    <s v="West"/>
    <n v="5"/>
    <n v="0.1"/>
    <n v="247.5"/>
    <n v="107.4"/>
    <s v="Furniture"/>
  </r>
  <r>
    <s v="ORD-00302"/>
    <d v="2025-11-02T00:00:00"/>
    <s v="Customer 014"/>
    <x v="5"/>
    <s v="Technology"/>
    <s v="West"/>
    <n v="4"/>
    <n v="0.1"/>
    <n v="1152"/>
    <n v="314.37"/>
    <s v="Technology"/>
  </r>
  <r>
    <s v="ORD-00303"/>
    <d v="2025-03-10T00:00:00"/>
    <s v="Customer 052"/>
    <x v="4"/>
    <s v="Technology"/>
    <s v="North"/>
    <n v="3"/>
    <n v="0.15"/>
    <n v="2167.5"/>
    <n v="713.63"/>
    <s v="Technology"/>
  </r>
  <r>
    <s v="ORD-00304"/>
    <d v="2025-10-19T00:00:00"/>
    <s v="Customer 010"/>
    <x v="8"/>
    <s v="Office Supplies"/>
    <s v="West"/>
    <n v="2"/>
    <n v="0.1"/>
    <n v="432"/>
    <n v="115.53"/>
    <s v="Office Supplies"/>
  </r>
  <r>
    <s v="ORD-00305"/>
    <d v="2025-09-16T00:00:00"/>
    <s v="Customer 080"/>
    <x v="6"/>
    <s v="Office Supplies"/>
    <s v="North"/>
    <n v="5"/>
    <n v="0.1"/>
    <n v="81"/>
    <n v="14.39"/>
    <s v="Office Supplies"/>
  </r>
  <r>
    <s v="ORD-00306"/>
    <d v="2025-03-07T00:00:00"/>
    <s v="Customer 044"/>
    <x v="0"/>
    <s v="Technology"/>
    <s v="East"/>
    <n v="4"/>
    <n v="0.1"/>
    <n v="126"/>
    <n v="23.65"/>
    <s v="Technology"/>
  </r>
  <r>
    <s v="ORD-00307"/>
    <d v="2025-03-15T00:00:00"/>
    <s v="Customer 006"/>
    <x v="2"/>
    <s v="Furniture"/>
    <s v="North"/>
    <n v="5"/>
    <n v="0.2"/>
    <n v="220"/>
    <n v="69.86"/>
    <s v="Furniture"/>
  </r>
  <r>
    <s v="ORD-00308"/>
    <d v="2025-01-20T00:00:00"/>
    <s v="Customer 020"/>
    <x v="3"/>
    <s v="Furniture"/>
    <s v="South"/>
    <n v="3"/>
    <n v="0.15"/>
    <n v="714"/>
    <n v="198.93"/>
    <s v="Furniture"/>
  </r>
  <r>
    <s v="ORD-00309"/>
    <d v="2025-06-17T00:00:00"/>
    <s v="Customer 079"/>
    <x v="10"/>
    <s v="Office Supplies"/>
    <s v="East"/>
    <n v="3"/>
    <n v="0.05"/>
    <n v="71.25"/>
    <n v="22.82"/>
    <s v="Office Supplies"/>
  </r>
  <r>
    <s v="ORD-00310"/>
    <d v="2025-10-31T00:00:00"/>
    <s v="Customer 091"/>
    <x v="7"/>
    <s v="Technology"/>
    <s v="East"/>
    <n v="5"/>
    <n v="0.2"/>
    <n v="280"/>
    <n v="76.81"/>
    <s v="Technology"/>
  </r>
  <r>
    <s v="ORD-00311"/>
    <d v="2025-09-01T00:00:00"/>
    <s v="Customer 054"/>
    <x v="9"/>
    <s v="Technology"/>
    <s v="East"/>
    <n v="3"/>
    <n v="0.1"/>
    <n v="3240"/>
    <n v="737.57"/>
    <s v="Technology"/>
  </r>
  <r>
    <s v="ORD-00312"/>
    <d v="2025-12-19T00:00:00"/>
    <s v="Customer 084"/>
    <x v="5"/>
    <s v="Technology"/>
    <s v="South"/>
    <n v="1"/>
    <n v="0.2"/>
    <n v="256"/>
    <n v="75.11"/>
    <s v="Technology"/>
  </r>
  <r>
    <s v="ORD-00313"/>
    <d v="2025-01-27T00:00:00"/>
    <s v="Customer 093"/>
    <x v="10"/>
    <s v="Office Supplies"/>
    <s v="West"/>
    <n v="4"/>
    <n v="0.05"/>
    <n v="95"/>
    <n v="26.32"/>
    <s v="Office Supplies"/>
  </r>
  <r>
    <s v="ORD-00314"/>
    <d v="2025-03-17T00:00:00"/>
    <s v="Customer 090"/>
    <x v="5"/>
    <s v="Technology"/>
    <s v="North"/>
    <n v="2"/>
    <n v="0"/>
    <n v="640"/>
    <n v="167.07"/>
    <s v="Technology"/>
  </r>
  <r>
    <s v="ORD-00315"/>
    <d v="2025-04-08T00:00:00"/>
    <s v="Customer 053"/>
    <x v="9"/>
    <s v="Technology"/>
    <s v="South"/>
    <n v="4"/>
    <n v="0.1"/>
    <n v="4320"/>
    <n v="1346.99"/>
    <s v="Technology"/>
  </r>
  <r>
    <s v="ORD-00316"/>
    <d v="2025-07-30T00:00:00"/>
    <s v="Customer 095"/>
    <x v="8"/>
    <s v="Office Supplies"/>
    <s v="North"/>
    <n v="5"/>
    <n v="0.15"/>
    <n v="1020"/>
    <n v="165.21"/>
    <s v="Office Supplies"/>
  </r>
  <r>
    <s v="ORD-00317"/>
    <d v="2025-12-28T00:00:00"/>
    <s v="Customer 085"/>
    <x v="3"/>
    <s v="Furniture"/>
    <s v="West"/>
    <n v="5"/>
    <n v="0.05"/>
    <n v="1330"/>
    <n v="352.33"/>
    <s v="Furniture"/>
  </r>
  <r>
    <s v="ORD-00318"/>
    <d v="2025-09-27T00:00:00"/>
    <s v="Customer 069"/>
    <x v="11"/>
    <s v="Furniture"/>
    <s v="East"/>
    <n v="3"/>
    <n v="0.05"/>
    <n v="541.5"/>
    <n v="161.54"/>
    <s v="Furniture"/>
  </r>
  <r>
    <s v="ORD-00319"/>
    <d v="2025-10-07T00:00:00"/>
    <s v="Customer 032"/>
    <x v="7"/>
    <s v="Technology"/>
    <s v="East"/>
    <n v="3"/>
    <n v="0.2"/>
    <n v="168"/>
    <n v="48.76"/>
    <s v="Technology"/>
  </r>
  <r>
    <s v="ORD-00320"/>
    <d v="2025-10-13T00:00:00"/>
    <s v="Customer 091"/>
    <x v="4"/>
    <s v="Technology"/>
    <s v="South"/>
    <n v="2"/>
    <n v="0.1"/>
    <n v="1530"/>
    <n v="299.13"/>
    <s v="Technology"/>
  </r>
  <r>
    <s v="ORD-00321"/>
    <d v="2025-12-20T00:00:00"/>
    <s v="Customer 072"/>
    <x v="1"/>
    <s v="Furniture"/>
    <s v="East"/>
    <n v="4"/>
    <n v="0.1"/>
    <n v="756"/>
    <n v="220.5"/>
    <s v="Furniture"/>
  </r>
  <r>
    <s v="ORD-00322"/>
    <d v="2025-05-28T00:00:00"/>
    <s v="Customer 051"/>
    <x v="0"/>
    <s v="Technology"/>
    <s v="East"/>
    <n v="5"/>
    <n v="0.2"/>
    <n v="140"/>
    <n v="45.46"/>
    <s v="Technology"/>
  </r>
  <r>
    <s v="ORD-00323"/>
    <d v="2025-03-16T00:00:00"/>
    <s v="Customer 011"/>
    <x v="4"/>
    <s v="Technology"/>
    <s v="East"/>
    <n v="1"/>
    <n v="0.1"/>
    <n v="765"/>
    <n v="103.08"/>
    <s v="Technology"/>
  </r>
  <r>
    <s v="ORD-00324"/>
    <d v="2025-08-15T00:00:00"/>
    <s v="Customer 069"/>
    <x v="5"/>
    <s v="Technology"/>
    <s v="East"/>
    <n v="3"/>
    <n v="0.15"/>
    <n v="816"/>
    <n v="309.58"/>
    <s v="Technology"/>
  </r>
  <r>
    <s v="ORD-00325"/>
    <d v="2025-10-15T00:00:00"/>
    <s v="Customer 095"/>
    <x v="1"/>
    <s v="Furniture"/>
    <s v="South"/>
    <n v="3"/>
    <n v="0.05"/>
    <n v="598.5"/>
    <n v="247.75"/>
    <s v="Furniture"/>
  </r>
  <r>
    <s v="ORD-00326"/>
    <d v="2025-05-05T00:00:00"/>
    <s v="Customer 007"/>
    <x v="9"/>
    <s v="Technology"/>
    <s v="North"/>
    <n v="5"/>
    <n v="0.05"/>
    <n v="5700"/>
    <n v="1365.03"/>
    <s v="Technology"/>
  </r>
  <r>
    <s v="ORD-00327"/>
    <d v="2025-07-31T00:00:00"/>
    <s v="Customer 018"/>
    <x v="7"/>
    <s v="Technology"/>
    <s v="North"/>
    <n v="4"/>
    <n v="0"/>
    <n v="280"/>
    <n v="63.06"/>
    <s v="Technology"/>
  </r>
  <r>
    <s v="ORD-00328"/>
    <d v="2025-10-09T00:00:00"/>
    <s v="Customer 026"/>
    <x v="3"/>
    <s v="Furniture"/>
    <s v="East"/>
    <n v="4"/>
    <n v="0.15"/>
    <n v="952"/>
    <n v="278.39999999999998"/>
    <s v="Furniture"/>
  </r>
  <r>
    <s v="ORD-00329"/>
    <d v="2025-06-14T00:00:00"/>
    <s v="Customer 030"/>
    <x v="4"/>
    <s v="Technology"/>
    <s v="North"/>
    <n v="1"/>
    <n v="0"/>
    <n v="850"/>
    <n v="199.53"/>
    <s v="Technology"/>
  </r>
  <r>
    <s v="ORD-00330"/>
    <d v="2025-03-31T00:00:00"/>
    <s v="Customer 051"/>
    <x v="11"/>
    <s v="Furniture"/>
    <s v="West"/>
    <n v="2"/>
    <n v="0"/>
    <n v="380"/>
    <n v="45.95"/>
    <s v="Furniture"/>
  </r>
  <r>
    <s v="ORD-00331"/>
    <d v="2025-04-06T00:00:00"/>
    <s v="Customer 073"/>
    <x v="1"/>
    <s v="Furniture"/>
    <s v="North"/>
    <n v="3"/>
    <n v="0"/>
    <n v="630"/>
    <n v="281.57"/>
    <s v="Furniture"/>
  </r>
  <r>
    <s v="ORD-00332"/>
    <d v="2025-06-21T00:00:00"/>
    <s v="Customer 018"/>
    <x v="4"/>
    <s v="Technology"/>
    <s v="West"/>
    <n v="4"/>
    <n v="0.2"/>
    <n v="2720"/>
    <n v="753.37"/>
    <s v="Technology"/>
  </r>
  <r>
    <s v="ORD-00333"/>
    <d v="2025-05-20T00:00:00"/>
    <s v="Customer 059"/>
    <x v="2"/>
    <s v="Furniture"/>
    <s v="East"/>
    <n v="1"/>
    <n v="0.1"/>
    <n v="49.5"/>
    <n v="19.62"/>
    <s v="Furniture"/>
  </r>
  <r>
    <s v="ORD-00334"/>
    <d v="2025-04-06T00:00:00"/>
    <s v="Customer 097"/>
    <x v="9"/>
    <s v="Technology"/>
    <s v="South"/>
    <n v="3"/>
    <n v="0.1"/>
    <n v="3240"/>
    <n v="850.93"/>
    <s v="Technology"/>
  </r>
  <r>
    <s v="ORD-00335"/>
    <d v="2025-03-31T00:00:00"/>
    <s v="Customer 012"/>
    <x v="10"/>
    <s v="Office Supplies"/>
    <s v="West"/>
    <n v="4"/>
    <n v="0.15"/>
    <n v="85"/>
    <n v="23.8"/>
    <s v="Office Supplies"/>
  </r>
  <r>
    <s v="ORD-00336"/>
    <d v="2025-12-09T00:00:00"/>
    <s v="Customer 032"/>
    <x v="0"/>
    <s v="Technology"/>
    <s v="North"/>
    <n v="2"/>
    <n v="0.05"/>
    <n v="66.5"/>
    <n v="19.45"/>
    <s v="Technology"/>
  </r>
  <r>
    <s v="ORD-00337"/>
    <d v="2025-05-14T00:00:00"/>
    <s v="Customer 043"/>
    <x v="11"/>
    <s v="Furniture"/>
    <s v="East"/>
    <n v="2"/>
    <n v="0.15"/>
    <n v="323"/>
    <n v="65.010000000000005"/>
    <s v="Furniture"/>
  </r>
  <r>
    <s v="ORD-00338"/>
    <d v="2025-10-26T00:00:00"/>
    <s v="Customer 047"/>
    <x v="1"/>
    <s v="Furniture"/>
    <s v="South"/>
    <n v="5"/>
    <n v="0"/>
    <n v="1050"/>
    <n v="381.87"/>
    <s v="Furniture"/>
  </r>
  <r>
    <s v="ORD-00339"/>
    <d v="2025-02-01T00:00:00"/>
    <s v="Customer 052"/>
    <x v="5"/>
    <s v="Technology"/>
    <s v="East"/>
    <n v="1"/>
    <n v="0.15"/>
    <n v="272"/>
    <n v="94.86"/>
    <s v="Technology"/>
  </r>
  <r>
    <s v="ORD-00340"/>
    <d v="2025-12-20T00:00:00"/>
    <s v="Customer 029"/>
    <x v="0"/>
    <s v="Technology"/>
    <s v="South"/>
    <n v="3"/>
    <n v="0.1"/>
    <n v="94.5"/>
    <n v="23.36"/>
    <s v="Technology"/>
  </r>
  <r>
    <s v="ORD-00341"/>
    <d v="2025-09-02T00:00:00"/>
    <s v="Customer 090"/>
    <x v="3"/>
    <s v="Furniture"/>
    <s v="West"/>
    <n v="4"/>
    <n v="0.2"/>
    <n v="896"/>
    <n v="292.73"/>
    <s v="Furniture"/>
  </r>
  <r>
    <s v="ORD-00342"/>
    <d v="2025-10-03T00:00:00"/>
    <s v="Customer 077"/>
    <x v="5"/>
    <s v="Technology"/>
    <s v="North"/>
    <n v="2"/>
    <n v="0.05"/>
    <n v="608"/>
    <n v="137.1"/>
    <s v="Technology"/>
  </r>
  <r>
    <s v="ORD-00343"/>
    <d v="2025-09-27T00:00:00"/>
    <s v="Customer 073"/>
    <x v="6"/>
    <s v="Office Supplies"/>
    <s v="North"/>
    <n v="5"/>
    <n v="0.1"/>
    <n v="81"/>
    <n v="34.36"/>
    <s v="Office Supplies"/>
  </r>
  <r>
    <s v="ORD-00344"/>
    <d v="2025-02-01T00:00:00"/>
    <s v="Customer 020"/>
    <x v="8"/>
    <s v="Office Supplies"/>
    <s v="South"/>
    <n v="5"/>
    <n v="0.05"/>
    <n v="1140"/>
    <n v="297.55"/>
    <s v="Office Supplies"/>
  </r>
  <r>
    <s v="ORD-00345"/>
    <d v="2025-06-17T00:00:00"/>
    <s v="Customer 092"/>
    <x v="8"/>
    <s v="Office Supplies"/>
    <s v="West"/>
    <n v="4"/>
    <n v="0"/>
    <n v="960"/>
    <n v="216.48"/>
    <s v="Office Supplies"/>
  </r>
  <r>
    <s v="ORD-00346"/>
    <d v="2025-02-16T00:00:00"/>
    <s v="Customer 066"/>
    <x v="8"/>
    <s v="Office Supplies"/>
    <s v="West"/>
    <n v="4"/>
    <n v="0"/>
    <n v="960"/>
    <n v="288.35000000000002"/>
    <s v="Office Supplies"/>
  </r>
  <r>
    <s v="ORD-00347"/>
    <d v="2025-08-22T00:00:00"/>
    <s v="Customer 040"/>
    <x v="10"/>
    <s v="Office Supplies"/>
    <s v="North"/>
    <n v="1"/>
    <n v="0.2"/>
    <n v="20"/>
    <n v="5.95"/>
    <s v="Office Supplies"/>
  </r>
  <r>
    <s v="ORD-00348"/>
    <d v="2025-07-22T00:00:00"/>
    <s v="Customer 006"/>
    <x v="4"/>
    <s v="Technology"/>
    <s v="West"/>
    <n v="1"/>
    <n v="0.05"/>
    <n v="807.5"/>
    <n v="209.27"/>
    <s v="Technology"/>
  </r>
  <r>
    <s v="ORD-00349"/>
    <d v="2025-06-26T00:00:00"/>
    <s v="Customer 009"/>
    <x v="1"/>
    <s v="Furniture"/>
    <s v="West"/>
    <n v="1"/>
    <n v="0.2"/>
    <n v="168"/>
    <n v="20.49"/>
    <s v="Furniture"/>
  </r>
  <r>
    <s v="ORD-00350"/>
    <d v="2025-01-17T00:00:00"/>
    <s v="Customer 099"/>
    <x v="4"/>
    <s v="Technology"/>
    <s v="West"/>
    <n v="4"/>
    <n v="0.05"/>
    <n v="3230"/>
    <n v="633.85"/>
    <s v="Technology"/>
  </r>
  <r>
    <s v="ORD-00351"/>
    <d v="2025-07-11T00:00:00"/>
    <s v="Customer 088"/>
    <x v="11"/>
    <s v="Furniture"/>
    <s v="South"/>
    <n v="4"/>
    <n v="0.15"/>
    <n v="646"/>
    <n v="210.62"/>
    <s v="Furniture"/>
  </r>
  <r>
    <s v="ORD-00352"/>
    <d v="2025-12-01T00:00:00"/>
    <s v="Customer 051"/>
    <x v="7"/>
    <s v="Technology"/>
    <s v="South"/>
    <n v="1"/>
    <n v="0.05"/>
    <n v="66.5"/>
    <n v="8.14"/>
    <s v="Technology"/>
  </r>
  <r>
    <s v="ORD-00353"/>
    <d v="2025-04-25T00:00:00"/>
    <s v="Customer 093"/>
    <x v="9"/>
    <s v="Technology"/>
    <s v="West"/>
    <n v="1"/>
    <n v="0.1"/>
    <n v="1080"/>
    <n v="320.99"/>
    <s v="Technology"/>
  </r>
  <r>
    <s v="ORD-00354"/>
    <d v="2025-09-30T00:00:00"/>
    <s v="Customer 020"/>
    <x v="11"/>
    <s v="Furniture"/>
    <s v="East"/>
    <n v="2"/>
    <n v="0.05"/>
    <n v="361"/>
    <n v="107.58"/>
    <s v="Furniture"/>
  </r>
  <r>
    <s v="ORD-00355"/>
    <d v="2025-04-07T00:00:00"/>
    <s v="Customer 054"/>
    <x v="1"/>
    <s v="Furniture"/>
    <s v="North"/>
    <n v="1"/>
    <n v="0"/>
    <n v="210"/>
    <n v="38.4"/>
    <s v="Furniture"/>
  </r>
  <r>
    <s v="ORD-00356"/>
    <d v="2025-05-04T00:00:00"/>
    <s v="Customer 058"/>
    <x v="2"/>
    <s v="Furniture"/>
    <s v="North"/>
    <n v="1"/>
    <n v="0"/>
    <n v="55"/>
    <n v="13.97"/>
    <s v="Furniture"/>
  </r>
  <r>
    <s v="ORD-00357"/>
    <d v="2025-05-06T00:00:00"/>
    <s v="Customer 070"/>
    <x v="1"/>
    <s v="Furniture"/>
    <s v="South"/>
    <n v="1"/>
    <n v="0.15"/>
    <n v="178.5"/>
    <n v="54.47"/>
    <s v="Furniture"/>
  </r>
  <r>
    <s v="ORD-00358"/>
    <d v="2025-01-29T00:00:00"/>
    <s v="Customer 094"/>
    <x v="3"/>
    <s v="Furniture"/>
    <s v="East"/>
    <n v="5"/>
    <n v="0.1"/>
    <n v="1260"/>
    <n v="469.64"/>
    <s v="Furniture"/>
  </r>
  <r>
    <s v="ORD-00359"/>
    <d v="2025-10-23T00:00:00"/>
    <s v="Customer 019"/>
    <x v="10"/>
    <s v="Office Supplies"/>
    <s v="South"/>
    <n v="3"/>
    <n v="0.05"/>
    <n v="71.25"/>
    <n v="24.97"/>
    <s v="Office Supplies"/>
  </r>
  <r>
    <s v="ORD-00360"/>
    <d v="2025-07-31T00:00:00"/>
    <s v="Customer 076"/>
    <x v="4"/>
    <s v="Technology"/>
    <s v="South"/>
    <n v="3"/>
    <n v="0"/>
    <n v="2550"/>
    <n v="679.02"/>
    <s v="Technology"/>
  </r>
  <r>
    <s v="ORD-00361"/>
    <d v="2025-11-17T00:00:00"/>
    <s v="Customer 045"/>
    <x v="5"/>
    <s v="Technology"/>
    <s v="West"/>
    <n v="4"/>
    <n v="0.2"/>
    <n v="1024"/>
    <n v="293.32"/>
    <s v="Technology"/>
  </r>
  <r>
    <s v="ORD-00362"/>
    <d v="2025-09-26T00:00:00"/>
    <s v="Customer 049"/>
    <x v="7"/>
    <s v="Technology"/>
    <s v="South"/>
    <n v="4"/>
    <n v="0.15"/>
    <n v="238"/>
    <n v="95.38"/>
    <s v="Technology"/>
  </r>
  <r>
    <s v="ORD-00363"/>
    <d v="2025-10-03T00:00:00"/>
    <s v="Customer 091"/>
    <x v="6"/>
    <s v="Office Supplies"/>
    <s v="South"/>
    <n v="2"/>
    <n v="0.05"/>
    <n v="34.200000000000003"/>
    <n v="12"/>
    <s v="Office Supplies"/>
  </r>
  <r>
    <s v="ORD-00364"/>
    <d v="2025-08-26T00:00:00"/>
    <s v="Customer 072"/>
    <x v="9"/>
    <s v="Technology"/>
    <s v="South"/>
    <n v="5"/>
    <n v="0.15"/>
    <n v="5100"/>
    <n v="666.22"/>
    <s v="Technology"/>
  </r>
  <r>
    <s v="ORD-00365"/>
    <d v="2025-07-18T00:00:00"/>
    <s v="Customer 011"/>
    <x v="2"/>
    <s v="Furniture"/>
    <s v="West"/>
    <n v="3"/>
    <n v="0.05"/>
    <n v="156.75"/>
    <n v="53.45"/>
    <s v="Furniture"/>
  </r>
  <r>
    <s v="ORD-00366"/>
    <d v="2025-07-09T00:00:00"/>
    <s v="Customer 049"/>
    <x v="0"/>
    <s v="Technology"/>
    <s v="North"/>
    <n v="5"/>
    <n v="0.05"/>
    <n v="166.25"/>
    <n v="71.989999999999995"/>
    <s v="Technology"/>
  </r>
  <r>
    <s v="ORD-00367"/>
    <d v="2025-02-07T00:00:00"/>
    <s v="Customer 027"/>
    <x v="2"/>
    <s v="Furniture"/>
    <s v="East"/>
    <n v="5"/>
    <n v="0.2"/>
    <n v="220"/>
    <n v="83.24"/>
    <s v="Furniture"/>
  </r>
  <r>
    <s v="ORD-00368"/>
    <d v="2025-06-05T00:00:00"/>
    <s v="Customer 016"/>
    <x v="9"/>
    <s v="Technology"/>
    <s v="West"/>
    <n v="2"/>
    <n v="0.05"/>
    <n v="2280"/>
    <n v="302.13"/>
    <s v="Technology"/>
  </r>
  <r>
    <s v="ORD-00369"/>
    <d v="2025-05-05T00:00:00"/>
    <s v="Customer 031"/>
    <x v="1"/>
    <s v="Furniture"/>
    <s v="East"/>
    <n v="5"/>
    <n v="0.05"/>
    <n v="997.5"/>
    <n v="318.31"/>
    <s v="Furniture"/>
  </r>
  <r>
    <s v="ORD-00370"/>
    <d v="2025-05-25T00:00:00"/>
    <s v="Customer 040"/>
    <x v="11"/>
    <s v="Furniture"/>
    <s v="East"/>
    <n v="4"/>
    <n v="0.2"/>
    <n v="608"/>
    <n v="143.44"/>
    <s v="Furniture"/>
  </r>
  <r>
    <s v="ORD-00371"/>
    <d v="2025-07-04T00:00:00"/>
    <s v="Customer 093"/>
    <x v="8"/>
    <s v="Office Supplies"/>
    <s v="West"/>
    <n v="4"/>
    <n v="0.15"/>
    <n v="816"/>
    <n v="340.65"/>
    <s v="Office Supplies"/>
  </r>
  <r>
    <s v="ORD-00372"/>
    <d v="2025-06-13T00:00:00"/>
    <s v="Customer 073"/>
    <x v="2"/>
    <s v="Furniture"/>
    <s v="South"/>
    <n v="3"/>
    <n v="0.1"/>
    <n v="148.5"/>
    <n v="46.54"/>
    <s v="Furniture"/>
  </r>
  <r>
    <s v="ORD-00373"/>
    <d v="2025-03-16T00:00:00"/>
    <s v="Customer 075"/>
    <x v="9"/>
    <s v="Technology"/>
    <s v="West"/>
    <n v="3"/>
    <n v="0.2"/>
    <n v="2880"/>
    <n v="407.61"/>
    <s v="Technology"/>
  </r>
  <r>
    <s v="ORD-00374"/>
    <d v="2025-06-01T00:00:00"/>
    <s v="Customer 073"/>
    <x v="3"/>
    <s v="Furniture"/>
    <s v="South"/>
    <n v="2"/>
    <n v="0.1"/>
    <n v="504"/>
    <n v="188.54"/>
    <s v="Furniture"/>
  </r>
  <r>
    <s v="ORD-00375"/>
    <d v="2025-09-13T00:00:00"/>
    <s v="Customer 063"/>
    <x v="8"/>
    <s v="Office Supplies"/>
    <s v="West"/>
    <n v="3"/>
    <n v="0.1"/>
    <n v="648"/>
    <n v="128.36000000000001"/>
    <s v="Office Supplies"/>
  </r>
  <r>
    <s v="ORD-00376"/>
    <d v="2025-08-24T00:00:00"/>
    <s v="Customer 070"/>
    <x v="3"/>
    <s v="Furniture"/>
    <s v="West"/>
    <n v="3"/>
    <n v="0.05"/>
    <n v="798"/>
    <n v="322.24"/>
    <s v="Furniture"/>
  </r>
  <r>
    <s v="ORD-00377"/>
    <d v="2025-04-05T00:00:00"/>
    <s v="Customer 010"/>
    <x v="8"/>
    <s v="Office Supplies"/>
    <s v="North"/>
    <n v="1"/>
    <n v="0.2"/>
    <n v="192"/>
    <n v="84.26"/>
    <s v="Office Supplies"/>
  </r>
  <r>
    <s v="ORD-00378"/>
    <d v="2025-01-04T00:00:00"/>
    <s v="Customer 020"/>
    <x v="11"/>
    <s v="Furniture"/>
    <s v="North"/>
    <n v="2"/>
    <n v="0.05"/>
    <n v="361"/>
    <n v="154.35"/>
    <s v="Furniture"/>
  </r>
  <r>
    <s v="ORD-00379"/>
    <d v="2025-04-22T00:00:00"/>
    <s v="Customer 082"/>
    <x v="8"/>
    <s v="Office Supplies"/>
    <s v="West"/>
    <n v="4"/>
    <n v="0.1"/>
    <n v="864"/>
    <n v="371.56"/>
    <s v="Office Supplies"/>
  </r>
  <r>
    <s v="ORD-00380"/>
    <d v="2025-12-04T00:00:00"/>
    <s v="Customer 053"/>
    <x v="6"/>
    <s v="Office Supplies"/>
    <s v="North"/>
    <n v="1"/>
    <n v="0"/>
    <n v="18"/>
    <n v="4.9400000000000004"/>
    <s v="Office Supplies"/>
  </r>
  <r>
    <s v="ORD-00381"/>
    <d v="2025-01-09T00:00:00"/>
    <s v="Customer 003"/>
    <x v="8"/>
    <s v="Office Supplies"/>
    <s v="West"/>
    <n v="3"/>
    <n v="0.2"/>
    <n v="576"/>
    <n v="73.400000000000006"/>
    <s v="Office Supplies"/>
  </r>
  <r>
    <s v="ORD-00382"/>
    <d v="2025-04-02T00:00:00"/>
    <s v="Customer 025"/>
    <x v="0"/>
    <s v="Technology"/>
    <s v="East"/>
    <n v="1"/>
    <n v="0.2"/>
    <n v="28"/>
    <n v="11.22"/>
    <s v="Technology"/>
  </r>
  <r>
    <s v="ORD-00383"/>
    <d v="2025-07-01T00:00:00"/>
    <s v="Customer 052"/>
    <x v="4"/>
    <s v="Technology"/>
    <s v="West"/>
    <n v="4"/>
    <n v="0"/>
    <n v="3400"/>
    <n v="1111.44"/>
    <s v="Technology"/>
  </r>
  <r>
    <s v="ORD-00384"/>
    <d v="2025-10-17T00:00:00"/>
    <s v="Customer 011"/>
    <x v="2"/>
    <s v="Furniture"/>
    <s v="North"/>
    <n v="2"/>
    <n v="0.1"/>
    <n v="99"/>
    <n v="22.2"/>
    <s v="Furniture"/>
  </r>
  <r>
    <s v="ORD-00385"/>
    <d v="2025-02-17T00:00:00"/>
    <s v="Customer 008"/>
    <x v="11"/>
    <s v="Furniture"/>
    <s v="North"/>
    <n v="4"/>
    <n v="0.15"/>
    <n v="646"/>
    <n v="172.88"/>
    <s v="Furniture"/>
  </r>
  <r>
    <s v="ORD-00386"/>
    <d v="2025-12-26T00:00:00"/>
    <s v="Customer 083"/>
    <x v="3"/>
    <s v="Furniture"/>
    <s v="East"/>
    <n v="1"/>
    <n v="0.15"/>
    <n v="238"/>
    <n v="40.71"/>
    <s v="Furniture"/>
  </r>
  <r>
    <s v="ORD-00387"/>
    <d v="2025-10-17T00:00:00"/>
    <s v="Customer 089"/>
    <x v="0"/>
    <s v="Technology"/>
    <s v="West"/>
    <n v="5"/>
    <n v="0"/>
    <n v="175"/>
    <n v="65.48"/>
    <s v="Technology"/>
  </r>
  <r>
    <s v="ORD-00388"/>
    <d v="2025-05-19T00:00:00"/>
    <s v="Customer 073"/>
    <x v="9"/>
    <s v="Technology"/>
    <s v="North"/>
    <n v="1"/>
    <n v="0.1"/>
    <n v="1080"/>
    <n v="165.49"/>
    <s v="Technology"/>
  </r>
  <r>
    <s v="ORD-00389"/>
    <d v="2025-04-02T00:00:00"/>
    <s v="Customer 097"/>
    <x v="7"/>
    <s v="Technology"/>
    <s v="West"/>
    <n v="1"/>
    <n v="0.05"/>
    <n v="66.5"/>
    <n v="17.04"/>
    <s v="Technology"/>
  </r>
  <r>
    <s v="ORD-00390"/>
    <d v="2025-02-09T00:00:00"/>
    <s v="Customer 050"/>
    <x v="4"/>
    <s v="Technology"/>
    <s v="East"/>
    <n v="2"/>
    <n v="0.2"/>
    <n v="1360"/>
    <n v="504.08"/>
    <s v="Technology"/>
  </r>
  <r>
    <s v="ORD-00391"/>
    <d v="2025-07-16T00:00:00"/>
    <s v="Customer 045"/>
    <x v="1"/>
    <s v="Furniture"/>
    <s v="North"/>
    <n v="2"/>
    <n v="0"/>
    <n v="420"/>
    <n v="119.59"/>
    <s v="Furniture"/>
  </r>
  <r>
    <s v="ORD-00392"/>
    <d v="2025-02-20T00:00:00"/>
    <s v="Customer 099"/>
    <x v="11"/>
    <s v="Furniture"/>
    <s v="West"/>
    <n v="2"/>
    <n v="0"/>
    <n v="380"/>
    <n v="128.29"/>
    <s v="Furniture"/>
  </r>
  <r>
    <s v="ORD-00393"/>
    <d v="2025-06-17T00:00:00"/>
    <s v="Customer 046"/>
    <x v="9"/>
    <s v="Technology"/>
    <s v="West"/>
    <n v="3"/>
    <n v="0.15"/>
    <n v="3060"/>
    <n v="881.59"/>
    <s v="Technology"/>
  </r>
  <r>
    <s v="ORD-00394"/>
    <d v="2025-08-10T00:00:00"/>
    <s v="Customer 080"/>
    <x v="3"/>
    <s v="Furniture"/>
    <s v="East"/>
    <n v="5"/>
    <n v="0.15"/>
    <n v="1190"/>
    <n v="501.85"/>
    <s v="Furniture"/>
  </r>
  <r>
    <s v="ORD-00395"/>
    <d v="2025-05-07T00:00:00"/>
    <s v="Customer 049"/>
    <x v="1"/>
    <s v="Furniture"/>
    <s v="South"/>
    <n v="1"/>
    <n v="0"/>
    <n v="210"/>
    <n v="75.930000000000007"/>
    <s v="Furniture"/>
  </r>
  <r>
    <s v="ORD-00396"/>
    <d v="2025-07-19T00:00:00"/>
    <s v="Customer 040"/>
    <x v="7"/>
    <s v="Technology"/>
    <s v="West"/>
    <n v="3"/>
    <n v="0"/>
    <n v="210"/>
    <n v="88.16"/>
    <s v="Technology"/>
  </r>
  <r>
    <s v="ORD-00397"/>
    <d v="2025-07-04T00:00:00"/>
    <s v="Customer 056"/>
    <x v="4"/>
    <s v="Technology"/>
    <s v="West"/>
    <n v="1"/>
    <n v="0.05"/>
    <n v="807.5"/>
    <n v="340.11"/>
    <s v="Technology"/>
  </r>
  <r>
    <s v="ORD-00398"/>
    <d v="2025-10-13T00:00:00"/>
    <s v="Customer 012"/>
    <x v="8"/>
    <s v="Office Supplies"/>
    <s v="East"/>
    <n v="5"/>
    <n v="0.15"/>
    <n v="1020"/>
    <n v="424.23"/>
    <s v="Office Supplies"/>
  </r>
  <r>
    <s v="ORD-00399"/>
    <d v="2025-10-11T00:00:00"/>
    <s v="Customer 050"/>
    <x v="0"/>
    <s v="Technology"/>
    <s v="North"/>
    <n v="5"/>
    <n v="0.2"/>
    <n v="140"/>
    <n v="26.76"/>
    <s v="Technology"/>
  </r>
  <r>
    <s v="ORD-00400"/>
    <d v="2025-05-30T00:00:00"/>
    <s v="Customer 072"/>
    <x v="11"/>
    <s v="Furniture"/>
    <s v="South"/>
    <n v="4"/>
    <n v="0"/>
    <n v="760"/>
    <n v="160.21"/>
    <s v="Furniture"/>
  </r>
  <r>
    <s v="ORD-00401"/>
    <d v="2025-10-20T00:00:00"/>
    <s v="Customer 035"/>
    <x v="8"/>
    <s v="Office Supplies"/>
    <s v="East"/>
    <n v="2"/>
    <n v="0.15"/>
    <n v="408"/>
    <n v="160.78"/>
    <s v="Office Supplies"/>
  </r>
  <r>
    <s v="ORD-00402"/>
    <d v="2025-05-18T00:00:00"/>
    <s v="Customer 036"/>
    <x v="6"/>
    <s v="Office Supplies"/>
    <s v="West"/>
    <n v="2"/>
    <n v="0"/>
    <n v="36"/>
    <n v="14.21"/>
    <s v="Office Supplies"/>
  </r>
  <r>
    <s v="ORD-00403"/>
    <d v="2025-06-03T00:00:00"/>
    <s v="Customer 032"/>
    <x v="6"/>
    <s v="Office Supplies"/>
    <s v="West"/>
    <n v="1"/>
    <n v="0.1"/>
    <n v="16.2"/>
    <n v="5.94"/>
    <s v="Office Supplies"/>
  </r>
  <r>
    <s v="ORD-00404"/>
    <d v="2025-11-01T00:00:00"/>
    <s v="Customer 039"/>
    <x v="10"/>
    <s v="Office Supplies"/>
    <s v="North"/>
    <n v="2"/>
    <n v="0.15"/>
    <n v="42.5"/>
    <n v="17.62"/>
    <s v="Office Supplies"/>
  </r>
  <r>
    <s v="ORD-00405"/>
    <d v="2025-07-22T00:00:00"/>
    <s v="Customer 043"/>
    <x v="7"/>
    <s v="Technology"/>
    <s v="West"/>
    <n v="5"/>
    <n v="0.15"/>
    <n v="297.5"/>
    <n v="54.93"/>
    <s v="Technology"/>
  </r>
  <r>
    <s v="ORD-00406"/>
    <d v="2025-06-21T00:00:00"/>
    <s v="Customer 078"/>
    <x v="11"/>
    <s v="Furniture"/>
    <s v="South"/>
    <n v="5"/>
    <n v="0.05"/>
    <n v="902.5"/>
    <n v="316.64999999999998"/>
    <s v="Furniture"/>
  </r>
  <r>
    <s v="ORD-00407"/>
    <d v="2025-09-03T00:00:00"/>
    <s v="Customer 038"/>
    <x v="7"/>
    <s v="Technology"/>
    <s v="West"/>
    <n v="2"/>
    <n v="0.15"/>
    <n v="119"/>
    <n v="15.51"/>
    <s v="Technology"/>
  </r>
  <r>
    <s v="ORD-00408"/>
    <d v="2025-10-22T00:00:00"/>
    <s v="Customer 051"/>
    <x v="2"/>
    <s v="Furniture"/>
    <s v="East"/>
    <n v="3"/>
    <n v="0.15"/>
    <n v="140.25"/>
    <n v="50.14"/>
    <s v="Furniture"/>
  </r>
  <r>
    <s v="ORD-00409"/>
    <d v="2025-02-28T00:00:00"/>
    <s v="Customer 024"/>
    <x v="10"/>
    <s v="Office Supplies"/>
    <s v="North"/>
    <n v="2"/>
    <n v="0.2"/>
    <n v="40"/>
    <n v="4.84"/>
    <s v="Office Supplies"/>
  </r>
  <r>
    <s v="ORD-00410"/>
    <d v="2025-08-25T00:00:00"/>
    <s v="Customer 089"/>
    <x v="1"/>
    <s v="Furniture"/>
    <s v="North"/>
    <n v="2"/>
    <n v="0.15"/>
    <n v="357"/>
    <n v="66.67"/>
    <s v="Furniture"/>
  </r>
  <r>
    <s v="ORD-00411"/>
    <d v="2025-07-29T00:00:00"/>
    <s v="Customer 031"/>
    <x v="5"/>
    <s v="Technology"/>
    <s v="East"/>
    <n v="4"/>
    <n v="0.05"/>
    <n v="1216"/>
    <n v="293.05"/>
    <s v="Technology"/>
  </r>
  <r>
    <s v="ORD-00412"/>
    <d v="2025-12-04T00:00:00"/>
    <s v="Customer 077"/>
    <x v="3"/>
    <s v="Furniture"/>
    <s v="West"/>
    <n v="4"/>
    <n v="0.15"/>
    <n v="952"/>
    <n v="405.16"/>
    <s v="Furniture"/>
  </r>
  <r>
    <s v="ORD-00413"/>
    <d v="2025-10-26T00:00:00"/>
    <s v="Customer 089"/>
    <x v="11"/>
    <s v="Furniture"/>
    <s v="West"/>
    <n v="5"/>
    <m/>
    <n v="760"/>
    <n v="110.39"/>
    <s v="Furniture"/>
  </r>
  <r>
    <s v="ORD-00414"/>
    <d v="2025-10-06T00:00:00"/>
    <s v="Customer 011"/>
    <x v="9"/>
    <s v="Technology"/>
    <s v="North"/>
    <n v="3"/>
    <n v="0.2"/>
    <n v="2880"/>
    <n v="731.63"/>
    <s v="Technology"/>
  </r>
  <r>
    <s v="ORD-00415"/>
    <d v="2025-05-08T00:00:00"/>
    <s v="Customer 006"/>
    <x v="5"/>
    <s v="Technology"/>
    <s v="West"/>
    <n v="3"/>
    <n v="0.05"/>
    <n v="912"/>
    <n v="215.68"/>
    <s v="Technology"/>
  </r>
  <r>
    <s v="ORD-00416"/>
    <d v="2025-06-19T00:00:00"/>
    <s v="Customer 029"/>
    <x v="11"/>
    <s v="Furniture"/>
    <s v="South"/>
    <n v="1"/>
    <n v="0"/>
    <n v="190"/>
    <n v="79.319999999999993"/>
    <s v="Furniture"/>
  </r>
  <r>
    <s v="ORD-00417"/>
    <d v="2025-08-17T00:00:00"/>
    <s v="Customer 076"/>
    <x v="7"/>
    <s v="Technology"/>
    <s v="South"/>
    <n v="4"/>
    <n v="0.15"/>
    <n v="238"/>
    <n v="46.44"/>
    <s v="Technology"/>
  </r>
  <r>
    <s v="ORD-00418"/>
    <d v="2025-06-26T00:00:00"/>
    <s v="Customer 011"/>
    <x v="9"/>
    <s v="Technology"/>
    <s v="North"/>
    <n v="4"/>
    <n v="0"/>
    <n v="4800"/>
    <n v="1692.04"/>
    <s v="Technology"/>
  </r>
  <r>
    <s v="ORD-00419"/>
    <d v="2025-03-14T00:00:00"/>
    <s v="Customer 027"/>
    <x v="7"/>
    <s v="Technology"/>
    <s v="West"/>
    <n v="3"/>
    <n v="0.1"/>
    <n v="189"/>
    <n v="56.65"/>
    <s v="Technology"/>
  </r>
  <r>
    <s v="ORD-00420"/>
    <d v="2025-06-28T00:00:00"/>
    <s v="Customer 058"/>
    <x v="6"/>
    <s v="Office Supplies"/>
    <s v="East"/>
    <n v="1"/>
    <n v="0.15"/>
    <n v="15.3"/>
    <n v="3.24"/>
    <s v="Office Supplies"/>
  </r>
  <r>
    <s v="ORD-00421"/>
    <d v="2025-02-04T00:00:00"/>
    <s v="Customer 044"/>
    <x v="4"/>
    <s v="Technology"/>
    <s v="North"/>
    <n v="1"/>
    <n v="0"/>
    <n v="850"/>
    <n v="376.16"/>
    <s v="Technology"/>
  </r>
  <r>
    <s v="ORD-00422"/>
    <d v="2025-12-13T00:00:00"/>
    <s v="Customer 021"/>
    <x v="3"/>
    <s v="Furniture"/>
    <s v="East"/>
    <n v="2"/>
    <n v="0.2"/>
    <n v="448"/>
    <n v="175.81"/>
    <s v="Furniture"/>
  </r>
  <r>
    <s v="ORD-00423"/>
    <d v="2025-10-14T00:00:00"/>
    <s v="Customer 081"/>
    <x v="11"/>
    <s v="Furniture"/>
    <s v="South"/>
    <n v="4"/>
    <n v="0.05"/>
    <n v="722"/>
    <n v="134.83000000000001"/>
    <s v="Furniture"/>
  </r>
  <r>
    <s v="ORD-00424"/>
    <d v="2025-04-06T00:00:00"/>
    <s v="Customer 079"/>
    <x v="5"/>
    <s v="Technology"/>
    <s v="South"/>
    <n v="4"/>
    <n v="0.15"/>
    <n v="1088"/>
    <n v="479.12"/>
    <s v="Technology"/>
  </r>
  <r>
    <s v="ORD-00425"/>
    <d v="2025-08-19T00:00:00"/>
    <s v="Customer 028"/>
    <x v="10"/>
    <s v="Office Supplies"/>
    <s v="South"/>
    <n v="4"/>
    <n v="0.15"/>
    <n v="85"/>
    <n v="38.130000000000003"/>
    <s v="Office Supplies"/>
  </r>
  <r>
    <s v="ORD-00426"/>
    <d v="2025-05-23T00:00:00"/>
    <s v="Customer 069"/>
    <x v="1"/>
    <s v="Furniture"/>
    <s v="South"/>
    <n v="1"/>
    <n v="0.2"/>
    <n v="168"/>
    <n v="69.959999999999994"/>
    <s v="Furniture"/>
  </r>
  <r>
    <s v="ORD-00427"/>
    <d v="2025-07-07T00:00:00"/>
    <s v="Customer 086"/>
    <x v="7"/>
    <s v="Technology"/>
    <s v="West"/>
    <n v="2"/>
    <n v="0.15"/>
    <n v="119"/>
    <n v="49.07"/>
    <s v="Technology"/>
  </r>
  <r>
    <s v="ORD-00428"/>
    <d v="2025-09-28T00:00:00"/>
    <s v="Customer 051"/>
    <x v="5"/>
    <s v="Technology"/>
    <s v="North"/>
    <n v="3"/>
    <n v="0.2"/>
    <n v="768"/>
    <n v="247.1"/>
    <s v="Technology"/>
  </r>
  <r>
    <s v="ORD-00429"/>
    <d v="2025-06-28T00:00:00"/>
    <s v="Customer 087"/>
    <x v="7"/>
    <s v="Technology"/>
    <s v="East"/>
    <n v="4"/>
    <n v="0.2"/>
    <n v="224"/>
    <n v="88.05"/>
    <s v="Technology"/>
  </r>
  <r>
    <s v="ORD-00430"/>
    <d v="2025-11-11T00:00:00"/>
    <s v="Customer 031"/>
    <x v="10"/>
    <s v="Office Supplies"/>
    <s v="East"/>
    <n v="1"/>
    <n v="0.05"/>
    <n v="23.75"/>
    <n v="8.23"/>
    <s v="Office Supplies"/>
  </r>
  <r>
    <s v="ORD-00431"/>
    <d v="2025-03-01T00:00:00"/>
    <s v="Customer 054"/>
    <x v="3"/>
    <s v="Furniture"/>
    <s v="South"/>
    <n v="3"/>
    <n v="0.05"/>
    <n v="798"/>
    <n v="224.58"/>
    <s v="Furniture"/>
  </r>
  <r>
    <s v="ORD-00432"/>
    <d v="2025-10-22T00:00:00"/>
    <s v="Customer 069"/>
    <x v="11"/>
    <s v="Furniture"/>
    <s v="South"/>
    <n v="4"/>
    <n v="0.05"/>
    <n v="722"/>
    <n v="208.95"/>
    <s v="Furniture"/>
  </r>
  <r>
    <s v="ORD-00433"/>
    <d v="2025-10-12T00:00:00"/>
    <s v="Customer 041"/>
    <x v="3"/>
    <s v="Furniture"/>
    <s v="West"/>
    <n v="4"/>
    <n v="0.1"/>
    <n v="1008"/>
    <n v="406.93"/>
    <s v="Furniture"/>
  </r>
  <r>
    <s v="ORD-00434"/>
    <d v="2025-11-14T00:00:00"/>
    <s v="Customer 025"/>
    <x v="9"/>
    <s v="Technology"/>
    <s v="West"/>
    <n v="3"/>
    <n v="0"/>
    <n v="3600"/>
    <n v="1044.28"/>
    <s v="Technology"/>
  </r>
  <r>
    <s v="ORD-00435"/>
    <d v="2025-10-15T00:00:00"/>
    <s v="Customer 054"/>
    <x v="8"/>
    <s v="Office Supplies"/>
    <s v="West"/>
    <n v="4"/>
    <n v="0.15"/>
    <n v="816"/>
    <n v="182.82"/>
    <s v="Office Supplies"/>
  </r>
  <r>
    <s v="ORD-00436"/>
    <d v="2025-09-08T00:00:00"/>
    <s v="Customer 098"/>
    <x v="3"/>
    <s v="Furniture"/>
    <s v="South"/>
    <n v="1"/>
    <n v="0.2"/>
    <n v="224"/>
    <n v="98.52"/>
    <s v="Furniture"/>
  </r>
  <r>
    <s v="ORD-00437"/>
    <d v="2025-05-30T00:00:00"/>
    <s v="Customer 022"/>
    <x v="9"/>
    <s v="Technology"/>
    <s v="West"/>
    <n v="3"/>
    <n v="0.05"/>
    <n v="3420"/>
    <n v="932.25"/>
    <s v="Technology"/>
  </r>
  <r>
    <s v="ORD-00438"/>
    <d v="2025-10-17T00:00:00"/>
    <s v="Customer 074"/>
    <x v="1"/>
    <s v="Furniture"/>
    <s v="North"/>
    <n v="4"/>
    <n v="0.2"/>
    <n v="672"/>
    <n v="189.12"/>
    <s v="Furniture"/>
  </r>
  <r>
    <s v="ORD-00439"/>
    <d v="2025-05-18T00:00:00"/>
    <s v="Customer 006"/>
    <x v="8"/>
    <s v="Office Supplies"/>
    <s v="West"/>
    <n v="3"/>
    <n v="0.2"/>
    <n v="576"/>
    <n v="102.84"/>
    <s v="Office Supplies"/>
  </r>
  <r>
    <s v="ORD-00440"/>
    <d v="2025-10-07T00:00:00"/>
    <s v="Customer 084"/>
    <x v="2"/>
    <s v="Furniture"/>
    <s v="South"/>
    <n v="4"/>
    <n v="0"/>
    <n v="220"/>
    <n v="45.57"/>
    <s v="Furniture"/>
  </r>
  <r>
    <s v="ORD-00441"/>
    <d v="2025-06-02T00:00:00"/>
    <s v="Customer 012"/>
    <x v="9"/>
    <s v="Technology"/>
    <s v="West"/>
    <n v="4"/>
    <n v="0.1"/>
    <n v="4320"/>
    <n v="1447.07"/>
    <s v="Technology"/>
  </r>
  <r>
    <s v="ORD-00442"/>
    <d v="2025-03-02T00:00:00"/>
    <s v="Customer 091"/>
    <x v="2"/>
    <s v="Furniture"/>
    <s v="West"/>
    <n v="2"/>
    <n v="0.2"/>
    <n v="88"/>
    <n v="19.59"/>
    <s v="Furniture"/>
  </r>
  <r>
    <s v="ORD-00443"/>
    <d v="2025-03-26T00:00:00"/>
    <s v="Customer 008"/>
    <x v="10"/>
    <s v="Office Supplies"/>
    <s v="East"/>
    <n v="2"/>
    <n v="0.05"/>
    <n v="47.5"/>
    <n v="8.6199999999999992"/>
    <s v="Office Supplies"/>
  </r>
  <r>
    <s v="ORD-00444"/>
    <d v="2025-09-30T00:00:00"/>
    <s v="Customer 091"/>
    <x v="4"/>
    <s v="Technology"/>
    <s v="East"/>
    <n v="5"/>
    <n v="0.2"/>
    <n v="3400"/>
    <n v="1341.08"/>
    <s v="Technology"/>
  </r>
  <r>
    <s v="ORD-00445"/>
    <d v="2025-05-29T00:00:00"/>
    <s v="Customer 087"/>
    <x v="10"/>
    <s v="Office Supplies"/>
    <s v="North"/>
    <n v="3"/>
    <n v="0.2"/>
    <n v="60"/>
    <n v="7.49"/>
    <s v="Office Supplies"/>
  </r>
  <r>
    <s v="ORD-00446"/>
    <d v="2025-03-11T00:00:00"/>
    <s v="Customer 017"/>
    <x v="11"/>
    <s v="Furniture"/>
    <s v="South"/>
    <n v="1"/>
    <n v="0.1"/>
    <n v="171"/>
    <n v="28.02"/>
    <s v="Furniture"/>
  </r>
  <r>
    <s v="ORD-00447"/>
    <d v="2025-05-08T00:00:00"/>
    <s v="Customer 087"/>
    <x v="3"/>
    <s v="Furniture"/>
    <s v="West"/>
    <n v="3"/>
    <n v="0.05"/>
    <n v="798"/>
    <n v="158.57"/>
    <s v="Furniture"/>
  </r>
  <r>
    <s v="ORD-00448"/>
    <d v="2025-09-08T00:00:00"/>
    <s v="Customer 049"/>
    <x v="3"/>
    <s v="Furniture"/>
    <s v="West"/>
    <n v="5"/>
    <n v="0.1"/>
    <n v="1260"/>
    <n v="305.95999999999998"/>
    <s v="Furniture"/>
  </r>
  <r>
    <s v="ORD-00449"/>
    <d v="2025-02-08T00:00:00"/>
    <s v="Customer 036"/>
    <x v="5"/>
    <s v="Technology"/>
    <s v="East"/>
    <n v="1"/>
    <n v="0.15"/>
    <n v="272"/>
    <n v="76.12"/>
    <s v="Technology"/>
  </r>
  <r>
    <s v="ORD-00450"/>
    <d v="2025-08-21T00:00:00"/>
    <s v="Customer 100"/>
    <x v="6"/>
    <s v="Office Supplies"/>
    <s v="North"/>
    <n v="3"/>
    <n v="0.2"/>
    <n v="43.2"/>
    <n v="19.399999999999999"/>
    <s v="Office Supplies"/>
  </r>
  <r>
    <s v="ORD-00451"/>
    <d v="2025-08-23T00:00:00"/>
    <s v="Customer 051"/>
    <x v="5"/>
    <s v="Technology"/>
    <s v="South"/>
    <n v="3"/>
    <n v="0"/>
    <n v="960"/>
    <n v="179.93"/>
    <s v="Technology"/>
  </r>
  <r>
    <s v="ORD-00452"/>
    <d v="2025-08-08T00:00:00"/>
    <s v="Customer 037"/>
    <x v="2"/>
    <s v="Furniture"/>
    <s v="East"/>
    <n v="4"/>
    <n v="0.1"/>
    <n v="198"/>
    <n v="68"/>
    <s v="Furniture"/>
  </r>
  <r>
    <s v="ORD-00453"/>
    <d v="2025-10-08T00:00:00"/>
    <s v="Customer 044"/>
    <x v="10"/>
    <s v="Office Supplies"/>
    <s v="North"/>
    <n v="2"/>
    <n v="0.2"/>
    <n v="40"/>
    <n v="6.75"/>
    <s v="Office Supplies"/>
  </r>
  <r>
    <s v="ORD-00454"/>
    <d v="2025-01-24T00:00:00"/>
    <s v="Customer 021"/>
    <x v="0"/>
    <s v="Technology"/>
    <s v="West"/>
    <n v="4"/>
    <n v="0"/>
    <n v="140"/>
    <n v="57.26"/>
    <s v="Technology"/>
  </r>
  <r>
    <s v="ORD-00455"/>
    <d v="2025-08-22T00:00:00"/>
    <s v="Customer 017"/>
    <x v="9"/>
    <s v="Technology"/>
    <s v="East"/>
    <n v="4"/>
    <n v="0.05"/>
    <n v="4560"/>
    <n v="553.67999999999995"/>
    <s v="Technology"/>
  </r>
  <r>
    <s v="ORD-00456"/>
    <d v="2025-03-23T00:00:00"/>
    <s v="Customer 048"/>
    <x v="4"/>
    <s v="Technology"/>
    <s v="South"/>
    <n v="1"/>
    <n v="0.1"/>
    <n v="765"/>
    <n v="281.04000000000002"/>
    <s v="Technology"/>
  </r>
  <r>
    <s v="ORD-00457"/>
    <d v="2025-01-27T00:00:00"/>
    <s v="Customer 012"/>
    <x v="11"/>
    <s v="Furniture"/>
    <s v="North"/>
    <n v="3"/>
    <n v="0.05"/>
    <n v="541.5"/>
    <n v="166.97"/>
    <s v="Furniture"/>
  </r>
  <r>
    <s v="ORD-00458"/>
    <d v="2025-01-01T00:00:00"/>
    <s v="Customer 029"/>
    <x v="2"/>
    <s v="Furniture"/>
    <s v="West"/>
    <n v="4"/>
    <n v="0"/>
    <n v="220"/>
    <n v="89.37"/>
    <s v="Furniture"/>
  </r>
  <r>
    <s v="ORD-00459"/>
    <d v="2025-01-05T00:00:00"/>
    <s v="Customer 055"/>
    <x v="9"/>
    <s v="Technology"/>
    <s v="South"/>
    <n v="3"/>
    <n v="0"/>
    <n v="3600"/>
    <n v="446.07"/>
    <s v="Technology"/>
  </r>
  <r>
    <s v="ORD-00460"/>
    <d v="2025-09-02T00:00:00"/>
    <s v="Customer 014"/>
    <x v="0"/>
    <s v="Technology"/>
    <s v="North"/>
    <n v="2"/>
    <n v="0.15"/>
    <n v="59.5"/>
    <n v="25.02"/>
    <s v="Technology"/>
  </r>
  <r>
    <s v="ORD-00461"/>
    <d v="2025-06-10T00:00:00"/>
    <s v="Customer 097"/>
    <x v="7"/>
    <s v="Technology"/>
    <s v="South"/>
    <n v="3"/>
    <n v="0.05"/>
    <n v="199.5"/>
    <n v="64.58"/>
    <s v="Technology"/>
  </r>
  <r>
    <s v="ORD-00462"/>
    <d v="2025-11-25T00:00:00"/>
    <s v="Customer 002"/>
    <x v="5"/>
    <s v="Technology"/>
    <s v="South"/>
    <n v="2"/>
    <n v="0"/>
    <n v="640"/>
    <n v="175.96"/>
    <s v="Technology"/>
  </r>
  <r>
    <s v="ORD-00463"/>
    <d v="2025-08-14T00:00:00"/>
    <s v="Customer 079"/>
    <x v="7"/>
    <s v="Technology"/>
    <s v="West"/>
    <n v="2"/>
    <n v="0.05"/>
    <n v="133"/>
    <n v="19.48"/>
    <s v="Technology"/>
  </r>
  <r>
    <s v="ORD-00464"/>
    <d v="2025-04-22T00:00:00"/>
    <s v="Customer 076"/>
    <x v="0"/>
    <s v="Technology"/>
    <s v="West"/>
    <n v="1"/>
    <n v="0.05"/>
    <n v="33.25"/>
    <n v="6.71"/>
    <s v="Technology"/>
  </r>
  <r>
    <s v="ORD-00465"/>
    <d v="2025-06-29T00:00:00"/>
    <s v="Customer 083"/>
    <x v="11"/>
    <s v="Furniture"/>
    <s v="North"/>
    <n v="3"/>
    <n v="0.05"/>
    <n v="541.5"/>
    <n v="199.4"/>
    <s v="Furniture"/>
  </r>
  <r>
    <s v="ORD-00466"/>
    <d v="2025-05-08T00:00:00"/>
    <s v="Customer 037"/>
    <x v="8"/>
    <s v="Office Supplies"/>
    <s v="North"/>
    <n v="5"/>
    <n v="0.2"/>
    <n v="960"/>
    <n v="203.53"/>
    <s v="Office Supplies"/>
  </r>
  <r>
    <s v="ORD-00467"/>
    <d v="2025-12-04T00:00:00"/>
    <s v="Customer 025"/>
    <x v="4"/>
    <s v="Technology"/>
    <s v="West"/>
    <n v="2"/>
    <n v="0.2"/>
    <n v="1360"/>
    <n v="339.61"/>
    <s v="Technology"/>
  </r>
  <r>
    <s v="ORD-00468"/>
    <d v="2025-06-01T00:00:00"/>
    <s v="Customer 015"/>
    <x v="5"/>
    <s v="Technology"/>
    <s v="South"/>
    <n v="1"/>
    <n v="0.05"/>
    <n v="304"/>
    <n v="87.15"/>
    <s v="Technology"/>
  </r>
  <r>
    <s v="ORD-00469"/>
    <d v="2025-09-13T00:00:00"/>
    <s v="Customer 002"/>
    <x v="5"/>
    <s v="Technology"/>
    <s v="East"/>
    <n v="5"/>
    <n v="0"/>
    <n v="1600"/>
    <n v="441.06"/>
    <s v="Technology"/>
  </r>
  <r>
    <s v="ORD-00470"/>
    <d v="2025-06-12T00:00:00"/>
    <s v="Customer 070"/>
    <x v="3"/>
    <s v="Furniture"/>
    <s v="South"/>
    <n v="4"/>
    <n v="0.2"/>
    <n v="896"/>
    <n v="278.76"/>
    <s v="Furniture"/>
  </r>
  <r>
    <s v="ORD-00471"/>
    <d v="2025-08-30T00:00:00"/>
    <s v="Customer 034"/>
    <x v="0"/>
    <s v="Technology"/>
    <s v="South"/>
    <n v="1"/>
    <n v="0.2"/>
    <n v="28"/>
    <n v="11.98"/>
    <s v="Technology"/>
  </r>
  <r>
    <s v="ORD-00472"/>
    <d v="2025-01-21T00:00:00"/>
    <s v="Customer 092"/>
    <x v="9"/>
    <s v="Technology"/>
    <s v="West"/>
    <n v="4"/>
    <n v="0.2"/>
    <n v="3840"/>
    <n v="1364.96"/>
    <s v="Technology"/>
  </r>
  <r>
    <s v="ORD-00473"/>
    <d v="2025-08-05T00:00:00"/>
    <s v="Customer 069"/>
    <x v="1"/>
    <s v="Furniture"/>
    <s v="South"/>
    <n v="4"/>
    <n v="0"/>
    <n v="840"/>
    <n v="200.44"/>
    <s v="Furniture"/>
  </r>
  <r>
    <s v="ORD-00474"/>
    <d v="2025-05-23T00:00:00"/>
    <s v="Customer 027"/>
    <x v="0"/>
    <s v="Technology"/>
    <s v="South"/>
    <n v="3"/>
    <n v="0"/>
    <n v="105"/>
    <n v="29.53"/>
    <s v="Technology"/>
  </r>
  <r>
    <s v="ORD-00475"/>
    <d v="2025-10-02T00:00:00"/>
    <s v="Customer 084"/>
    <x v="7"/>
    <s v="Technology"/>
    <s v="North"/>
    <n v="4"/>
    <n v="0.2"/>
    <n v="224"/>
    <n v="53.91"/>
    <s v="Technology"/>
  </r>
  <r>
    <s v="ORD-00476"/>
    <d v="2025-06-08T00:00:00"/>
    <s v="Customer 012"/>
    <x v="1"/>
    <s v="Furniture"/>
    <s v="West"/>
    <n v="4"/>
    <n v="0.05"/>
    <n v="798"/>
    <n v="343.85"/>
    <s v="Furniture"/>
  </r>
  <r>
    <s v="ORD-00477"/>
    <d v="2025-03-01T00:00:00"/>
    <s v="Customer 086"/>
    <x v="6"/>
    <s v="Office Supplies"/>
    <s v="South"/>
    <n v="5"/>
    <n v="0.2"/>
    <n v="72"/>
    <n v="31.09"/>
    <s v="Office Supplies"/>
  </r>
  <r>
    <s v="ORD-00478"/>
    <d v="2025-03-03T00:00:00"/>
    <s v="Customer 045"/>
    <x v="9"/>
    <s v="Technology"/>
    <s v="East"/>
    <n v="2"/>
    <n v="0"/>
    <n v="2400"/>
    <n v="950.24"/>
    <s v="Technology"/>
  </r>
  <r>
    <s v="ORD-00479"/>
    <d v="2025-03-27T00:00:00"/>
    <s v="Customer 016"/>
    <x v="7"/>
    <s v="Technology"/>
    <s v="North"/>
    <n v="2"/>
    <n v="0.1"/>
    <n v="126"/>
    <n v="26.22"/>
    <s v="Technology"/>
  </r>
  <r>
    <s v="ORD-00480"/>
    <d v="2025-06-21T00:00:00"/>
    <s v="Customer 092"/>
    <x v="11"/>
    <s v="Furniture"/>
    <s v="North"/>
    <n v="3"/>
    <n v="0.2"/>
    <n v="456"/>
    <n v="195.59"/>
    <s v="Furniture"/>
  </r>
  <r>
    <s v="ORD-00481"/>
    <d v="2025-09-12T00:00:00"/>
    <s v="Customer 073"/>
    <x v="6"/>
    <s v="Office Supplies"/>
    <s v="South"/>
    <n v="5"/>
    <n v="0.1"/>
    <n v="81"/>
    <n v="34.97"/>
    <s v="Office Supplies"/>
  </r>
  <r>
    <s v="ORD-00482"/>
    <d v="2025-07-08T00:00:00"/>
    <s v="Customer 087"/>
    <x v="3"/>
    <s v="Furniture"/>
    <s v="North"/>
    <n v="3"/>
    <n v="0"/>
    <n v="840"/>
    <n v="130.11000000000001"/>
    <s v="Furniture"/>
  </r>
  <r>
    <s v="ORD-00483"/>
    <d v="2025-04-27T00:00:00"/>
    <s v="Customer 002"/>
    <x v="1"/>
    <s v="Furniture"/>
    <s v="South"/>
    <n v="5"/>
    <n v="0"/>
    <n v="1050"/>
    <n v="457.24"/>
    <s v="Furniture"/>
  </r>
  <r>
    <s v="ORD-00484"/>
    <d v="2025-01-24T00:00:00"/>
    <s v="Customer 023"/>
    <x v="6"/>
    <s v="Office Supplies"/>
    <s v="North"/>
    <n v="3"/>
    <n v="0.15"/>
    <n v="45.9"/>
    <n v="6.72"/>
    <s v="Office Supplies"/>
  </r>
  <r>
    <s v="ORD-00485"/>
    <d v="2025-10-11T00:00:00"/>
    <s v="Customer 054"/>
    <x v="1"/>
    <s v="Furniture"/>
    <s v="East"/>
    <n v="4"/>
    <n v="0.05"/>
    <n v="798"/>
    <n v="274.36"/>
    <s v="Furniture"/>
  </r>
  <r>
    <s v="ORD-00486"/>
    <d v="2025-05-19T00:00:00"/>
    <s v="Customer 087"/>
    <x v="0"/>
    <s v="Technology"/>
    <s v="North"/>
    <n v="5"/>
    <n v="0.1"/>
    <n v="157.5"/>
    <n v="64.67"/>
    <s v="Technology"/>
  </r>
  <r>
    <s v="ORD-00487"/>
    <d v="2025-04-02T00:00:00"/>
    <s v="Customer 009"/>
    <x v="2"/>
    <s v="Furniture"/>
    <s v="West"/>
    <n v="5"/>
    <n v="0"/>
    <n v="275"/>
    <n v="37.17"/>
    <s v="Furniture"/>
  </r>
  <r>
    <s v="ORD-00488"/>
    <d v="2025-05-25T00:00:00"/>
    <s v="Customer 002"/>
    <x v="4"/>
    <s v="Technology"/>
    <s v="East"/>
    <n v="3"/>
    <n v="0"/>
    <n v="2550"/>
    <n v="682.07"/>
    <s v="Technology"/>
  </r>
  <r>
    <s v="ORD-00489"/>
    <d v="2025-04-13T00:00:00"/>
    <s v="Customer 032"/>
    <x v="4"/>
    <s v="Technology"/>
    <s v="West"/>
    <n v="5"/>
    <n v="0.1"/>
    <n v="3825"/>
    <n v="787.72"/>
    <s v="Technology"/>
  </r>
  <r>
    <s v="ORD-00490"/>
    <d v="2025-07-08T00:00:00"/>
    <s v="Customer 070"/>
    <x v="10"/>
    <s v="Office Supplies"/>
    <s v="South"/>
    <n v="4"/>
    <n v="0.05"/>
    <n v="95"/>
    <n v="19.79"/>
    <s v="Office Supplies"/>
  </r>
  <r>
    <s v="ORD-00491"/>
    <d v="2025-03-19T00:00:00"/>
    <s v="Customer 045"/>
    <x v="9"/>
    <s v="Technology"/>
    <s v="North"/>
    <n v="4"/>
    <n v="0"/>
    <n v="4800"/>
    <n v="1790.93"/>
    <s v="Technology"/>
  </r>
  <r>
    <s v="ORD-00492"/>
    <d v="2025-06-21T00:00:00"/>
    <s v="Customer 068"/>
    <x v="9"/>
    <s v="Technology"/>
    <s v="South"/>
    <n v="4"/>
    <n v="0.1"/>
    <n v="4320"/>
    <n v="1795.81"/>
    <s v="Technology"/>
  </r>
  <r>
    <s v="ORD-00493"/>
    <d v="2025-08-03T00:00:00"/>
    <s v="Customer 012"/>
    <x v="6"/>
    <s v="Office Supplies"/>
    <s v="North"/>
    <n v="1"/>
    <n v="0.05"/>
    <n v="17.100000000000001"/>
    <n v="3.68"/>
    <s v="Office Supplies"/>
  </r>
  <r>
    <s v="ORD-00494"/>
    <d v="2025-04-29T00:00:00"/>
    <s v="Customer 096"/>
    <x v="8"/>
    <s v="Office Supplies"/>
    <s v="North"/>
    <n v="4"/>
    <n v="0.1"/>
    <n v="864"/>
    <n v="258.08"/>
    <s v="Office Supplies"/>
  </r>
  <r>
    <s v="ORD-00495"/>
    <d v="2025-10-25T00:00:00"/>
    <s v="Customer 051"/>
    <x v="0"/>
    <s v="Technology"/>
    <s v="North"/>
    <n v="5"/>
    <n v="0.05"/>
    <n v="166.25"/>
    <n v="39.85"/>
    <s v="Technology"/>
  </r>
  <r>
    <s v="ORD-00496"/>
    <d v="2025-10-31T00:00:00"/>
    <s v="Customer 017"/>
    <x v="10"/>
    <s v="Office Supplies"/>
    <s v="South"/>
    <n v="1"/>
    <n v="0.15"/>
    <n v="21.25"/>
    <n v="4.92"/>
    <s v="Office Supplies"/>
  </r>
  <r>
    <s v="ORD-00497"/>
    <d v="2025-05-30T00:00:00"/>
    <s v="Customer 095"/>
    <x v="4"/>
    <s v="Technology"/>
    <s v="East"/>
    <n v="3"/>
    <n v="0.15"/>
    <n v="2167.5"/>
    <n v="474.16"/>
    <s v="Technology"/>
  </r>
  <r>
    <s v="ORD-00498"/>
    <d v="2025-06-12T00:00:00"/>
    <s v="Customer 026"/>
    <x v="6"/>
    <s v="Office Supplies"/>
    <s v="South"/>
    <n v="3"/>
    <n v="0.05"/>
    <n v="51.3"/>
    <n v="21.82"/>
    <s v="Office Supplies"/>
  </r>
  <r>
    <s v="ORD-00499"/>
    <d v="2025-10-27T00:00:00"/>
    <s v="Customer 060"/>
    <x v="0"/>
    <s v="Technology"/>
    <s v="East"/>
    <n v="2"/>
    <n v="0"/>
    <n v="70"/>
    <n v="27.7"/>
    <s v="Technology"/>
  </r>
  <r>
    <s v="ORD-00500"/>
    <d v="2025-07-28T00:00:00"/>
    <s v="Customer 027"/>
    <x v="0"/>
    <s v="Technology"/>
    <s v="West"/>
    <n v="5"/>
    <n v="0.1"/>
    <n v="157.5"/>
    <n v="20.74"/>
    <s v="Technology"/>
  </r>
  <r>
    <s v="ORD-00501"/>
    <d v="2025-06-07T00:00:00"/>
    <s v="Customer 088"/>
    <x v="6"/>
    <s v="Office Supplies"/>
    <s v="East"/>
    <n v="3"/>
    <n v="0"/>
    <n v="54"/>
    <n v="22.69"/>
    <s v="Office Supplies"/>
  </r>
  <r>
    <s v="ORD-00502"/>
    <d v="2025-12-27T00:00:00"/>
    <s v="Customer 042"/>
    <x v="1"/>
    <s v="Furniture"/>
    <s v="South"/>
    <n v="5"/>
    <n v="0"/>
    <n v="1050"/>
    <n v="398"/>
    <s v="Furniture"/>
  </r>
  <r>
    <s v="ORD-00503"/>
    <d v="2025-02-16T00:00:00"/>
    <s v="Customer 007"/>
    <x v="1"/>
    <s v="Furniture"/>
    <s v="East"/>
    <n v="2"/>
    <n v="0.1"/>
    <n v="378"/>
    <n v="120.67"/>
    <s v="Furniture"/>
  </r>
  <r>
    <s v="ORD-00504"/>
    <d v="2025-05-14T00:00:00"/>
    <s v="Customer 072"/>
    <x v="3"/>
    <s v="Furniture"/>
    <s v="South"/>
    <n v="1"/>
    <n v="0.15"/>
    <n v="238"/>
    <n v="39.979999999999997"/>
    <s v="Furniture"/>
  </r>
  <r>
    <s v="ORD-00505"/>
    <d v="2025-02-18T00:00:00"/>
    <s v="Customer 008"/>
    <x v="6"/>
    <s v="Office Supplies"/>
    <s v="South"/>
    <n v="1"/>
    <n v="0.05"/>
    <n v="17.100000000000001"/>
    <n v="7.01"/>
    <s v="Office Supplies"/>
  </r>
  <r>
    <s v="ORD-00506"/>
    <d v="2025-03-08T00:00:00"/>
    <s v="Customer 083"/>
    <x v="2"/>
    <s v="Furniture"/>
    <s v="North"/>
    <n v="4"/>
    <n v="0.1"/>
    <n v="198"/>
    <n v="44.26"/>
    <s v="Furniture"/>
  </r>
  <r>
    <s v="ORD-00507"/>
    <d v="2025-10-26T00:00:00"/>
    <s v="Customer 009"/>
    <x v="10"/>
    <s v="Office Supplies"/>
    <s v="South"/>
    <n v="3"/>
    <n v="0"/>
    <n v="75"/>
    <n v="33.21"/>
    <s v="Office Supplies"/>
  </r>
  <r>
    <s v="ORD-00508"/>
    <d v="2025-11-27T00:00:00"/>
    <s v="Customer 043"/>
    <x v="6"/>
    <s v="Office Supplies"/>
    <s v="North"/>
    <n v="2"/>
    <n v="0"/>
    <n v="36"/>
    <n v="5.45"/>
    <s v="Office Supplies"/>
  </r>
  <r>
    <s v="ORD-00509"/>
    <d v="2025-01-22T00:00:00"/>
    <s v="Customer 056"/>
    <x v="6"/>
    <s v="Office Supplies"/>
    <s v="West"/>
    <n v="1"/>
    <n v="0.05"/>
    <n v="17.100000000000001"/>
    <n v="2.48"/>
    <s v="Office Supplies"/>
  </r>
  <r>
    <s v="ORD-00510"/>
    <d v="2025-09-12T00:00:00"/>
    <s v="Customer 028"/>
    <x v="9"/>
    <s v="Technology"/>
    <s v="South"/>
    <n v="4"/>
    <n v="0.15"/>
    <n v="4080"/>
    <n v="1603.33"/>
    <s v="Technology"/>
  </r>
  <r>
    <s v="ORD-00511"/>
    <d v="2025-05-21T00:00:00"/>
    <s v="Customer 080"/>
    <x v="4"/>
    <s v="Technology"/>
    <s v="South"/>
    <n v="4"/>
    <n v="0.05"/>
    <n v="3230"/>
    <n v="1416.57"/>
    <s v="Technology"/>
  </r>
  <r>
    <s v="ORD-00512"/>
    <d v="2025-11-28T00:00:00"/>
    <s v="Customer 062"/>
    <x v="4"/>
    <s v="Technology"/>
    <s v="North"/>
    <n v="4"/>
    <n v="0.15"/>
    <n v="2890"/>
    <n v="458.59"/>
    <s v="Technology"/>
  </r>
  <r>
    <s v="ORD-00513"/>
    <d v="2025-02-14T00:00:00"/>
    <s v="Customer 083"/>
    <x v="4"/>
    <s v="Technology"/>
    <s v="South"/>
    <n v="4"/>
    <n v="0.05"/>
    <n v="3230"/>
    <n v="1006.64"/>
    <s v="Technology"/>
  </r>
  <r>
    <s v="ORD-00514"/>
    <d v="2025-11-19T00:00:00"/>
    <s v="Customer 046"/>
    <x v="8"/>
    <s v="Office Supplies"/>
    <s v="West"/>
    <n v="1"/>
    <n v="0.15"/>
    <n v="204"/>
    <n v="39.159999999999997"/>
    <s v="Office Supplies"/>
  </r>
  <r>
    <s v="ORD-00515"/>
    <d v="2025-10-06T00:00:00"/>
    <s v="Customer 050"/>
    <x v="6"/>
    <s v="Office Supplies"/>
    <s v="East"/>
    <n v="3"/>
    <n v="0.2"/>
    <n v="43.2"/>
    <n v="12.28"/>
    <s v="Office Supplies"/>
  </r>
  <r>
    <s v="ORD-00516"/>
    <d v="2025-04-03T00:00:00"/>
    <s v="Customer 100"/>
    <x v="9"/>
    <s v="Technology"/>
    <s v="East"/>
    <n v="3"/>
    <n v="0.2"/>
    <n v="2880"/>
    <n v="1087.8399999999999"/>
    <s v="Technology"/>
  </r>
  <r>
    <s v="ORD-00517"/>
    <d v="2025-01-30T00:00:00"/>
    <s v="Customer 030"/>
    <x v="6"/>
    <s v="Office Supplies"/>
    <s v="South"/>
    <n v="5"/>
    <n v="0.1"/>
    <n v="81"/>
    <n v="15.95"/>
    <s v="Office Supplies"/>
  </r>
  <r>
    <s v="ORD-00518"/>
    <d v="2025-02-21T00:00:00"/>
    <s v="Customer 095"/>
    <x v="2"/>
    <s v="Furniture"/>
    <s v="North"/>
    <n v="2"/>
    <n v="0.1"/>
    <n v="99"/>
    <n v="27.11"/>
    <s v="Furniture"/>
  </r>
  <r>
    <s v="ORD-00519"/>
    <d v="2025-04-23T00:00:00"/>
    <s v="Customer 023"/>
    <x v="10"/>
    <s v="Office Supplies"/>
    <s v="South"/>
    <n v="4"/>
    <n v="0.1"/>
    <n v="90"/>
    <n v="12.72"/>
    <s v="Office Supplies"/>
  </r>
  <r>
    <s v="ORD-00520"/>
    <d v="2025-05-02T00:00:00"/>
    <s v="Customer 004"/>
    <x v="10"/>
    <s v="Office Supplies"/>
    <s v="East"/>
    <n v="3"/>
    <n v="0.1"/>
    <n v="67.5"/>
    <n v="10.02"/>
    <s v="Office Supplies"/>
  </r>
  <r>
    <s v="ORD-00521"/>
    <d v="2025-10-18T00:00:00"/>
    <s v="Customer 064"/>
    <x v="10"/>
    <s v="Office Supplies"/>
    <s v="East"/>
    <n v="2"/>
    <n v="0.2"/>
    <n v="40"/>
    <n v="5.48"/>
    <s v="Office Supplies"/>
  </r>
  <r>
    <s v="ORD-00522"/>
    <d v="2025-03-31T00:00:00"/>
    <s v="Customer 078"/>
    <x v="6"/>
    <s v="Office Supplies"/>
    <s v="South"/>
    <n v="1"/>
    <n v="0"/>
    <n v="18"/>
    <n v="7.77"/>
    <s v="Office Supplies"/>
  </r>
  <r>
    <s v="ORD-00523"/>
    <d v="2025-01-11T00:00:00"/>
    <s v="Customer 079"/>
    <x v="8"/>
    <s v="Office Supplies"/>
    <s v="South"/>
    <n v="4"/>
    <n v="0"/>
    <n v="960"/>
    <n v="326.91000000000003"/>
    <s v="Office Supplies"/>
  </r>
  <r>
    <s v="ORD-00524"/>
    <d v="2025-03-08T00:00:00"/>
    <s v="Customer 019"/>
    <x v="7"/>
    <s v="Technology"/>
    <s v="South"/>
    <n v="2"/>
    <n v="0.1"/>
    <n v="126"/>
    <n v="54.22"/>
    <s v="Technology"/>
  </r>
  <r>
    <s v="ORD-00525"/>
    <d v="2025-02-26T00:00:00"/>
    <s v="Customer 085"/>
    <x v="8"/>
    <s v="Office Supplies"/>
    <s v="West"/>
    <n v="3"/>
    <n v="0"/>
    <n v="720"/>
    <n v="235.23"/>
    <s v="Office Supplies"/>
  </r>
  <r>
    <s v="ORD-00526"/>
    <d v="2025-10-28T00:00:00"/>
    <s v="Customer 021"/>
    <x v="0"/>
    <s v="Technology"/>
    <s v="West"/>
    <n v="3"/>
    <n v="0.1"/>
    <n v="94.5"/>
    <n v="32.46"/>
    <s v="Technology"/>
  </r>
  <r>
    <s v="ORD-00527"/>
    <d v="2025-11-24T00:00:00"/>
    <s v="Customer 072"/>
    <x v="6"/>
    <s v="Office Supplies"/>
    <s v="East"/>
    <n v="3"/>
    <n v="0.05"/>
    <n v="51.3"/>
    <n v="11.11"/>
    <s v="Office Supplies"/>
  </r>
  <r>
    <s v="ORD-00528"/>
    <d v="2025-04-25T00:00:00"/>
    <s v="Customer 094"/>
    <x v="5"/>
    <s v="Technology"/>
    <s v="East"/>
    <n v="5"/>
    <n v="0.05"/>
    <n v="1520"/>
    <n v="494.2"/>
    <s v="Technology"/>
  </r>
  <r>
    <s v="ORD-00529"/>
    <d v="2025-03-07T00:00:00"/>
    <s v="Customer 099"/>
    <x v="3"/>
    <s v="Furniture"/>
    <s v="North"/>
    <n v="1"/>
    <n v="0.2"/>
    <n v="224"/>
    <n v="71.849999999999994"/>
    <s v="Furniture"/>
  </r>
  <r>
    <s v="ORD-00530"/>
    <d v="2025-04-04T00:00:00"/>
    <s v="Customer 073"/>
    <x v="10"/>
    <s v="Office Supplies"/>
    <s v="North"/>
    <n v="3"/>
    <n v="0.2"/>
    <n v="60"/>
    <n v="22.63"/>
    <s v="Office Supplies"/>
  </r>
  <r>
    <s v="ORD-00531"/>
    <d v="2025-09-12T00:00:00"/>
    <s v="Customer 041"/>
    <x v="3"/>
    <s v="Furniture"/>
    <s v="South"/>
    <n v="3"/>
    <n v="0"/>
    <n v="840"/>
    <n v="312.02999999999997"/>
    <s v="Furniture"/>
  </r>
  <r>
    <s v="ORD-00532"/>
    <d v="2025-11-22T00:00:00"/>
    <s v="Customer 027"/>
    <x v="0"/>
    <s v="Technology"/>
    <s v="South"/>
    <n v="3"/>
    <n v="0.15"/>
    <n v="89.25"/>
    <n v="39.83"/>
    <s v="Technology"/>
  </r>
  <r>
    <s v="ORD-00533"/>
    <d v="2025-12-21T00:00:00"/>
    <s v="Customer 093"/>
    <x v="0"/>
    <s v="Technology"/>
    <s v="North"/>
    <n v="3"/>
    <n v="0.1"/>
    <n v="94.5"/>
    <n v="17.98"/>
    <s v="Technology"/>
  </r>
  <r>
    <s v="ORD-00534"/>
    <d v="2025-01-25T00:00:00"/>
    <s v="Customer 053"/>
    <x v="11"/>
    <s v="Furniture"/>
    <s v="West"/>
    <n v="4"/>
    <n v="0.15"/>
    <n v="646"/>
    <n v="84.11"/>
    <s v="Furniture"/>
  </r>
  <r>
    <s v="ORD-00535"/>
    <d v="2025-07-13T00:00:00"/>
    <s v="Customer 062"/>
    <x v="7"/>
    <s v="Technology"/>
    <s v="South"/>
    <n v="5"/>
    <n v="0.15"/>
    <n v="297.5"/>
    <n v="123.92"/>
    <s v="Technology"/>
  </r>
  <r>
    <s v="ORD-00536"/>
    <d v="2025-03-25T00:00:00"/>
    <s v="Customer 041"/>
    <x v="6"/>
    <s v="Office Supplies"/>
    <s v="East"/>
    <n v="1"/>
    <n v="0"/>
    <n v="18"/>
    <n v="6.35"/>
    <s v="Office Supplies"/>
  </r>
  <r>
    <s v="ORD-00537"/>
    <d v="2025-02-23T00:00:00"/>
    <s v="Customer 021"/>
    <x v="0"/>
    <s v="Technology"/>
    <s v="North"/>
    <n v="3"/>
    <n v="0.05"/>
    <n v="99.75"/>
    <n v="15.66"/>
    <s v="Technology"/>
  </r>
  <r>
    <s v="ORD-00538"/>
    <d v="2025-10-08T00:00:00"/>
    <s v="Customer 062"/>
    <x v="0"/>
    <s v="Technology"/>
    <s v="North"/>
    <n v="3"/>
    <n v="0.2"/>
    <n v="84"/>
    <n v="10.49"/>
    <s v="Technology"/>
  </r>
  <r>
    <s v="ORD-00539"/>
    <d v="2025-08-09T00:00:00"/>
    <s v="Customer 021"/>
    <x v="5"/>
    <s v="Technology"/>
    <s v="North"/>
    <n v="2"/>
    <n v="0.2"/>
    <n v="512"/>
    <n v="80.069999999999993"/>
    <s v="Technology"/>
  </r>
  <r>
    <s v="ORD-00540"/>
    <d v="2025-02-21T00:00:00"/>
    <s v="Customer 071"/>
    <x v="7"/>
    <s v="Technology"/>
    <s v="East"/>
    <n v="2"/>
    <n v="0.05"/>
    <n v="133"/>
    <n v="41.89"/>
    <s v="Technology"/>
  </r>
  <r>
    <s v="ORD-00541"/>
    <d v="2025-12-05T00:00:00"/>
    <s v="Customer 051"/>
    <x v="4"/>
    <s v="Technology"/>
    <s v="West"/>
    <n v="3"/>
    <n v="0.05"/>
    <n v="2422.5"/>
    <n v="1013.45"/>
    <s v="Technology"/>
  </r>
  <r>
    <s v="ORD-00542"/>
    <d v="2025-03-20T00:00:00"/>
    <s v="Customer 038"/>
    <x v="9"/>
    <s v="Technology"/>
    <s v="West"/>
    <n v="3"/>
    <n v="0"/>
    <n v="3600"/>
    <n v="1112"/>
    <s v="Technology"/>
  </r>
  <r>
    <s v="ORD-00543"/>
    <d v="2025-04-13T00:00:00"/>
    <s v="Customer 038"/>
    <x v="0"/>
    <s v="Technology"/>
    <s v="North"/>
    <n v="1"/>
    <n v="0.05"/>
    <n v="33.25"/>
    <n v="13.09"/>
    <s v="Technology"/>
  </r>
  <r>
    <s v="ORD-00544"/>
    <d v="2025-08-31T00:00:00"/>
    <s v="Customer 085"/>
    <x v="0"/>
    <s v="Technology"/>
    <s v="East"/>
    <n v="3"/>
    <n v="0.15"/>
    <n v="89.25"/>
    <n v="26.29"/>
    <s v="Technology"/>
  </r>
  <r>
    <s v="ORD-00545"/>
    <d v="2025-02-16T00:00:00"/>
    <s v="Customer 049"/>
    <x v="5"/>
    <s v="Technology"/>
    <s v="East"/>
    <n v="5"/>
    <n v="0.15"/>
    <n v="1360"/>
    <n v="529.03"/>
    <s v="Technology"/>
  </r>
  <r>
    <s v="ORD-00546"/>
    <d v="2025-04-06T00:00:00"/>
    <s v="Customer 034"/>
    <x v="6"/>
    <s v="Office Supplies"/>
    <s v="South"/>
    <n v="1"/>
    <n v="0.1"/>
    <n v="16.2"/>
    <n v="4.9400000000000004"/>
    <s v="Office Supplies"/>
  </r>
  <r>
    <s v="ORD-00547"/>
    <d v="2025-05-18T00:00:00"/>
    <s v="Customer 086"/>
    <x v="10"/>
    <s v="Office Supplies"/>
    <s v="North"/>
    <n v="1"/>
    <n v="0.05"/>
    <n v="23.75"/>
    <n v="4.79"/>
    <s v="Office Supplies"/>
  </r>
  <r>
    <s v="ORD-00548"/>
    <d v="2025-02-13T00:00:00"/>
    <s v="Customer 097"/>
    <x v="5"/>
    <s v="Technology"/>
    <s v="South"/>
    <n v="3"/>
    <n v="0.2"/>
    <n v="768"/>
    <n v="240.68"/>
    <s v="Technology"/>
  </r>
  <r>
    <s v="ORD-00549"/>
    <d v="2025-10-11T00:00:00"/>
    <s v="Customer 069"/>
    <x v="9"/>
    <s v="Technology"/>
    <s v="West"/>
    <n v="4"/>
    <n v="0.2"/>
    <n v="3840"/>
    <n v="1197.51"/>
    <s v="Technology"/>
  </r>
  <r>
    <s v="ORD-00550"/>
    <d v="2025-10-21T00:00:00"/>
    <s v="Customer 092"/>
    <x v="2"/>
    <s v="Furniture"/>
    <s v="North"/>
    <n v="4"/>
    <n v="0.1"/>
    <n v="198"/>
    <n v="83.94"/>
    <s v="Furniture"/>
  </r>
  <r>
    <s v="ORD-00551"/>
    <d v="2025-09-15T00:00:00"/>
    <s v="Customer 080"/>
    <x v="10"/>
    <s v="Office Supplies"/>
    <s v="South"/>
    <n v="5"/>
    <n v="0.2"/>
    <n v="100"/>
    <n v="22.64"/>
    <s v="Office Supplies"/>
  </r>
  <r>
    <s v="ORD-00552"/>
    <d v="2025-03-03T00:00:00"/>
    <s v="Customer 025"/>
    <x v="6"/>
    <s v="Office Supplies"/>
    <s v="South"/>
    <n v="2"/>
    <n v="0.05"/>
    <n v="34.200000000000003"/>
    <n v="4.42"/>
    <s v="Office Supplies"/>
  </r>
  <r>
    <s v="ORD-00553"/>
    <d v="2025-01-22T00:00:00"/>
    <s v="Customer 081"/>
    <x v="11"/>
    <s v="Furniture"/>
    <s v="South"/>
    <n v="1"/>
    <n v="0.15"/>
    <n v="161.5"/>
    <n v="61.91"/>
    <s v="Furniture"/>
  </r>
  <r>
    <s v="ORD-00554"/>
    <d v="2025-11-01T00:00:00"/>
    <s v="Customer 072"/>
    <x v="4"/>
    <s v="Technology"/>
    <s v="West"/>
    <n v="3"/>
    <n v="0"/>
    <n v="2550"/>
    <n v="1074.27"/>
    <s v="Technology"/>
  </r>
  <r>
    <s v="ORD-00555"/>
    <d v="2025-10-10T00:00:00"/>
    <s v="Customer 002"/>
    <x v="7"/>
    <s v="Technology"/>
    <s v="West"/>
    <n v="3"/>
    <n v="0.2"/>
    <n v="168"/>
    <n v="50.2"/>
    <s v="Technology"/>
  </r>
  <r>
    <s v="ORD-00556"/>
    <d v="2025-02-27T00:00:00"/>
    <s v="Customer 075"/>
    <x v="11"/>
    <s v="Furniture"/>
    <s v="North"/>
    <n v="2"/>
    <n v="0.05"/>
    <n v="361"/>
    <n v="94.95"/>
    <s v="Furniture"/>
  </r>
  <r>
    <s v="ORD-00557"/>
    <d v="2025-02-24T00:00:00"/>
    <s v="Customer 045"/>
    <x v="10"/>
    <s v="Office Supplies"/>
    <s v="West"/>
    <n v="1"/>
    <n v="0.1"/>
    <n v="22.5"/>
    <n v="3.68"/>
    <s v="Office Supplies"/>
  </r>
  <r>
    <s v="ORD-00558"/>
    <d v="2025-05-16T00:00:00"/>
    <s v="Customer 005"/>
    <x v="11"/>
    <s v="Furniture"/>
    <s v="South"/>
    <n v="4"/>
    <n v="0.2"/>
    <n v="608"/>
    <n v="151.41999999999999"/>
    <s v="Furniture"/>
  </r>
  <r>
    <s v="ORD-00559"/>
    <d v="2025-05-22T00:00:00"/>
    <s v="Customer 089"/>
    <x v="11"/>
    <s v="Furniture"/>
    <s v="West"/>
    <n v="2"/>
    <n v="0.2"/>
    <n v="304"/>
    <n v="75.739999999999995"/>
    <s v="Furniture"/>
  </r>
  <r>
    <s v="ORD-00560"/>
    <d v="2025-01-20T00:00:00"/>
    <s v="Customer 061"/>
    <x v="11"/>
    <s v="Furniture"/>
    <s v="East"/>
    <n v="3"/>
    <n v="0.05"/>
    <n v="541.5"/>
    <n v="234.87"/>
    <s v="Furniture"/>
  </r>
  <r>
    <s v="ORD-00561"/>
    <d v="2025-07-10T00:00:00"/>
    <s v="Customer 063"/>
    <x v="9"/>
    <s v="Technology"/>
    <s v="North"/>
    <n v="3"/>
    <n v="0.1"/>
    <n v="3240"/>
    <n v="1125.53"/>
    <s v="Technology"/>
  </r>
  <r>
    <s v="ORD-00562"/>
    <d v="2025-04-27T00:00:00"/>
    <s v="Customer 042"/>
    <x v="3"/>
    <s v="Furniture"/>
    <s v="East"/>
    <n v="3"/>
    <n v="0.15"/>
    <n v="714"/>
    <n v="138.91999999999999"/>
    <s v="Furniture"/>
  </r>
  <r>
    <s v="ORD-00563"/>
    <d v="2025-08-02T00:00:00"/>
    <s v="Customer 053"/>
    <x v="10"/>
    <s v="Office Supplies"/>
    <s v="West"/>
    <n v="1"/>
    <n v="0.05"/>
    <n v="23.75"/>
    <n v="7.23"/>
    <s v="Office Supplies"/>
  </r>
  <r>
    <s v="ORD-00564"/>
    <d v="2025-09-22T00:00:00"/>
    <s v="Customer 009"/>
    <x v="7"/>
    <s v="Technology"/>
    <s v="East"/>
    <n v="1"/>
    <n v="0.2"/>
    <n v="56"/>
    <n v="10.57"/>
    <s v="Technology"/>
  </r>
  <r>
    <s v="ORD-00565"/>
    <d v="2025-12-30T00:00:00"/>
    <s v="Customer 068"/>
    <x v="8"/>
    <s v="Office Supplies"/>
    <s v="North"/>
    <n v="4"/>
    <n v="0.05"/>
    <n v="912"/>
    <n v="175.5"/>
    <s v="Office Supplies"/>
  </r>
  <r>
    <s v="ORD-00566"/>
    <d v="2025-03-30T00:00:00"/>
    <s v="Customer 059"/>
    <x v="2"/>
    <s v="Furniture"/>
    <s v="North"/>
    <n v="2"/>
    <n v="0"/>
    <n v="110"/>
    <n v="40.44"/>
    <s v="Furniture"/>
  </r>
  <r>
    <s v="ORD-00567"/>
    <d v="2025-07-04T00:00:00"/>
    <s v="Customer 060"/>
    <x v="1"/>
    <s v="Furniture"/>
    <s v="West"/>
    <n v="2"/>
    <n v="0.1"/>
    <n v="378"/>
    <n v="124.15"/>
    <s v="Furniture"/>
  </r>
  <r>
    <s v="ORD-00568"/>
    <d v="2025-11-22T00:00:00"/>
    <s v="Customer 077"/>
    <x v="0"/>
    <s v="Technology"/>
    <s v="West"/>
    <n v="1"/>
    <n v="0.05"/>
    <n v="33.25"/>
    <n v="10.88"/>
    <s v="Technology"/>
  </r>
  <r>
    <s v="ORD-00569"/>
    <d v="2025-04-01T00:00:00"/>
    <s v="Customer 021"/>
    <x v="6"/>
    <s v="Office Supplies"/>
    <s v="East"/>
    <n v="5"/>
    <n v="0.2"/>
    <n v="72"/>
    <n v="24.09"/>
    <s v="Office Supplies"/>
  </r>
  <r>
    <s v="ORD-00570"/>
    <d v="2025-12-19T00:00:00"/>
    <s v="Customer 021"/>
    <x v="0"/>
    <s v="Technology"/>
    <s v="South"/>
    <n v="3"/>
    <n v="0"/>
    <n v="105"/>
    <n v="33.86"/>
    <s v="Technology"/>
  </r>
  <r>
    <s v="ORD-00571"/>
    <d v="2025-04-24T00:00:00"/>
    <s v="Customer 053"/>
    <x v="5"/>
    <s v="Technology"/>
    <s v="North"/>
    <n v="2"/>
    <n v="0.05"/>
    <n v="608"/>
    <n v="219.61"/>
    <s v="Technology"/>
  </r>
  <r>
    <s v="ORD-00572"/>
    <d v="2025-12-16T00:00:00"/>
    <s v="Customer 077"/>
    <x v="9"/>
    <s v="Technology"/>
    <s v="North"/>
    <n v="4"/>
    <n v="0.05"/>
    <n v="4560"/>
    <n v="1077.8399999999999"/>
    <s v="Technology"/>
  </r>
  <r>
    <s v="ORD-00573"/>
    <d v="2025-04-25T00:00:00"/>
    <s v="Customer 091"/>
    <x v="4"/>
    <s v="Technology"/>
    <s v="East"/>
    <n v="5"/>
    <n v="0.1"/>
    <n v="3825"/>
    <n v="821.59"/>
    <s v="Technology"/>
  </r>
  <r>
    <s v="ORD-00574"/>
    <d v="2025-08-05T00:00:00"/>
    <s v="Customer 060"/>
    <x v="11"/>
    <s v="Furniture"/>
    <s v="East"/>
    <n v="3"/>
    <n v="0.15"/>
    <n v="484.5"/>
    <n v="177.73"/>
    <s v="Furniture"/>
  </r>
  <r>
    <s v="ORD-00575"/>
    <d v="2025-12-13T00:00:00"/>
    <s v="Customer 001"/>
    <x v="8"/>
    <s v="Office Supplies"/>
    <s v="East"/>
    <n v="5"/>
    <n v="0.15"/>
    <n v="1020"/>
    <n v="262.26"/>
    <s v="Office Supplies"/>
  </r>
  <r>
    <s v="ORD-00576"/>
    <d v="2025-10-15T00:00:00"/>
    <s v="Customer 088"/>
    <x v="5"/>
    <s v="Technology"/>
    <s v="North"/>
    <n v="5"/>
    <n v="0.2"/>
    <n v="1280"/>
    <n v="456.6"/>
    <s v="Technology"/>
  </r>
  <r>
    <s v="ORD-00577"/>
    <d v="2025-09-04T00:00:00"/>
    <s v="Customer 036"/>
    <x v="0"/>
    <s v="Technology"/>
    <s v="East"/>
    <n v="3"/>
    <n v="0.1"/>
    <n v="94.5"/>
    <n v="22.55"/>
    <s v="Technology"/>
  </r>
  <r>
    <s v="ORD-00578"/>
    <d v="2025-12-02T00:00:00"/>
    <s v="Customer 098"/>
    <x v="1"/>
    <s v="Furniture"/>
    <s v="South"/>
    <n v="3"/>
    <n v="0.05"/>
    <n v="598.5"/>
    <n v="239.71"/>
    <s v="Furniture"/>
  </r>
  <r>
    <s v="ORD-00579"/>
    <d v="2025-01-30T00:00:00"/>
    <s v="Customer 093"/>
    <x v="10"/>
    <s v="Office Supplies"/>
    <s v="North"/>
    <n v="4"/>
    <n v="0.1"/>
    <n v="90"/>
    <n v="20.28"/>
    <s v="Office Supplies"/>
  </r>
  <r>
    <s v="ORD-00580"/>
    <d v="2025-12-02T00:00:00"/>
    <s v="Customer 052"/>
    <x v="6"/>
    <s v="Office Supplies"/>
    <s v="West"/>
    <n v="3"/>
    <n v="0.1"/>
    <n v="48.6"/>
    <n v="7.32"/>
    <s v="Office Supplies"/>
  </r>
  <r>
    <s v="ORD-00581"/>
    <d v="2025-01-19T00:00:00"/>
    <s v="Customer 092"/>
    <x v="10"/>
    <s v="Office Supplies"/>
    <s v="South"/>
    <n v="5"/>
    <n v="0.05"/>
    <n v="118.75"/>
    <n v="39.99"/>
    <s v="Office Supplies"/>
  </r>
  <r>
    <s v="ORD-00582"/>
    <d v="2025-12-18T00:00:00"/>
    <s v="Customer 022"/>
    <x v="8"/>
    <s v="Office Supplies"/>
    <s v="South"/>
    <n v="4"/>
    <n v="0.1"/>
    <n v="864"/>
    <n v="244.15"/>
    <s v="Office Supplies"/>
  </r>
  <r>
    <s v="ORD-00583"/>
    <d v="2025-05-31T00:00:00"/>
    <s v="Customer 093"/>
    <x v="0"/>
    <s v="Technology"/>
    <s v="South"/>
    <n v="4"/>
    <n v="0.05"/>
    <n v="133"/>
    <n v="27.33"/>
    <s v="Technology"/>
  </r>
  <r>
    <s v="ORD-00584"/>
    <d v="2025-12-15T00:00:00"/>
    <s v="Customer 096"/>
    <x v="7"/>
    <s v="Technology"/>
    <s v="East"/>
    <n v="1"/>
    <n v="0.05"/>
    <n v="66.5"/>
    <n v="22.13"/>
    <s v="Technology"/>
  </r>
  <r>
    <s v="ORD-00585"/>
    <d v="2025-08-04T00:00:00"/>
    <s v="Customer 060"/>
    <x v="7"/>
    <s v="Technology"/>
    <s v="North"/>
    <n v="3"/>
    <n v="0.1"/>
    <n v="189"/>
    <n v="48.53"/>
    <s v="Technology"/>
  </r>
  <r>
    <s v="ORD-00586"/>
    <d v="2025-08-29T00:00:00"/>
    <s v="Customer 010"/>
    <x v="9"/>
    <s v="Technology"/>
    <s v="West"/>
    <n v="5"/>
    <n v="0.2"/>
    <n v="4800"/>
    <n v="664.23"/>
    <s v="Technology"/>
  </r>
  <r>
    <s v="ORD-00587"/>
    <d v="2025-04-10T00:00:00"/>
    <s v="Customer 053"/>
    <x v="8"/>
    <s v="Office Supplies"/>
    <s v="North"/>
    <n v="1"/>
    <n v="0.15"/>
    <n v="204"/>
    <n v="56.13"/>
    <s v="Office Supplies"/>
  </r>
  <r>
    <s v="ORD-00588"/>
    <d v="2025-03-19T00:00:00"/>
    <s v="Customer 073"/>
    <x v="3"/>
    <s v="Furniture"/>
    <s v="West"/>
    <n v="2"/>
    <n v="0.1"/>
    <n v="504"/>
    <n v="158.74"/>
    <s v="Furniture"/>
  </r>
  <r>
    <s v="ORD-00589"/>
    <d v="2025-03-15T00:00:00"/>
    <s v="Customer 081"/>
    <x v="7"/>
    <s v="Technology"/>
    <s v="South"/>
    <n v="2"/>
    <n v="0"/>
    <n v="140"/>
    <n v="40.47"/>
    <s v="Technology"/>
  </r>
  <r>
    <s v="ORD-00590"/>
    <d v="2025-06-10T00:00:00"/>
    <s v="Customer 027"/>
    <x v="5"/>
    <s v="Technology"/>
    <s v="South"/>
    <n v="1"/>
    <n v="0"/>
    <n v="320"/>
    <n v="96.26"/>
    <s v="Technology"/>
  </r>
  <r>
    <s v="ORD-00591"/>
    <d v="2025-10-23T00:00:00"/>
    <s v="Customer 056"/>
    <x v="3"/>
    <s v="Furniture"/>
    <s v="West"/>
    <n v="4"/>
    <n v="0"/>
    <n v="1120"/>
    <n v="456.17"/>
    <s v="Furniture"/>
  </r>
  <r>
    <s v="ORD-00592"/>
    <d v="2025-07-26T00:00:00"/>
    <s v="Customer 069"/>
    <x v="11"/>
    <s v="Furniture"/>
    <s v="South"/>
    <n v="4"/>
    <n v="0.15"/>
    <n v="646"/>
    <n v="289.7"/>
    <s v="Furniture"/>
  </r>
  <r>
    <s v="ORD-00593"/>
    <d v="2025-07-11T00:00:00"/>
    <s v="Customer 087"/>
    <x v="9"/>
    <s v="Technology"/>
    <s v="North"/>
    <n v="3"/>
    <n v="0.2"/>
    <n v="2880"/>
    <n v="1114.8800000000001"/>
    <s v="Technology"/>
  </r>
  <r>
    <s v="ORD-00594"/>
    <d v="2025-11-17T00:00:00"/>
    <s v="Customer 045"/>
    <x v="1"/>
    <s v="Furniture"/>
    <s v="East"/>
    <n v="2"/>
    <n v="0.05"/>
    <n v="399"/>
    <n v="88.23"/>
    <s v="Furniture"/>
  </r>
  <r>
    <s v="ORD-00595"/>
    <d v="2025-03-08T00:00:00"/>
    <s v="Customer 022"/>
    <x v="0"/>
    <s v="Technology"/>
    <s v="North"/>
    <n v="4"/>
    <n v="0.2"/>
    <n v="112"/>
    <n v="28.64"/>
    <s v="Technology"/>
  </r>
  <r>
    <s v="ORD-00596"/>
    <d v="2025-01-24T00:00:00"/>
    <s v="Customer 077"/>
    <x v="4"/>
    <s v="Technology"/>
    <s v="East"/>
    <n v="3"/>
    <n v="0.15"/>
    <n v="2167.5"/>
    <n v="454.78"/>
    <s v="Technology"/>
  </r>
  <r>
    <s v="ORD-00597"/>
    <d v="2025-08-11T00:00:00"/>
    <s v="Customer 063"/>
    <x v="5"/>
    <s v="Technology"/>
    <s v="East"/>
    <n v="2"/>
    <n v="0.1"/>
    <n v="576"/>
    <n v="69.849999999999994"/>
    <s v="Technology"/>
  </r>
  <r>
    <s v="ORD-00598"/>
    <d v="2025-04-07T00:00:00"/>
    <s v="Customer 094"/>
    <x v="3"/>
    <s v="Furniture"/>
    <s v="South"/>
    <n v="4"/>
    <n v="0"/>
    <n v="1120"/>
    <n v="419.58"/>
    <s v="Furniture"/>
  </r>
  <r>
    <s v="ORD-00599"/>
    <d v="2025-04-19T00:00:00"/>
    <s v="Customer 016"/>
    <x v="1"/>
    <s v="Furniture"/>
    <s v="East"/>
    <n v="1"/>
    <n v="0.2"/>
    <n v="168"/>
    <n v="47.62"/>
    <s v="Furniture"/>
  </r>
  <r>
    <s v="ORD-00600"/>
    <d v="2025-12-31T00:00:00"/>
    <s v="Customer 033"/>
    <x v="5"/>
    <s v="Technology"/>
    <s v="North"/>
    <n v="1"/>
    <n v="0.15"/>
    <n v="272"/>
    <n v="43.72"/>
    <s v="Technology"/>
  </r>
  <r>
    <s v="ORD-00601"/>
    <d v="2025-11-01T00:00:00"/>
    <s v="Customer 015"/>
    <x v="9"/>
    <s v="Technology"/>
    <s v="West"/>
    <n v="1"/>
    <n v="0"/>
    <n v="1200"/>
    <n v="520.9"/>
    <s v="Technology"/>
  </r>
  <r>
    <s v="ORD-00602"/>
    <d v="2025-08-16T00:00:00"/>
    <s v="Customer 090"/>
    <x v="11"/>
    <s v="Furniture"/>
    <s v="South"/>
    <n v="1"/>
    <n v="0.2"/>
    <n v="152"/>
    <n v="55.72"/>
    <s v="Furniture"/>
  </r>
  <r>
    <s v="ORD-00603"/>
    <d v="2025-04-16T00:00:00"/>
    <s v="Customer 013"/>
    <x v="1"/>
    <s v="Furniture"/>
    <s v="East"/>
    <n v="1"/>
    <n v="0.1"/>
    <n v="189"/>
    <n v="58.8"/>
    <s v="Furniture"/>
  </r>
  <r>
    <s v="ORD-00604"/>
    <d v="2025-11-15T00:00:00"/>
    <s v="Customer 014"/>
    <x v="10"/>
    <s v="Office Supplies"/>
    <s v="North"/>
    <n v="2"/>
    <n v="0.15"/>
    <n v="42.5"/>
    <n v="7.48"/>
    <s v="Office Supplies"/>
  </r>
  <r>
    <s v="ORD-00605"/>
    <d v="2025-05-25T00:00:00"/>
    <s v="Customer 026"/>
    <x v="0"/>
    <s v="Technology"/>
    <s v="East"/>
    <n v="1"/>
    <n v="0.15"/>
    <n v="29.75"/>
    <n v="11.44"/>
    <s v="Technology"/>
  </r>
  <r>
    <s v="ORD-00606"/>
    <d v="2025-09-25T00:00:00"/>
    <s v="Customer 006"/>
    <x v="2"/>
    <s v="Furniture"/>
    <s v="West"/>
    <n v="3"/>
    <n v="0.15"/>
    <n v="140.25"/>
    <n v="49.44"/>
    <s v="Furniture"/>
  </r>
  <r>
    <s v="ORD-00607"/>
    <d v="2025-04-17T00:00:00"/>
    <s v="Customer 002"/>
    <x v="1"/>
    <s v="Furniture"/>
    <s v="North"/>
    <n v="4"/>
    <n v="0.1"/>
    <n v="756"/>
    <n v="281.7"/>
    <s v="Furniture"/>
  </r>
  <r>
    <s v="ORD-00608"/>
    <d v="2025-02-26T00:00:00"/>
    <s v="Customer 100"/>
    <x v="10"/>
    <s v="Office Supplies"/>
    <s v="North"/>
    <n v="4"/>
    <n v="0.05"/>
    <n v="95"/>
    <n v="12.98"/>
    <s v="Office Supplies"/>
  </r>
  <r>
    <s v="ORD-00609"/>
    <d v="2025-02-21T00:00:00"/>
    <s v="Customer 038"/>
    <x v="4"/>
    <s v="Technology"/>
    <s v="East"/>
    <n v="2"/>
    <n v="0.15"/>
    <n v="1445"/>
    <n v="178.8"/>
    <s v="Technology"/>
  </r>
  <r>
    <s v="ORD-00610"/>
    <d v="2025-08-26T00:00:00"/>
    <s v="Customer 038"/>
    <x v="9"/>
    <s v="Technology"/>
    <s v="East"/>
    <n v="1"/>
    <n v="0.05"/>
    <n v="1140"/>
    <n v="184.15"/>
    <s v="Technology"/>
  </r>
  <r>
    <s v="ORD-00611"/>
    <d v="2025-12-13T00:00:00"/>
    <s v="Customer 098"/>
    <x v="7"/>
    <s v="Technology"/>
    <s v="North"/>
    <n v="4"/>
    <n v="0"/>
    <n v="280"/>
    <n v="117.22"/>
    <s v="Technology"/>
  </r>
  <r>
    <s v="ORD-00612"/>
    <d v="2025-01-05T00:00:00"/>
    <s v="Customer 057"/>
    <x v="3"/>
    <s v="Furniture"/>
    <s v="East"/>
    <n v="2"/>
    <n v="0.1"/>
    <n v="504"/>
    <n v="167.34"/>
    <s v="Furniture"/>
  </r>
  <r>
    <s v="ORD-00613"/>
    <d v="2025-02-17T00:00:00"/>
    <s v="Customer 052"/>
    <x v="7"/>
    <s v="Technology"/>
    <s v="West"/>
    <n v="3"/>
    <n v="0.05"/>
    <n v="199.5"/>
    <n v="82.28"/>
    <s v="Technology"/>
  </r>
  <r>
    <s v="ORD-00614"/>
    <d v="2025-05-20T00:00:00"/>
    <s v="Customer 022"/>
    <x v="11"/>
    <s v="Furniture"/>
    <s v="North"/>
    <n v="4"/>
    <n v="0.15"/>
    <n v="646"/>
    <n v="152.38"/>
    <s v="Furniture"/>
  </r>
  <r>
    <s v="ORD-00615"/>
    <d v="2025-03-09T00:00:00"/>
    <s v="Customer 076"/>
    <x v="1"/>
    <s v="Furniture"/>
    <s v="West"/>
    <n v="1"/>
    <n v="0.05"/>
    <n v="199.5"/>
    <n v="82.95"/>
    <s v="Furniture"/>
  </r>
  <r>
    <s v="ORD-00616"/>
    <d v="2025-10-19T00:00:00"/>
    <s v="Customer 100"/>
    <x v="5"/>
    <s v="Technology"/>
    <s v="East"/>
    <n v="4"/>
    <n v="0.05"/>
    <n v="1216"/>
    <n v="301.89"/>
    <s v="Technology"/>
  </r>
  <r>
    <s v="ORD-00617"/>
    <d v="2025-11-10T00:00:00"/>
    <s v="Customer 015"/>
    <x v="9"/>
    <s v="Technology"/>
    <s v="West"/>
    <n v="2"/>
    <n v="0.15"/>
    <n v="2040"/>
    <n v="298.39"/>
    <s v="Technology"/>
  </r>
  <r>
    <s v="ORD-00618"/>
    <d v="2025-08-14T00:00:00"/>
    <s v="Customer 002"/>
    <x v="9"/>
    <s v="Technology"/>
    <s v="South"/>
    <n v="1"/>
    <n v="0.1"/>
    <n v="1080"/>
    <n v="252.57"/>
    <s v="Technology"/>
  </r>
  <r>
    <s v="ORD-00619"/>
    <d v="2025-12-09T00:00:00"/>
    <s v="Customer 080"/>
    <x v="7"/>
    <s v="Technology"/>
    <s v="North"/>
    <n v="5"/>
    <n v="0.2"/>
    <n v="280"/>
    <n v="62.41"/>
    <s v="Technology"/>
  </r>
  <r>
    <s v="ORD-00620"/>
    <d v="2025-08-10T00:00:00"/>
    <s v="Customer 087"/>
    <x v="5"/>
    <s v="Technology"/>
    <s v="West"/>
    <n v="2"/>
    <n v="0.15"/>
    <n v="544"/>
    <n v="182.73"/>
    <s v="Technology"/>
  </r>
  <r>
    <s v="ORD-00621"/>
    <d v="2025-03-18T00:00:00"/>
    <s v="Customer 021"/>
    <x v="8"/>
    <s v="Office Supplies"/>
    <s v="West"/>
    <n v="5"/>
    <n v="0"/>
    <n v="1200"/>
    <n v="535.39"/>
    <s v="Office Supplies"/>
  </r>
  <r>
    <s v="ORD-00622"/>
    <d v="2025-09-11T00:00:00"/>
    <s v="Customer 043"/>
    <x v="3"/>
    <s v="Furniture"/>
    <s v="East"/>
    <n v="1"/>
    <n v="0.15"/>
    <n v="238"/>
    <n v="81.92"/>
    <s v="Furniture"/>
  </r>
  <r>
    <s v="ORD-00623"/>
    <d v="2025-01-26T00:00:00"/>
    <s v="Customer 052"/>
    <x v="8"/>
    <s v="Office Supplies"/>
    <s v="South"/>
    <n v="2"/>
    <n v="0.2"/>
    <n v="384"/>
    <n v="91.28"/>
    <s v="Office Supplies"/>
  </r>
  <r>
    <s v="ORD-00624"/>
    <d v="2025-02-10T00:00:00"/>
    <s v="Customer 064"/>
    <x v="6"/>
    <s v="Office Supplies"/>
    <s v="West"/>
    <n v="4"/>
    <n v="0.2"/>
    <n v="57.6"/>
    <n v="17.399999999999999"/>
    <s v="Office Supplies"/>
  </r>
  <r>
    <s v="ORD-00625"/>
    <d v="2025-06-11T00:00:00"/>
    <s v="Customer 053"/>
    <x v="0"/>
    <s v="Technology"/>
    <s v="North"/>
    <n v="4"/>
    <n v="0"/>
    <n v="140"/>
    <n v="58.26"/>
    <s v="Technology"/>
  </r>
  <r>
    <s v="ORD-00626"/>
    <d v="2025-10-13T00:00:00"/>
    <s v="Customer 080"/>
    <x v="8"/>
    <s v="Office Supplies"/>
    <s v="East"/>
    <n v="1"/>
    <n v="0"/>
    <n v="240"/>
    <n v="45.29"/>
    <s v="Office Supplies"/>
  </r>
  <r>
    <s v="ORD-00627"/>
    <d v="2025-09-18T00:00:00"/>
    <s v="Customer 047"/>
    <x v="8"/>
    <s v="Office Supplies"/>
    <s v="North"/>
    <n v="2"/>
    <n v="0.15"/>
    <n v="408"/>
    <n v="55.64"/>
    <s v="Office Supplies"/>
  </r>
  <r>
    <s v="ORD-00628"/>
    <d v="2025-04-25T00:00:00"/>
    <s v="Customer 077"/>
    <x v="6"/>
    <s v="Office Supplies"/>
    <s v="West"/>
    <n v="3"/>
    <n v="0.2"/>
    <n v="43.2"/>
    <n v="8.5"/>
    <s v="Office Supplies"/>
  </r>
  <r>
    <s v="ORD-00629"/>
    <d v="2025-12-03T00:00:00"/>
    <s v="Customer 085"/>
    <x v="7"/>
    <s v="Technology"/>
    <s v="South"/>
    <n v="4"/>
    <n v="0"/>
    <n v="280"/>
    <n v="117"/>
    <s v="Technology"/>
  </r>
  <r>
    <s v="ORD-00630"/>
    <d v="2025-01-02T00:00:00"/>
    <s v="Customer 048"/>
    <x v="7"/>
    <s v="Technology"/>
    <s v="North"/>
    <n v="3"/>
    <n v="0.1"/>
    <n v="189"/>
    <n v="50.89"/>
    <s v="Technology"/>
  </r>
  <r>
    <s v="ORD-00631"/>
    <d v="2025-01-24T00:00:00"/>
    <s v="Customer 096"/>
    <x v="3"/>
    <s v="Furniture"/>
    <s v="West"/>
    <n v="4"/>
    <n v="0.05"/>
    <n v="1064"/>
    <n v="190.24"/>
    <s v="Furniture"/>
  </r>
  <r>
    <s v="ORD-00632"/>
    <d v="2025-02-24T00:00:00"/>
    <s v="Customer 051"/>
    <x v="4"/>
    <s v="Technology"/>
    <s v="South"/>
    <n v="5"/>
    <n v="0.05"/>
    <n v="4037.5"/>
    <n v="1567"/>
    <s v="Technology"/>
  </r>
  <r>
    <s v="ORD-00633"/>
    <d v="2025-08-23T00:00:00"/>
    <s v="Customer 006"/>
    <x v="2"/>
    <s v="Furniture"/>
    <s v="North"/>
    <n v="3"/>
    <n v="0"/>
    <n v="165"/>
    <n v="33.020000000000003"/>
    <s v="Furniture"/>
  </r>
  <r>
    <s v="ORD-00634"/>
    <d v="2025-08-19T00:00:00"/>
    <s v="Customer 064"/>
    <x v="6"/>
    <s v="Office Supplies"/>
    <s v="North"/>
    <n v="5"/>
    <n v="0.2"/>
    <n v="72"/>
    <n v="29.2"/>
    <s v="Office Supplies"/>
  </r>
  <r>
    <s v="ORD-00635"/>
    <d v="2025-09-29T00:00:00"/>
    <s v="Customer 075"/>
    <x v="1"/>
    <s v="Furniture"/>
    <s v="West"/>
    <n v="1"/>
    <n v="0.2"/>
    <n v="168"/>
    <n v="23.75"/>
    <s v="Furniture"/>
  </r>
  <r>
    <s v="ORD-00636"/>
    <d v="2025-09-18T00:00:00"/>
    <s v="Customer 017"/>
    <x v="3"/>
    <s v="Furniture"/>
    <s v="North"/>
    <n v="5"/>
    <n v="0.05"/>
    <n v="1330"/>
    <n v="277.89"/>
    <s v="Furniture"/>
  </r>
  <r>
    <s v="ORD-00637"/>
    <d v="2025-07-18T00:00:00"/>
    <s v="Customer 065"/>
    <x v="5"/>
    <s v="Technology"/>
    <s v="West"/>
    <n v="5"/>
    <n v="0.2"/>
    <n v="1280"/>
    <n v="203.15"/>
    <s v="Technology"/>
  </r>
  <r>
    <s v="ORD-00638"/>
    <d v="2025-08-03T00:00:00"/>
    <s v="Customer 044"/>
    <x v="10"/>
    <s v="Office Supplies"/>
    <s v="East"/>
    <n v="2"/>
    <n v="0.1"/>
    <n v="45"/>
    <n v="14.34"/>
    <s v="Office Supplies"/>
  </r>
  <r>
    <s v="ORD-00639"/>
    <d v="2025-08-20T00:00:00"/>
    <s v="Customer 096"/>
    <x v="3"/>
    <s v="Furniture"/>
    <s v="East"/>
    <n v="2"/>
    <n v="0.15"/>
    <n v="476"/>
    <n v="119.56"/>
    <s v="Furniture"/>
  </r>
  <r>
    <s v="ORD-00640"/>
    <d v="2025-12-26T00:00:00"/>
    <s v="Customer 026"/>
    <x v="8"/>
    <s v="Office Supplies"/>
    <s v="South"/>
    <n v="3"/>
    <n v="0.2"/>
    <n v="576"/>
    <n v="138.96"/>
    <s v="Office Supplies"/>
  </r>
  <r>
    <s v="ORD-00641"/>
    <d v="2025-11-16T00:00:00"/>
    <s v="Customer 017"/>
    <x v="1"/>
    <s v="Furniture"/>
    <s v="South"/>
    <n v="3"/>
    <n v="0.1"/>
    <n v="567"/>
    <n v="82.79"/>
    <s v="Furniture"/>
  </r>
  <r>
    <s v="ORD-00642"/>
    <d v="2025-09-15T00:00:00"/>
    <s v="Customer 072"/>
    <x v="8"/>
    <s v="Office Supplies"/>
    <s v="West"/>
    <n v="3"/>
    <n v="0"/>
    <n v="720"/>
    <n v="143.24"/>
    <s v="Office Supplies"/>
  </r>
  <r>
    <s v="ORD-00643"/>
    <d v="2025-10-26T00:00:00"/>
    <s v="Customer 055"/>
    <x v="10"/>
    <s v="Office Supplies"/>
    <s v="North"/>
    <n v="4"/>
    <n v="0.2"/>
    <n v="80"/>
    <n v="28.45"/>
    <s v="Office Supplies"/>
  </r>
  <r>
    <s v="ORD-00644"/>
    <d v="2025-09-25T00:00:00"/>
    <s v="Customer 086"/>
    <x v="0"/>
    <s v="Technology"/>
    <s v="North"/>
    <n v="1"/>
    <n v="0.15"/>
    <n v="29.75"/>
    <n v="11.96"/>
    <s v="Technology"/>
  </r>
  <r>
    <s v="ORD-00645"/>
    <d v="2025-04-13T00:00:00"/>
    <s v="Customer 019"/>
    <x v="4"/>
    <s v="Technology"/>
    <s v="North"/>
    <n v="2"/>
    <n v="0.1"/>
    <n v="1530"/>
    <n v="343.46"/>
    <s v="Technology"/>
  </r>
  <r>
    <s v="ORD-00646"/>
    <d v="2025-12-20T00:00:00"/>
    <s v="Customer 058"/>
    <x v="4"/>
    <s v="Technology"/>
    <s v="North"/>
    <n v="2"/>
    <n v="0.2"/>
    <n v="1360"/>
    <n v="597.5"/>
    <s v="Technology"/>
  </r>
  <r>
    <s v="ORD-00647"/>
    <d v="2025-11-12T00:00:00"/>
    <s v="Customer 072"/>
    <x v="5"/>
    <s v="Technology"/>
    <s v="West"/>
    <n v="5"/>
    <n v="0.05"/>
    <n v="1520"/>
    <n v="311.61"/>
    <s v="Technology"/>
  </r>
  <r>
    <s v="ORD-00648"/>
    <d v="2025-05-02T00:00:00"/>
    <s v="Customer 050"/>
    <x v="8"/>
    <s v="Office Supplies"/>
    <s v="West"/>
    <n v="3"/>
    <n v="0"/>
    <n v="720"/>
    <n v="103.87"/>
    <s v="Office Supplies"/>
  </r>
  <r>
    <s v="ORD-00649"/>
    <d v="2025-12-17T00:00:00"/>
    <s v="Customer 033"/>
    <x v="7"/>
    <s v="Technology"/>
    <s v="South"/>
    <n v="5"/>
    <n v="0"/>
    <n v="350"/>
    <n v="156"/>
    <s v="Technology"/>
  </r>
  <r>
    <s v="ORD-00650"/>
    <d v="2025-11-14T00:00:00"/>
    <s v="Customer 070"/>
    <x v="6"/>
    <s v="Office Supplies"/>
    <s v="South"/>
    <n v="2"/>
    <n v="0.1"/>
    <n v="32.4"/>
    <n v="6.51"/>
    <s v="Office Supplies"/>
  </r>
  <r>
    <s v="ORD-00651"/>
    <d v="2025-04-10T00:00:00"/>
    <s v="Customer 010"/>
    <x v="4"/>
    <s v="Technology"/>
    <s v="South"/>
    <n v="4"/>
    <n v="0.05"/>
    <m/>
    <n v="405.24"/>
    <s v="Technology"/>
  </r>
  <r>
    <s v="ORD-00652"/>
    <d v="2025-03-30T00:00:00"/>
    <s v="Customer 055"/>
    <x v="1"/>
    <s v="Furniture"/>
    <s v="East"/>
    <n v="5"/>
    <n v="0"/>
    <n v="1050"/>
    <n v="341.8"/>
    <s v="Furniture"/>
  </r>
  <r>
    <s v="ORD-00653"/>
    <d v="2025-10-12T00:00:00"/>
    <s v="Customer 033"/>
    <x v="4"/>
    <s v="Technology"/>
    <s v="North"/>
    <n v="2"/>
    <n v="0.05"/>
    <n v="1615"/>
    <n v="415.51"/>
    <s v="Technology"/>
  </r>
  <r>
    <s v="ORD-00654"/>
    <d v="2025-06-19T00:00:00"/>
    <s v="Customer 042"/>
    <x v="6"/>
    <s v="Office Supplies"/>
    <s v="North"/>
    <n v="2"/>
    <n v="0"/>
    <n v="36"/>
    <n v="14.37"/>
    <s v="Office Supplies"/>
  </r>
  <r>
    <s v="ORD-00655"/>
    <d v="2025-11-17T00:00:00"/>
    <s v="Customer 071"/>
    <x v="10"/>
    <s v="Office Supplies"/>
    <s v="East"/>
    <n v="3"/>
    <n v="0.15"/>
    <n v="63.75"/>
    <n v="12.07"/>
    <s v="Office Supplies"/>
  </r>
  <r>
    <s v="ORD-00656"/>
    <d v="2025-02-07T00:00:00"/>
    <s v="Customer 024"/>
    <x v="1"/>
    <s v="Furniture"/>
    <s v="North"/>
    <n v="3"/>
    <n v="0.2"/>
    <n v="504"/>
    <n v="190.22"/>
    <s v="Furniture"/>
  </r>
  <r>
    <s v="ORD-00657"/>
    <d v="2025-09-16T00:00:00"/>
    <s v="Customer 012"/>
    <x v="3"/>
    <s v="Furniture"/>
    <s v="East"/>
    <n v="4"/>
    <n v="0.2"/>
    <n v="896"/>
    <n v="244.41"/>
    <s v="Furniture"/>
  </r>
  <r>
    <s v="ORD-00658"/>
    <d v="2025-04-24T00:00:00"/>
    <s v="Customer 028"/>
    <x v="2"/>
    <s v="Furniture"/>
    <s v="West"/>
    <n v="3"/>
    <n v="0.1"/>
    <n v="148.5"/>
    <n v="49.14"/>
    <s v="Furniture"/>
  </r>
  <r>
    <s v="ORD-00659"/>
    <d v="2025-10-15T00:00:00"/>
    <s v="Customer 058"/>
    <x v="5"/>
    <s v="Technology"/>
    <s v="South"/>
    <n v="1"/>
    <n v="0"/>
    <n v="320"/>
    <n v="73.36"/>
    <s v="Technology"/>
  </r>
  <r>
    <s v="ORD-00660"/>
    <d v="2025-11-25T00:00:00"/>
    <s v="Customer 088"/>
    <x v="10"/>
    <s v="Office Supplies"/>
    <s v="East"/>
    <n v="5"/>
    <n v="0.05"/>
    <n v="118.75"/>
    <n v="15.86"/>
    <s v="Office Supplies"/>
  </r>
  <r>
    <s v="ORD-00661"/>
    <d v="2025-07-15T00:00:00"/>
    <s v="Customer 037"/>
    <x v="0"/>
    <s v="Technology"/>
    <s v="North"/>
    <n v="4"/>
    <n v="0.1"/>
    <n v="126"/>
    <n v="34.24"/>
    <s v="Technology"/>
  </r>
  <r>
    <s v="ORD-00662"/>
    <d v="2025-09-22T00:00:00"/>
    <s v="Customer 006"/>
    <x v="7"/>
    <s v="Technology"/>
    <s v="East"/>
    <n v="5"/>
    <n v="0.2"/>
    <n v="280"/>
    <n v="84.83"/>
    <s v="Technology"/>
  </r>
  <r>
    <s v="ORD-00663"/>
    <d v="2025-11-30T00:00:00"/>
    <s v="Customer 013"/>
    <x v="2"/>
    <s v="Furniture"/>
    <s v="South"/>
    <n v="3"/>
    <n v="0.2"/>
    <n v="132"/>
    <n v="55.81"/>
    <s v="Furniture"/>
  </r>
  <r>
    <s v="ORD-00664"/>
    <d v="2025-10-03T00:00:00"/>
    <s v="Customer 081"/>
    <x v="8"/>
    <s v="Office Supplies"/>
    <s v="South"/>
    <n v="1"/>
    <n v="0"/>
    <n v="240"/>
    <n v="91.31"/>
    <s v="Office Supplies"/>
  </r>
  <r>
    <s v="ORD-00665"/>
    <d v="2025-12-17T00:00:00"/>
    <s v="Customer 090"/>
    <x v="11"/>
    <s v="Furniture"/>
    <s v="West"/>
    <n v="1"/>
    <n v="0.05"/>
    <n v="180.5"/>
    <n v="49.19"/>
    <s v="Furniture"/>
  </r>
  <r>
    <s v="ORD-00666"/>
    <d v="2025-11-28T00:00:00"/>
    <s v="Customer 043"/>
    <x v="0"/>
    <s v="Technology"/>
    <s v="North"/>
    <n v="2"/>
    <n v="0"/>
    <n v="70"/>
    <n v="20.89"/>
    <s v="Technology"/>
  </r>
  <r>
    <s v="ORD-00667"/>
    <d v="2025-02-14T00:00:00"/>
    <s v="Customer 072"/>
    <x v="0"/>
    <s v="Technology"/>
    <s v="North"/>
    <n v="1"/>
    <n v="0.05"/>
    <n v="33.25"/>
    <n v="6.25"/>
    <s v="Technology"/>
  </r>
  <r>
    <s v="ORD-00668"/>
    <d v="2025-10-22T00:00:00"/>
    <s v="Customer 081"/>
    <x v="2"/>
    <s v="Furniture"/>
    <s v="West"/>
    <n v="3"/>
    <n v="0.15"/>
    <n v="140.25"/>
    <n v="45.15"/>
    <s v="Furniture"/>
  </r>
  <r>
    <s v="ORD-00669"/>
    <d v="2025-08-10T00:00:00"/>
    <s v="Customer 069"/>
    <x v="7"/>
    <s v="Technology"/>
    <s v="North"/>
    <n v="1"/>
    <n v="0.15"/>
    <n v="59.5"/>
    <n v="13.55"/>
    <s v="Technology"/>
  </r>
  <r>
    <s v="ORD-00670"/>
    <d v="2025-11-25T00:00:00"/>
    <s v="Customer 075"/>
    <x v="1"/>
    <s v="Furniture"/>
    <s v="North"/>
    <n v="5"/>
    <n v="0"/>
    <n v="1050"/>
    <n v="210.56"/>
    <s v="Furniture"/>
  </r>
  <r>
    <s v="ORD-00671"/>
    <d v="2025-12-25T00:00:00"/>
    <s v="Customer 088"/>
    <x v="0"/>
    <s v="Technology"/>
    <s v="East"/>
    <n v="3"/>
    <n v="0.2"/>
    <n v="84"/>
    <n v="34.86"/>
    <s v="Technology"/>
  </r>
  <r>
    <s v="ORD-00672"/>
    <d v="2025-11-07T00:00:00"/>
    <s v="Customer 085"/>
    <x v="0"/>
    <s v="Technology"/>
    <s v="North"/>
    <n v="3"/>
    <n v="0.15"/>
    <n v="89.25"/>
    <n v="28.93"/>
    <s v="Technology"/>
  </r>
  <r>
    <s v="ORD-00673"/>
    <d v="2025-08-31T00:00:00"/>
    <s v="Customer 051"/>
    <x v="3"/>
    <s v="Furniture"/>
    <s v="East"/>
    <n v="5"/>
    <n v="0.05"/>
    <n v="1330"/>
    <n v="538.64"/>
    <s v="Furniture"/>
  </r>
  <r>
    <s v="ORD-00674"/>
    <d v="2025-11-21T00:00:00"/>
    <s v="Customer 002"/>
    <x v="3"/>
    <s v="Furniture"/>
    <s v="South"/>
    <n v="3"/>
    <n v="0.1"/>
    <n v="756"/>
    <n v="101.35"/>
    <s v="Furniture"/>
  </r>
  <r>
    <s v="ORD-00675"/>
    <d v="2025-03-05T00:00:00"/>
    <s v="Customer 069"/>
    <x v="9"/>
    <s v="Technology"/>
    <s v="North"/>
    <n v="1"/>
    <n v="0.2"/>
    <n v="960"/>
    <n v="242.98"/>
    <s v="Technology"/>
  </r>
  <r>
    <s v="ORD-00676"/>
    <d v="2025-06-06T00:00:00"/>
    <s v="Customer 083"/>
    <x v="2"/>
    <s v="Furniture"/>
    <s v="South"/>
    <n v="3"/>
    <n v="0.05"/>
    <n v="156.75"/>
    <n v="49.19"/>
    <s v="Furniture"/>
  </r>
  <r>
    <s v="ORD-00677"/>
    <d v="2025-03-24T00:00:00"/>
    <s v="Customer 025"/>
    <x v="3"/>
    <s v="Furniture"/>
    <s v="North"/>
    <n v="2"/>
    <n v="0.2"/>
    <n v="448"/>
    <n v="78.19"/>
    <s v="Furniture"/>
  </r>
  <r>
    <s v="ORD-00678"/>
    <d v="2025-04-03T00:00:00"/>
    <s v="Customer 071"/>
    <x v="5"/>
    <s v="Technology"/>
    <s v="West"/>
    <n v="5"/>
    <n v="0"/>
    <n v="1600"/>
    <n v="270.47000000000003"/>
    <s v="Technology"/>
  </r>
  <r>
    <s v="ORD-00679"/>
    <d v="2025-11-27T00:00:00"/>
    <s v="Customer 033"/>
    <x v="8"/>
    <s v="Office Supplies"/>
    <s v="North"/>
    <n v="1"/>
    <n v="0.1"/>
    <n v="216"/>
    <n v="49.32"/>
    <s v="Office Supplies"/>
  </r>
  <r>
    <s v="ORD-00680"/>
    <d v="2025-04-12T00:00:00"/>
    <s v="Customer 046"/>
    <x v="1"/>
    <s v="Furniture"/>
    <s v="South"/>
    <n v="5"/>
    <n v="0.15"/>
    <n v="892.5"/>
    <n v="121.37"/>
    <s v="Furniture"/>
  </r>
  <r>
    <s v="ORD-00681"/>
    <d v="2025-12-10T00:00:00"/>
    <s v="Customer 009"/>
    <x v="5"/>
    <s v="Technology"/>
    <s v="South"/>
    <n v="2"/>
    <n v="0"/>
    <n v="640"/>
    <n v="227.78"/>
    <s v="Technology"/>
  </r>
  <r>
    <s v="ORD-00682"/>
    <d v="2025-06-12T00:00:00"/>
    <s v="Customer 040"/>
    <x v="6"/>
    <s v="Office Supplies"/>
    <s v="South"/>
    <n v="4"/>
    <n v="0.1"/>
    <n v="64.8"/>
    <n v="15.98"/>
    <s v="Office Supplies"/>
  </r>
  <r>
    <s v="ORD-00683"/>
    <d v="2025-10-17T00:00:00"/>
    <s v="Customer 022"/>
    <x v="10"/>
    <s v="Office Supplies"/>
    <s v="North"/>
    <n v="3"/>
    <n v="0.1"/>
    <n v="67.5"/>
    <n v="9.02"/>
    <s v="Office Supplies"/>
  </r>
  <r>
    <s v="ORD-00684"/>
    <d v="2025-06-10T00:00:00"/>
    <s v="Customer 047"/>
    <x v="2"/>
    <s v="Furniture"/>
    <s v="South"/>
    <n v="2"/>
    <n v="0.15"/>
    <n v="93.5"/>
    <n v="33.54"/>
    <s v="Furniture"/>
  </r>
  <r>
    <s v="ORD-00685"/>
    <d v="2025-12-14T00:00:00"/>
    <s v="Customer 046"/>
    <x v="1"/>
    <s v="Furniture"/>
    <s v="East"/>
    <n v="3"/>
    <n v="0.15"/>
    <n v="535.5"/>
    <n v="159.18"/>
    <s v="Furniture"/>
  </r>
  <r>
    <s v="ORD-00686"/>
    <d v="2025-09-07T00:00:00"/>
    <s v="Customer 011"/>
    <x v="8"/>
    <s v="Office Supplies"/>
    <s v="East"/>
    <n v="1"/>
    <n v="0.05"/>
    <n v="228"/>
    <n v="54.03"/>
    <s v="Office Supplies"/>
  </r>
  <r>
    <s v="ORD-00687"/>
    <d v="2025-03-13T00:00:00"/>
    <s v="Customer 081"/>
    <x v="8"/>
    <s v="Office Supplies"/>
    <s v="North"/>
    <n v="2"/>
    <n v="0.1"/>
    <n v="432"/>
    <n v="89.83"/>
    <s v="Office Supplies"/>
  </r>
  <r>
    <s v="ORD-00688"/>
    <d v="2025-02-08T00:00:00"/>
    <s v="Customer 075"/>
    <x v="9"/>
    <s v="Technology"/>
    <s v="West"/>
    <n v="5"/>
    <n v="0"/>
    <n v="6000"/>
    <n v="1090.97"/>
    <s v="Technology"/>
  </r>
  <r>
    <s v="ORD-00689"/>
    <d v="2025-10-30T00:00:00"/>
    <s v="Customer 070"/>
    <x v="2"/>
    <s v="Furniture"/>
    <s v="West"/>
    <n v="1"/>
    <n v="0.2"/>
    <n v="44"/>
    <n v="16.02"/>
    <s v="Furniture"/>
  </r>
  <r>
    <s v="ORD-00690"/>
    <d v="2025-12-01T00:00:00"/>
    <s v="Customer 099"/>
    <x v="3"/>
    <s v="Furniture"/>
    <s v="East"/>
    <n v="3"/>
    <n v="0.15"/>
    <n v="714"/>
    <n v="268.68"/>
    <s v="Furniture"/>
  </r>
  <r>
    <s v="ORD-00691"/>
    <d v="2025-03-10T00:00:00"/>
    <s v="Customer 047"/>
    <x v="6"/>
    <s v="Office Supplies"/>
    <s v="North"/>
    <n v="5"/>
    <n v="0.2"/>
    <n v="72"/>
    <n v="30.25"/>
    <s v="Office Supplies"/>
  </r>
  <r>
    <s v="ORD-00692"/>
    <d v="2025-12-06T00:00:00"/>
    <s v="Customer 018"/>
    <x v="2"/>
    <s v="Furniture"/>
    <s v="West"/>
    <n v="5"/>
    <n v="0.05"/>
    <n v="261.25"/>
    <n v="52.28"/>
    <s v="Furniture"/>
  </r>
  <r>
    <s v="ORD-00693"/>
    <d v="2025-03-23T00:00:00"/>
    <s v="Customer 019"/>
    <x v="3"/>
    <s v="Furniture"/>
    <s v="West"/>
    <n v="5"/>
    <n v="0.2"/>
    <n v="1120"/>
    <n v="260.27999999999997"/>
    <s v="Furniture"/>
  </r>
  <r>
    <s v="ORD-00694"/>
    <d v="2025-07-03T00:00:00"/>
    <s v="Customer 034"/>
    <x v="9"/>
    <s v="Technology"/>
    <s v="East"/>
    <n v="2"/>
    <n v="0.15"/>
    <n v="2040"/>
    <n v="761.99"/>
    <s v="Technology"/>
  </r>
  <r>
    <s v="ORD-00695"/>
    <d v="2025-04-30T00:00:00"/>
    <s v="Customer 047"/>
    <x v="9"/>
    <s v="Technology"/>
    <s v="West"/>
    <n v="2"/>
    <n v="0.2"/>
    <n v="1920"/>
    <n v="288.86"/>
    <s v="Technology"/>
  </r>
  <r>
    <s v="ORD-00696"/>
    <d v="2025-08-29T00:00:00"/>
    <s v="Customer 042"/>
    <x v="6"/>
    <s v="Office Supplies"/>
    <s v="North"/>
    <n v="1"/>
    <n v="0"/>
    <n v="18"/>
    <n v="2.2799999999999998"/>
    <s v="Office Supplies"/>
  </r>
  <r>
    <s v="ORD-00697"/>
    <d v="2025-12-27T00:00:00"/>
    <s v="Customer 073"/>
    <x v="8"/>
    <s v="Office Supplies"/>
    <s v="South"/>
    <n v="3"/>
    <n v="0.1"/>
    <n v="648"/>
    <n v="167.87"/>
    <s v="Office Supplies"/>
  </r>
  <r>
    <s v="ORD-00698"/>
    <d v="2025-07-12T00:00:00"/>
    <s v="Customer 010"/>
    <x v="5"/>
    <s v="Technology"/>
    <s v="East"/>
    <n v="4"/>
    <n v="0.1"/>
    <n v="1152"/>
    <n v="294.99"/>
    <s v="Technology"/>
  </r>
  <r>
    <s v="ORD-00699"/>
    <d v="2025-07-12T00:00:00"/>
    <s v="Customer 045"/>
    <x v="2"/>
    <s v="Furniture"/>
    <s v="West"/>
    <n v="5"/>
    <n v="0.15"/>
    <n v="233.75"/>
    <n v="77.97"/>
    <s v="Furniture"/>
  </r>
  <r>
    <s v="ORD-00700"/>
    <d v="2025-09-04T00:00:00"/>
    <s v="Customer 057"/>
    <x v="10"/>
    <s v="Office Supplies"/>
    <s v="South"/>
    <n v="1"/>
    <n v="0.2"/>
    <n v="20"/>
    <n v="3.18"/>
    <s v="Office Supplies"/>
  </r>
  <r>
    <s v="ORD-00701"/>
    <d v="2025-04-28T00:00:00"/>
    <s v="Customer 024"/>
    <x v="0"/>
    <s v="Technology"/>
    <s v="South"/>
    <n v="5"/>
    <n v="0.1"/>
    <n v="157.5"/>
    <n v="59.88"/>
    <s v="Technology"/>
  </r>
  <r>
    <s v="ORD-00702"/>
    <d v="2025-07-05T00:00:00"/>
    <s v="Customer 043"/>
    <x v="10"/>
    <s v="Office Supplies"/>
    <s v="North"/>
    <n v="1"/>
    <n v="0.05"/>
    <n v="23.75"/>
    <n v="7.44"/>
    <s v="Office Supplies"/>
  </r>
  <r>
    <s v="ORD-00703"/>
    <d v="2025-09-04T00:00:00"/>
    <s v="Customer 021"/>
    <x v="5"/>
    <s v="Technology"/>
    <s v="West"/>
    <n v="4"/>
    <n v="0.15"/>
    <n v="1088"/>
    <n v="413.95"/>
    <s v="Technology"/>
  </r>
  <r>
    <s v="ORD-00704"/>
    <d v="2025-01-12T00:00:00"/>
    <s v="Customer 021"/>
    <x v="2"/>
    <s v="Furniture"/>
    <s v="South"/>
    <n v="1"/>
    <n v="0.05"/>
    <n v="52.25"/>
    <n v="13.62"/>
    <s v="Furniture"/>
  </r>
  <r>
    <s v="ORD-00705"/>
    <d v="2025-11-19T00:00:00"/>
    <s v="Customer 022"/>
    <x v="8"/>
    <s v="Office Supplies"/>
    <s v="East"/>
    <n v="1"/>
    <n v="0.2"/>
    <n v="192"/>
    <n v="77.09"/>
    <s v="Office Supplies"/>
  </r>
  <r>
    <s v="ORD-00706"/>
    <d v="2025-04-03T00:00:00"/>
    <s v="Customer 082"/>
    <x v="8"/>
    <s v="Office Supplies"/>
    <s v="North"/>
    <n v="4"/>
    <n v="0.2"/>
    <n v="768"/>
    <n v="99.95"/>
    <s v="Office Supplies"/>
  </r>
  <r>
    <s v="ORD-00707"/>
    <d v="2025-12-05T00:00:00"/>
    <s v="Customer 061"/>
    <x v="4"/>
    <s v="Technology"/>
    <s v="West"/>
    <n v="1"/>
    <n v="0.05"/>
    <n v="807.5"/>
    <n v="243.67"/>
    <s v="Technology"/>
  </r>
  <r>
    <s v="ORD-00708"/>
    <d v="2025-03-29T00:00:00"/>
    <s v="Customer 075"/>
    <x v="2"/>
    <s v="Furniture"/>
    <s v="South"/>
    <n v="4"/>
    <n v="0.2"/>
    <n v="176"/>
    <n v="70.91"/>
    <s v="Furniture"/>
  </r>
  <r>
    <s v="ORD-00709"/>
    <d v="2025-11-16T00:00:00"/>
    <s v="Customer 088"/>
    <x v="5"/>
    <s v="Technology"/>
    <s v="East"/>
    <n v="5"/>
    <n v="0.1"/>
    <n v="1440"/>
    <n v="568.29999999999995"/>
    <s v="Technology"/>
  </r>
  <r>
    <s v="ORD-00710"/>
    <d v="2025-08-21T00:00:00"/>
    <s v="Customer 050"/>
    <x v="10"/>
    <s v="Office Supplies"/>
    <s v="South"/>
    <n v="5"/>
    <n v="0"/>
    <n v="125"/>
    <n v="46.77"/>
    <s v="Office Supplies"/>
  </r>
  <r>
    <s v="ORD-00711"/>
    <d v="2025-02-25T00:00:00"/>
    <s v="Customer 065"/>
    <x v="9"/>
    <s v="Technology"/>
    <s v="West"/>
    <n v="2"/>
    <n v="0.2"/>
    <n v="1920"/>
    <n v="319.36"/>
    <s v="Technology"/>
  </r>
  <r>
    <s v="ORD-00712"/>
    <d v="2025-03-18T00:00:00"/>
    <s v="Customer 079"/>
    <x v="10"/>
    <s v="Office Supplies"/>
    <s v="North"/>
    <n v="1"/>
    <n v="0.05"/>
    <n v="23.75"/>
    <n v="6.96"/>
    <s v="Office Supplies"/>
  </r>
  <r>
    <s v="ORD-00713"/>
    <d v="2025-09-30T00:00:00"/>
    <s v="Customer 017"/>
    <x v="8"/>
    <s v="Office Supplies"/>
    <s v="North"/>
    <n v="1"/>
    <n v="0"/>
    <n v="240"/>
    <n v="69.81"/>
    <s v="Office Supplies"/>
  </r>
  <r>
    <s v="ORD-00714"/>
    <d v="2025-12-14T00:00:00"/>
    <s v="Customer 006"/>
    <x v="5"/>
    <s v="Technology"/>
    <s v="West"/>
    <n v="4"/>
    <n v="0.2"/>
    <n v="1024"/>
    <n v="318.64"/>
    <s v="Technology"/>
  </r>
  <r>
    <s v="ORD-00715"/>
    <d v="2025-04-28T00:00:00"/>
    <s v="Customer 095"/>
    <x v="6"/>
    <s v="Office Supplies"/>
    <s v="North"/>
    <n v="4"/>
    <n v="0.1"/>
    <n v="64.8"/>
    <n v="16.559999999999999"/>
    <s v="Office Supplies"/>
  </r>
  <r>
    <s v="ORD-00716"/>
    <d v="2025-08-06T00:00:00"/>
    <s v="Customer 011"/>
    <x v="3"/>
    <s v="Furniture"/>
    <s v="East"/>
    <n v="3"/>
    <n v="0.15"/>
    <n v="714"/>
    <n v="140.85"/>
    <s v="Furniture"/>
  </r>
  <r>
    <s v="ORD-00717"/>
    <d v="2025-11-03T00:00:00"/>
    <s v="Customer 091"/>
    <x v="8"/>
    <s v="Office Supplies"/>
    <s v="North"/>
    <n v="4"/>
    <n v="0.1"/>
    <n v="864"/>
    <n v="334.91"/>
    <s v="Office Supplies"/>
  </r>
  <r>
    <s v="ORD-00718"/>
    <d v="2025-10-23T00:00:00"/>
    <s v="Customer 084"/>
    <x v="8"/>
    <s v="Office Supplies"/>
    <s v="South"/>
    <n v="1"/>
    <n v="0.2"/>
    <n v="192"/>
    <n v="85.94"/>
    <s v="Office Supplies"/>
  </r>
  <r>
    <s v="ORD-00719"/>
    <d v="2025-12-19T00:00:00"/>
    <s v="Customer 055"/>
    <x v="7"/>
    <s v="Technology"/>
    <s v="East"/>
    <n v="4"/>
    <n v="0.1"/>
    <n v="252"/>
    <n v="104.54"/>
    <s v="Technology"/>
  </r>
  <r>
    <s v="ORD-00720"/>
    <d v="2025-05-14T00:00:00"/>
    <s v="Customer 036"/>
    <x v="8"/>
    <s v="Office Supplies"/>
    <s v="West"/>
    <n v="4"/>
    <n v="0.2"/>
    <n v="768"/>
    <n v="252.93"/>
    <s v="Office Supplies"/>
  </r>
  <r>
    <s v="ORD-00721"/>
    <d v="2025-04-15T00:00:00"/>
    <s v="Customer 048"/>
    <x v="11"/>
    <s v="Furniture"/>
    <s v="West"/>
    <n v="5"/>
    <n v="0.2"/>
    <n v="760"/>
    <n v="221"/>
    <s v="Furniture"/>
  </r>
  <r>
    <s v="ORD-00722"/>
    <d v="2025-05-10T00:00:00"/>
    <s v="Customer 051"/>
    <x v="4"/>
    <s v="Technology"/>
    <s v="South"/>
    <n v="5"/>
    <n v="0.1"/>
    <n v="3825"/>
    <n v="744.02"/>
    <s v="Technology"/>
  </r>
  <r>
    <s v="ORD-00723"/>
    <d v="2025-12-04T00:00:00"/>
    <s v="Customer 021"/>
    <x v="0"/>
    <s v="Technology"/>
    <s v="North"/>
    <n v="2"/>
    <n v="0.15"/>
    <n v="59.5"/>
    <n v="11.4"/>
    <s v="Technology"/>
  </r>
  <r>
    <s v="ORD-00724"/>
    <d v="2025-04-20T00:00:00"/>
    <s v="Customer 079"/>
    <x v="8"/>
    <s v="Office Supplies"/>
    <s v="North"/>
    <n v="4"/>
    <n v="0.1"/>
    <n v="864"/>
    <n v="160.46"/>
    <s v="Office Supplies"/>
  </r>
  <r>
    <s v="ORD-00725"/>
    <d v="2025-03-24T00:00:00"/>
    <s v="Customer 061"/>
    <x v="11"/>
    <s v="Furniture"/>
    <s v="West"/>
    <n v="1"/>
    <n v="0"/>
    <n v="190"/>
    <n v="33.880000000000003"/>
    <s v="Furniture"/>
  </r>
  <r>
    <s v="ORD-00726"/>
    <d v="2025-02-15T00:00:00"/>
    <s v="Customer 078"/>
    <x v="0"/>
    <s v="Technology"/>
    <s v="North"/>
    <n v="3"/>
    <n v="0.05"/>
    <n v="99.75"/>
    <n v="32.68"/>
    <s v="Technology"/>
  </r>
  <r>
    <s v="ORD-00727"/>
    <d v="2025-07-16T00:00:00"/>
    <s v="Customer 077"/>
    <x v="11"/>
    <s v="Furniture"/>
    <s v="North"/>
    <n v="5"/>
    <n v="0.2"/>
    <n v="760"/>
    <n v="270.14999999999998"/>
    <s v="Furniture"/>
  </r>
  <r>
    <s v="ORD-00728"/>
    <d v="2025-03-31T00:00:00"/>
    <s v="Customer 085"/>
    <x v="5"/>
    <s v="Technology"/>
    <s v="East"/>
    <n v="4"/>
    <n v="0.15"/>
    <n v="1088"/>
    <n v="485.75"/>
    <s v="Technology"/>
  </r>
  <r>
    <s v="ORD-00729"/>
    <d v="2025-04-10T00:00:00"/>
    <s v="Customer 030"/>
    <x v="9"/>
    <s v="Technology"/>
    <s v="South"/>
    <n v="5"/>
    <n v="0.2"/>
    <n v="4800"/>
    <n v="1342.95"/>
    <s v="Technology"/>
  </r>
  <r>
    <s v="ORD-00730"/>
    <d v="2025-12-12T00:00:00"/>
    <s v="Customer 021"/>
    <x v="9"/>
    <s v="Technology"/>
    <s v="North"/>
    <n v="3"/>
    <n v="0.05"/>
    <n v="3420"/>
    <n v="799.75"/>
    <s v="Technology"/>
  </r>
  <r>
    <s v="ORD-00731"/>
    <d v="2025-05-22T00:00:00"/>
    <s v="Customer 026"/>
    <x v="11"/>
    <s v="Furniture"/>
    <s v="North"/>
    <n v="3"/>
    <n v="0.15"/>
    <n v="484.5"/>
    <n v="153.19999999999999"/>
    <s v="Furniture"/>
  </r>
  <r>
    <s v="ORD-00732"/>
    <d v="2025-12-27T00:00:00"/>
    <s v="Customer 072"/>
    <x v="0"/>
    <s v="Technology"/>
    <s v="East"/>
    <n v="1"/>
    <n v="0.2"/>
    <n v="28"/>
    <n v="9.9700000000000006"/>
    <s v="Technology"/>
  </r>
  <r>
    <s v="ORD-00733"/>
    <d v="2025-06-27T00:00:00"/>
    <s v="Customer 059"/>
    <x v="4"/>
    <s v="Technology"/>
    <s v="West"/>
    <n v="2"/>
    <n v="0.2"/>
    <n v="1360"/>
    <n v="179.78"/>
    <s v="Technology"/>
  </r>
  <r>
    <s v="ORD-00734"/>
    <d v="2025-10-22T00:00:00"/>
    <s v="Customer 014"/>
    <x v="9"/>
    <s v="Technology"/>
    <s v="North"/>
    <n v="3"/>
    <n v="0.05"/>
    <n v="3420"/>
    <n v="1079.51"/>
    <s v="Technology"/>
  </r>
  <r>
    <s v="ORD-00735"/>
    <d v="2025-09-15T00:00:00"/>
    <s v="Customer 033"/>
    <x v="4"/>
    <s v="Technology"/>
    <s v="East"/>
    <n v="3"/>
    <n v="0"/>
    <n v="2550"/>
    <n v="471.82"/>
    <s v="Technology"/>
  </r>
  <r>
    <s v="ORD-00736"/>
    <d v="2025-12-22T00:00:00"/>
    <s v="Customer 032"/>
    <x v="6"/>
    <s v="Office Supplies"/>
    <s v="East"/>
    <n v="4"/>
    <n v="0.2"/>
    <n v="57.6"/>
    <n v="16.73"/>
    <s v="Office Supplies"/>
  </r>
  <r>
    <s v="ORD-00737"/>
    <d v="2025-08-23T00:00:00"/>
    <s v="Customer 062"/>
    <x v="5"/>
    <s v="Technology"/>
    <s v="North"/>
    <n v="4"/>
    <n v="0.2"/>
    <n v="1024"/>
    <n v="169.51"/>
    <s v="Technology"/>
  </r>
  <r>
    <s v="ORD-00738"/>
    <d v="2025-05-13T00:00:00"/>
    <s v="Customer 030"/>
    <x v="0"/>
    <s v="Technology"/>
    <s v="East"/>
    <n v="4"/>
    <n v="0.05"/>
    <n v="133"/>
    <n v="30.14"/>
    <s v="Technology"/>
  </r>
  <r>
    <s v="ORD-00739"/>
    <d v="2025-07-31T00:00:00"/>
    <s v="Customer 034"/>
    <x v="7"/>
    <s v="Technology"/>
    <s v="South"/>
    <n v="5"/>
    <n v="0.2"/>
    <n v="280"/>
    <n v="125.1"/>
    <s v="Technology"/>
  </r>
  <r>
    <s v="ORD-00740"/>
    <d v="2025-05-28T00:00:00"/>
    <s v="Customer 023"/>
    <x v="0"/>
    <s v="Technology"/>
    <s v="West"/>
    <n v="4"/>
    <n v="0.1"/>
    <n v="126"/>
    <n v="53.54"/>
    <s v="Technology"/>
  </r>
  <r>
    <s v="ORD-00741"/>
    <d v="2025-06-10T00:00:00"/>
    <s v="Customer 096"/>
    <x v="7"/>
    <s v="Technology"/>
    <s v="South"/>
    <n v="2"/>
    <n v="0.2"/>
    <n v="112"/>
    <n v="40.450000000000003"/>
    <s v="Technology"/>
  </r>
  <r>
    <s v="ORD-00742"/>
    <d v="2025-09-13T00:00:00"/>
    <s v="Customer 034"/>
    <x v="1"/>
    <s v="Furniture"/>
    <s v="South"/>
    <n v="2"/>
    <n v="0.05"/>
    <n v="399"/>
    <n v="82.72"/>
    <s v="Furniture"/>
  </r>
  <r>
    <s v="ORD-00743"/>
    <d v="2025-04-28T00:00:00"/>
    <s v="Customer 100"/>
    <x v="2"/>
    <s v="Furniture"/>
    <s v="North"/>
    <n v="2"/>
    <n v="0.2"/>
    <n v="88"/>
    <n v="29.26"/>
    <s v="Furniture"/>
  </r>
  <r>
    <s v="ORD-00744"/>
    <d v="2025-03-03T00:00:00"/>
    <s v="Customer 070"/>
    <x v="0"/>
    <s v="Technology"/>
    <s v="North"/>
    <n v="4"/>
    <n v="0.2"/>
    <n v="112"/>
    <n v="50.16"/>
    <s v="Technology"/>
  </r>
  <r>
    <s v="ORD-00745"/>
    <d v="2025-09-04T00:00:00"/>
    <s v="Customer 074"/>
    <x v="7"/>
    <s v="Technology"/>
    <s v="East"/>
    <n v="5"/>
    <n v="0.1"/>
    <n v="315"/>
    <n v="90.57"/>
    <s v="Technology"/>
  </r>
  <r>
    <s v="ORD-00746"/>
    <d v="2025-09-09T00:00:00"/>
    <s v="Customer 097"/>
    <x v="3"/>
    <s v="Furniture"/>
    <s v="South"/>
    <n v="5"/>
    <n v="0.1"/>
    <n v="1260"/>
    <n v="401.56"/>
    <s v="Furniture"/>
  </r>
  <r>
    <s v="ORD-00747"/>
    <d v="2025-01-28T00:00:00"/>
    <s v="Customer 005"/>
    <x v="8"/>
    <s v="Office Supplies"/>
    <s v="East"/>
    <n v="4"/>
    <n v="0.15"/>
    <n v="816"/>
    <n v="114.17"/>
    <s v="Office Supplies"/>
  </r>
  <r>
    <s v="ORD-00748"/>
    <d v="2025-07-21T00:00:00"/>
    <s v="Customer 090"/>
    <x v="5"/>
    <s v="Technology"/>
    <s v="West"/>
    <n v="2"/>
    <n v="0.15"/>
    <n v="544"/>
    <n v="69.5"/>
    <s v="Technology"/>
  </r>
  <r>
    <s v="ORD-00749"/>
    <d v="2025-06-11T00:00:00"/>
    <s v="Customer 049"/>
    <x v="1"/>
    <s v="Furniture"/>
    <s v="North"/>
    <n v="1"/>
    <n v="0"/>
    <n v="210"/>
    <n v="47.78"/>
    <s v="Furniture"/>
  </r>
  <r>
    <s v="ORD-00750"/>
    <d v="2025-06-16T00:00:00"/>
    <s v="Customer 034"/>
    <x v="7"/>
    <s v="Technology"/>
    <s v="South"/>
    <n v="5"/>
    <n v="0.1"/>
    <n v="315"/>
    <n v="122.3"/>
    <s v="Technology"/>
  </r>
  <r>
    <s v="ORD-00751"/>
    <d v="2025-05-18T00:00:00"/>
    <s v="Customer 064"/>
    <x v="6"/>
    <s v="Office Supplies"/>
    <s v="West"/>
    <n v="5"/>
    <n v="0.1"/>
    <n v="81"/>
    <n v="26.67"/>
    <s v="Office Supplies"/>
  </r>
  <r>
    <s v="ORD-00752"/>
    <d v="2025-04-18T00:00:00"/>
    <s v="Customer 036"/>
    <x v="11"/>
    <s v="Furniture"/>
    <s v="West"/>
    <n v="3"/>
    <n v="0.1"/>
    <n v="513"/>
    <n v="86.22"/>
    <s v="Furniture"/>
  </r>
  <r>
    <s v="ORD-00753"/>
    <d v="2025-04-03T00:00:00"/>
    <s v="Customer 013"/>
    <x v="10"/>
    <s v="Office Supplies"/>
    <s v="East"/>
    <n v="2"/>
    <n v="0.2"/>
    <n v="40"/>
    <n v="8.94"/>
    <s v="Office Supplies"/>
  </r>
  <r>
    <s v="ORD-00754"/>
    <d v="2025-05-01T00:00:00"/>
    <s v="Customer 095"/>
    <x v="8"/>
    <s v="Office Supplies"/>
    <s v="South"/>
    <n v="4"/>
    <n v="0.15"/>
    <n v="816"/>
    <n v="314.39999999999998"/>
    <s v="Office Supplies"/>
  </r>
  <r>
    <s v="ORD-00755"/>
    <d v="2025-08-31T00:00:00"/>
    <s v="Customer 081"/>
    <x v="9"/>
    <s v="Technology"/>
    <s v="East"/>
    <n v="2"/>
    <n v="0.15"/>
    <n v="2040"/>
    <n v="581.66999999999996"/>
    <s v="Technology"/>
  </r>
  <r>
    <s v="ORD-00756"/>
    <d v="2025-09-07T00:00:00"/>
    <s v="Customer 007"/>
    <x v="4"/>
    <s v="Technology"/>
    <s v="West"/>
    <n v="3"/>
    <n v="0.2"/>
    <n v="2040"/>
    <n v="340.06"/>
    <s v="Technology"/>
  </r>
  <r>
    <s v="ORD-00757"/>
    <d v="2025-02-20T00:00:00"/>
    <s v="Customer 033"/>
    <x v="1"/>
    <s v="Furniture"/>
    <s v="West"/>
    <n v="2"/>
    <n v="0"/>
    <n v="420"/>
    <n v="159.13999999999999"/>
    <s v="Furniture"/>
  </r>
  <r>
    <s v="ORD-00758"/>
    <d v="2025-11-19T00:00:00"/>
    <s v="Customer 047"/>
    <x v="0"/>
    <s v="Technology"/>
    <s v="East"/>
    <n v="4"/>
    <n v="0.1"/>
    <n v="126"/>
    <n v="45.9"/>
    <s v="Technology"/>
  </r>
  <r>
    <s v="ORD-00759"/>
    <d v="2025-06-26T00:00:00"/>
    <s v="Customer 087"/>
    <x v="9"/>
    <s v="Technology"/>
    <s v="South"/>
    <n v="4"/>
    <n v="0"/>
    <n v="4800"/>
    <n v="1603.87"/>
    <s v="Technology"/>
  </r>
  <r>
    <s v="ORD-00760"/>
    <d v="2025-10-23T00:00:00"/>
    <s v="Customer 037"/>
    <x v="10"/>
    <s v="Office Supplies"/>
    <s v="East"/>
    <n v="5"/>
    <n v="0.05"/>
    <n v="118.75"/>
    <n v="15.06"/>
    <s v="Office Supplies"/>
  </r>
  <r>
    <s v="ORD-00761"/>
    <d v="2025-06-16T00:00:00"/>
    <s v="Customer 058"/>
    <x v="5"/>
    <s v="Technology"/>
    <s v="North"/>
    <n v="5"/>
    <n v="0.15"/>
    <n v="1360"/>
    <n v="264.29000000000002"/>
    <s v="Technology"/>
  </r>
  <r>
    <s v="ORD-00762"/>
    <d v="2025-07-15T00:00:00"/>
    <s v="Customer 019"/>
    <x v="10"/>
    <s v="Office Supplies"/>
    <s v="South"/>
    <n v="3"/>
    <n v="0.15"/>
    <n v="63.75"/>
    <n v="15.4"/>
    <s v="Office Supplies"/>
  </r>
  <r>
    <s v="ORD-00763"/>
    <d v="2025-11-24T00:00:00"/>
    <s v="Customer 010"/>
    <x v="7"/>
    <s v="Technology"/>
    <s v="North"/>
    <n v="4"/>
    <n v="0.2"/>
    <n v="224"/>
    <n v="58.54"/>
    <s v="Technology"/>
  </r>
  <r>
    <s v="ORD-00764"/>
    <d v="2025-03-24T00:00:00"/>
    <s v="Customer 038"/>
    <x v="7"/>
    <s v="Technology"/>
    <s v="East"/>
    <n v="2"/>
    <n v="0.1"/>
    <n v="126"/>
    <n v="43.52"/>
    <s v="Technology"/>
  </r>
  <r>
    <s v="ORD-00765"/>
    <d v="2025-11-06T00:00:00"/>
    <s v="Customer 100"/>
    <x v="5"/>
    <s v="Technology"/>
    <s v="East"/>
    <n v="4"/>
    <n v="0.1"/>
    <n v="1152"/>
    <n v="180.94"/>
    <s v="Technology"/>
  </r>
  <r>
    <s v="ORD-00766"/>
    <d v="2025-10-28T00:00:00"/>
    <s v="Customer 003"/>
    <x v="8"/>
    <s v="Office Supplies"/>
    <s v="South"/>
    <n v="4"/>
    <n v="0.15"/>
    <n v="816"/>
    <n v="322.14"/>
    <s v="Office Supplies"/>
  </r>
  <r>
    <s v="ORD-00767"/>
    <d v="2025-05-01T00:00:00"/>
    <s v="Customer 051"/>
    <x v="5"/>
    <s v="Technology"/>
    <s v="North"/>
    <n v="3"/>
    <n v="0"/>
    <n v="960"/>
    <n v="365.29"/>
    <s v="Technology"/>
  </r>
  <r>
    <s v="ORD-00768"/>
    <d v="2025-02-18T00:00:00"/>
    <s v="Customer 099"/>
    <x v="0"/>
    <s v="Technology"/>
    <s v="West"/>
    <n v="4"/>
    <n v="0.2"/>
    <n v="112"/>
    <n v="48.41"/>
    <s v="Technology"/>
  </r>
  <r>
    <s v="ORD-00769"/>
    <d v="2025-09-26T00:00:00"/>
    <s v="Customer 011"/>
    <x v="0"/>
    <s v="Technology"/>
    <s v="West"/>
    <n v="1"/>
    <n v="0.1"/>
    <n v="31.5"/>
    <n v="7.75"/>
    <s v="Technology"/>
  </r>
  <r>
    <s v="ORD-00770"/>
    <d v="2025-06-08T00:00:00"/>
    <s v="Customer 017"/>
    <x v="2"/>
    <s v="Furniture"/>
    <s v="South"/>
    <n v="2"/>
    <n v="0.1"/>
    <n v="99"/>
    <n v="30.07"/>
    <s v="Furniture"/>
  </r>
  <r>
    <s v="ORD-00771"/>
    <d v="2025-09-27T00:00:00"/>
    <s v="Customer 042"/>
    <x v="3"/>
    <s v="Furniture"/>
    <s v="West"/>
    <n v="1"/>
    <n v="0"/>
    <n v="280"/>
    <n v="64.69"/>
    <s v="Furniture"/>
  </r>
  <r>
    <s v="ORD-00772"/>
    <d v="2025-08-28T00:00:00"/>
    <s v="Customer 090"/>
    <x v="8"/>
    <s v="Office Supplies"/>
    <s v="South"/>
    <n v="3"/>
    <n v="0.2"/>
    <n v="576"/>
    <n v="174.64"/>
    <s v="Office Supplies"/>
  </r>
  <r>
    <s v="ORD-00773"/>
    <d v="2025-10-30T00:00:00"/>
    <s v="Customer 082"/>
    <x v="10"/>
    <s v="Office Supplies"/>
    <s v="East"/>
    <n v="4"/>
    <n v="0.2"/>
    <n v="80"/>
    <n v="24.52"/>
    <s v="Office Supplies"/>
  </r>
  <r>
    <s v="ORD-00774"/>
    <d v="2025-06-27T00:00:00"/>
    <s v="Customer 057"/>
    <x v="6"/>
    <s v="Office Supplies"/>
    <s v="East"/>
    <n v="5"/>
    <n v="0.05"/>
    <n v="85.5"/>
    <n v="15.77"/>
    <s v="Office Supplies"/>
  </r>
  <r>
    <s v="ORD-00775"/>
    <d v="2025-07-07T00:00:00"/>
    <s v="Customer 001"/>
    <x v="11"/>
    <s v="Furniture"/>
    <s v="South"/>
    <n v="3"/>
    <n v="0.05"/>
    <n v="541.5"/>
    <n v="189.43"/>
    <s v="Furniture"/>
  </r>
  <r>
    <s v="ORD-00776"/>
    <d v="2025-06-26T00:00:00"/>
    <s v="Customer 063"/>
    <x v="4"/>
    <s v="Technology"/>
    <s v="West"/>
    <n v="4"/>
    <n v="0.2"/>
    <n v="2720"/>
    <n v="1216.53"/>
    <s v="Technology"/>
  </r>
  <r>
    <s v="ORD-00777"/>
    <d v="2025-06-03T00:00:00"/>
    <s v="Customer 001"/>
    <x v="9"/>
    <s v="Technology"/>
    <s v="East"/>
    <n v="4"/>
    <n v="0.1"/>
    <n v="4320"/>
    <n v="1092.9100000000001"/>
    <s v="Technology"/>
  </r>
  <r>
    <s v="ORD-00778"/>
    <d v="2025-04-07T00:00:00"/>
    <s v="Customer 021"/>
    <x v="11"/>
    <s v="Furniture"/>
    <s v="West"/>
    <n v="5"/>
    <n v="0.15"/>
    <n v="807.5"/>
    <n v="258.18"/>
    <s v="Furniture"/>
  </r>
  <r>
    <s v="ORD-00779"/>
    <d v="2025-07-13T00:00:00"/>
    <s v="Customer 031"/>
    <x v="2"/>
    <s v="Furniture"/>
    <s v="East"/>
    <n v="3"/>
    <n v="0"/>
    <n v="165"/>
    <n v="51.26"/>
    <s v="Furniture"/>
  </r>
  <r>
    <s v="ORD-00780"/>
    <d v="2025-05-26T00:00:00"/>
    <s v="Customer 009"/>
    <x v="5"/>
    <s v="Technology"/>
    <s v="South"/>
    <n v="5"/>
    <n v="0.1"/>
    <n v="1440"/>
    <n v="451.79"/>
    <s v="Technology"/>
  </r>
  <r>
    <s v="ORD-00781"/>
    <d v="2025-03-11T00:00:00"/>
    <s v="Customer 035"/>
    <x v="4"/>
    <s v="Technology"/>
    <s v="West"/>
    <n v="1"/>
    <n v="0.15"/>
    <n v="722.5"/>
    <n v="177.84"/>
    <s v="Technology"/>
  </r>
  <r>
    <s v="ORD-00782"/>
    <d v="2025-04-07T00:00:00"/>
    <s v="Customer 069"/>
    <x v="7"/>
    <s v="Technology"/>
    <s v="North"/>
    <n v="1"/>
    <n v="0.05"/>
    <n v="66.5"/>
    <n v="28.84"/>
    <s v="Technology"/>
  </r>
  <r>
    <s v="ORD-00783"/>
    <d v="2025-04-06T00:00:00"/>
    <s v="Customer 057"/>
    <x v="0"/>
    <s v="Technology"/>
    <s v="North"/>
    <n v="3"/>
    <n v="0.1"/>
    <n v="94.5"/>
    <n v="38.630000000000003"/>
    <s v="Technology"/>
  </r>
  <r>
    <s v="ORD-00784"/>
    <d v="2025-04-30T00:00:00"/>
    <s v="Customer 044"/>
    <x v="0"/>
    <s v="Technology"/>
    <s v="West"/>
    <n v="2"/>
    <n v="0"/>
    <n v="70"/>
    <n v="20.100000000000001"/>
    <s v="Technology"/>
  </r>
  <r>
    <s v="ORD-00785"/>
    <d v="2025-06-09T00:00:00"/>
    <s v="Customer 005"/>
    <x v="6"/>
    <s v="Office Supplies"/>
    <s v="East"/>
    <n v="3"/>
    <n v="0.15"/>
    <n v="45.9"/>
    <n v="10.1"/>
    <s v="Office Supplies"/>
  </r>
  <r>
    <s v="ORD-00786"/>
    <d v="2025-02-11T00:00:00"/>
    <s v="Customer 010"/>
    <x v="3"/>
    <s v="Furniture"/>
    <s v="West"/>
    <n v="1"/>
    <n v="0.1"/>
    <n v="252"/>
    <n v="48.9"/>
    <s v="Furniture"/>
  </r>
  <r>
    <s v="ORD-00787"/>
    <d v="2025-04-03T00:00:00"/>
    <s v="Customer 016"/>
    <x v="2"/>
    <s v="Furniture"/>
    <s v="South"/>
    <n v="3"/>
    <n v="0.15"/>
    <n v="140.25"/>
    <n v="24.78"/>
    <s v="Furniture"/>
  </r>
  <r>
    <s v="ORD-00788"/>
    <d v="2025-07-17T00:00:00"/>
    <s v="Customer 095"/>
    <x v="6"/>
    <s v="Office Supplies"/>
    <s v="North"/>
    <n v="2"/>
    <n v="0"/>
    <n v="36"/>
    <n v="13.83"/>
    <s v="Office Supplies"/>
  </r>
  <r>
    <s v="ORD-00789"/>
    <d v="2025-09-24T00:00:00"/>
    <s v="Customer 040"/>
    <x v="5"/>
    <s v="Technology"/>
    <s v="East"/>
    <n v="2"/>
    <n v="0.15"/>
    <n v="544"/>
    <n v="174.94"/>
    <s v="Technology"/>
  </r>
  <r>
    <s v="ORD-00790"/>
    <d v="2025-03-23T00:00:00"/>
    <s v="Customer 033"/>
    <x v="5"/>
    <s v="Technology"/>
    <s v="West"/>
    <n v="1"/>
    <n v="0.2"/>
    <n v="256"/>
    <n v="71.19"/>
    <s v="Technology"/>
  </r>
  <r>
    <s v="ORD-00791"/>
    <d v="2025-11-23T00:00:00"/>
    <s v="Customer 086"/>
    <x v="4"/>
    <s v="Technology"/>
    <s v="South"/>
    <n v="2"/>
    <n v="0.1"/>
    <n v="1530"/>
    <n v="240.39"/>
    <s v="Technology"/>
  </r>
  <r>
    <s v="ORD-00792"/>
    <d v="2025-02-27T00:00:00"/>
    <s v="Customer 036"/>
    <x v="2"/>
    <s v="Furniture"/>
    <s v="North"/>
    <n v="4"/>
    <n v="0.1"/>
    <n v="198"/>
    <n v="88.12"/>
    <s v="Furniture"/>
  </r>
  <r>
    <s v="ORD-00793"/>
    <d v="2025-07-22T00:00:00"/>
    <s v="Customer 089"/>
    <x v="2"/>
    <s v="Furniture"/>
    <s v="West"/>
    <n v="1"/>
    <n v="0"/>
    <n v="55"/>
    <n v="14.2"/>
    <s v="Furniture"/>
  </r>
  <r>
    <s v="ORD-00794"/>
    <d v="2025-12-19T00:00:00"/>
    <s v="Customer 032"/>
    <x v="10"/>
    <s v="Office Supplies"/>
    <s v="South"/>
    <n v="2"/>
    <n v="0.1"/>
    <n v="45"/>
    <n v="8.8000000000000007"/>
    <s v="Office Supplies"/>
  </r>
  <r>
    <s v="ORD-00795"/>
    <d v="2025-09-13T00:00:00"/>
    <s v="Customer 098"/>
    <x v="0"/>
    <s v="Technology"/>
    <s v="North"/>
    <n v="5"/>
    <n v="0.1"/>
    <n v="157.5"/>
    <n v="22.49"/>
    <s v="Technology"/>
  </r>
  <r>
    <s v="ORD-00796"/>
    <d v="2025-01-31T00:00:00"/>
    <s v="Customer 017"/>
    <x v="7"/>
    <s v="Technology"/>
    <s v="West"/>
    <n v="2"/>
    <n v="0.2"/>
    <n v="112"/>
    <n v="21.15"/>
    <s v="Technology"/>
  </r>
  <r>
    <s v="ORD-00797"/>
    <d v="2025-04-30T00:00:00"/>
    <s v="Customer 057"/>
    <x v="7"/>
    <s v="Technology"/>
    <s v="South"/>
    <n v="5"/>
    <n v="0.1"/>
    <n v="315"/>
    <n v="58.02"/>
    <s v="Technology"/>
  </r>
  <r>
    <s v="ORD-00798"/>
    <d v="2025-01-11T00:00:00"/>
    <s v="Customer 033"/>
    <x v="1"/>
    <s v="Furniture"/>
    <s v="North"/>
    <n v="4"/>
    <n v="0.1"/>
    <n v="756"/>
    <n v="159.47999999999999"/>
    <s v="Furniture"/>
  </r>
  <r>
    <s v="ORD-00799"/>
    <d v="2025-09-06T00:00:00"/>
    <s v="Customer 090"/>
    <x v="1"/>
    <s v="Furniture"/>
    <s v="West"/>
    <n v="4"/>
    <n v="0.2"/>
    <n v="672"/>
    <n v="237.04"/>
    <s v="Furniture"/>
  </r>
  <r>
    <s v="ORD-00800"/>
    <d v="2025-04-08T00:00:00"/>
    <s v="Customer 094"/>
    <x v="10"/>
    <s v="Office Supplies"/>
    <s v="West"/>
    <n v="2"/>
    <n v="0.2"/>
    <n v="40"/>
    <n v="13.41"/>
    <s v="Office Supplies"/>
  </r>
  <r>
    <s v="ORD-00801"/>
    <d v="2025-05-21T00:00:00"/>
    <s v="Customer 020"/>
    <x v="10"/>
    <s v="Office Supplies"/>
    <s v="West"/>
    <n v="5"/>
    <n v="0.05"/>
    <n v="118.75"/>
    <n v="50.74"/>
    <s v="Office Supplies"/>
  </r>
  <r>
    <s v="ORD-00802"/>
    <d v="2025-06-01T00:00:00"/>
    <s v="Customer 100"/>
    <x v="4"/>
    <s v="Technology"/>
    <s v="West"/>
    <n v="5"/>
    <n v="0.1"/>
    <n v="3825"/>
    <n v="1148.0899999999999"/>
    <s v="Technology"/>
  </r>
  <r>
    <s v="ORD-00803"/>
    <d v="2025-04-05T00:00:00"/>
    <s v="Customer 031"/>
    <x v="9"/>
    <s v="Technology"/>
    <s v="East"/>
    <n v="5"/>
    <n v="0.1"/>
    <n v="5400"/>
    <n v="1047.1400000000001"/>
    <s v="Technology"/>
  </r>
  <r>
    <s v="ORD-00804"/>
    <d v="2025-02-02T00:00:00"/>
    <s v="Customer 088"/>
    <x v="5"/>
    <s v="Technology"/>
    <s v="West"/>
    <n v="5"/>
    <n v="0.15"/>
    <n v="1360"/>
    <n v="526.79"/>
    <s v="Technology"/>
  </r>
  <r>
    <s v="ORD-00805"/>
    <d v="2025-10-10T00:00:00"/>
    <s v="Customer 083"/>
    <x v="3"/>
    <s v="Furniture"/>
    <s v="East"/>
    <n v="5"/>
    <n v="0.1"/>
    <n v="1260"/>
    <n v="432.86"/>
    <s v="Furniture"/>
  </r>
  <r>
    <s v="ORD-00806"/>
    <d v="2025-02-26T00:00:00"/>
    <s v="Customer 017"/>
    <x v="0"/>
    <s v="Technology"/>
    <s v="South"/>
    <n v="5"/>
    <n v="0"/>
    <n v="175"/>
    <n v="76.22"/>
    <s v="Technology"/>
  </r>
  <r>
    <s v="ORD-00807"/>
    <d v="2025-01-17T00:00:00"/>
    <s v="Customer 005"/>
    <x v="2"/>
    <s v="Furniture"/>
    <s v="West"/>
    <n v="1"/>
    <n v="0.15"/>
    <n v="46.75"/>
    <n v="18.079999999999998"/>
    <s v="Furniture"/>
  </r>
  <r>
    <s v="ORD-00808"/>
    <d v="2025-12-03T00:00:00"/>
    <s v="Customer 033"/>
    <x v="6"/>
    <s v="Office Supplies"/>
    <s v="North"/>
    <n v="5"/>
    <n v="0.2"/>
    <n v="72"/>
    <n v="15.74"/>
    <s v="Office Supplies"/>
  </r>
  <r>
    <s v="ORD-00809"/>
    <d v="2025-07-07T00:00:00"/>
    <s v="Customer 027"/>
    <x v="2"/>
    <s v="Furniture"/>
    <s v="West"/>
    <n v="5"/>
    <n v="0"/>
    <n v="275"/>
    <n v="122.56"/>
    <s v="Furniture"/>
  </r>
  <r>
    <s v="ORD-00810"/>
    <d v="2025-02-10T00:00:00"/>
    <s v="Customer 054"/>
    <x v="6"/>
    <s v="Office Supplies"/>
    <s v="East"/>
    <n v="1"/>
    <n v="0.1"/>
    <n v="16.2"/>
    <n v="4.3099999999999996"/>
    <s v="Office Supplies"/>
  </r>
  <r>
    <s v="ORD-00811"/>
    <d v="2025-12-29T00:00:00"/>
    <s v="Customer 094"/>
    <x v="9"/>
    <s v="Technology"/>
    <s v="North"/>
    <n v="5"/>
    <n v="0.1"/>
    <n v="5400"/>
    <n v="1487.28"/>
    <s v="Technology"/>
  </r>
  <r>
    <s v="ORD-00812"/>
    <d v="2025-06-05T00:00:00"/>
    <s v="Customer 093"/>
    <x v="0"/>
    <s v="Technology"/>
    <s v="South"/>
    <n v="2"/>
    <n v="0.2"/>
    <n v="56"/>
    <n v="23.41"/>
    <s v="Technology"/>
  </r>
  <r>
    <s v="ORD-00813"/>
    <d v="2025-09-30T00:00:00"/>
    <s v="Customer 032"/>
    <x v="11"/>
    <s v="Furniture"/>
    <s v="South"/>
    <n v="2"/>
    <n v="0.05"/>
    <n v="361"/>
    <n v="99.76"/>
    <s v="Furniture"/>
  </r>
  <r>
    <s v="ORD-00814"/>
    <d v="2025-10-13T00:00:00"/>
    <s v="Customer 099"/>
    <x v="1"/>
    <s v="Furniture"/>
    <s v="East"/>
    <n v="5"/>
    <n v="0.15"/>
    <n v="892.5"/>
    <n v="181.88"/>
    <s v="Furniture"/>
  </r>
  <r>
    <s v="ORD-00815"/>
    <d v="2025-12-12T00:00:00"/>
    <s v="Customer 024"/>
    <x v="6"/>
    <s v="Office Supplies"/>
    <s v="West"/>
    <n v="4"/>
    <n v="0"/>
    <n v="72"/>
    <n v="28.44"/>
    <s v="Office Supplies"/>
  </r>
  <r>
    <s v="ORD-00816"/>
    <d v="2025-09-16T00:00:00"/>
    <s v="Customer 057"/>
    <x v="7"/>
    <s v="Technology"/>
    <s v="East"/>
    <n v="2"/>
    <n v="0.2"/>
    <n v="112"/>
    <n v="13.5"/>
    <s v="Technology"/>
  </r>
  <r>
    <s v="ORD-00817"/>
    <d v="2025-06-11T00:00:00"/>
    <s v="Customer 082"/>
    <x v="8"/>
    <s v="Office Supplies"/>
    <s v="West"/>
    <n v="3"/>
    <n v="0.1"/>
    <n v="648"/>
    <n v="203.42"/>
    <s v="Office Supplies"/>
  </r>
  <r>
    <s v="ORD-00818"/>
    <d v="2025-06-15T00:00:00"/>
    <s v="Customer 049"/>
    <x v="10"/>
    <s v="Office Supplies"/>
    <s v="East"/>
    <n v="2"/>
    <n v="0.2"/>
    <n v="40"/>
    <n v="10.8"/>
    <s v="Office Supplies"/>
  </r>
  <r>
    <s v="ORD-00819"/>
    <d v="2025-07-04T00:00:00"/>
    <s v="Customer 005"/>
    <x v="6"/>
    <s v="Office Supplies"/>
    <s v="East"/>
    <n v="4"/>
    <n v="0.15"/>
    <n v="61.2"/>
    <n v="27.54"/>
    <s v="Office Supplies"/>
  </r>
  <r>
    <s v="ORD-00820"/>
    <d v="2025-11-02T00:00:00"/>
    <s v="Customer 039"/>
    <x v="9"/>
    <s v="Technology"/>
    <s v="North"/>
    <n v="5"/>
    <n v="0.05"/>
    <n v="5700"/>
    <n v="696.39"/>
    <s v="Technology"/>
  </r>
  <r>
    <s v="ORD-00821"/>
    <d v="2025-06-03T00:00:00"/>
    <s v="Customer 089"/>
    <x v="2"/>
    <s v="Furniture"/>
    <s v="East"/>
    <n v="2"/>
    <n v="0.1"/>
    <n v="99"/>
    <n v="43.84"/>
    <s v="Furniture"/>
  </r>
  <r>
    <s v="ORD-00822"/>
    <d v="2025-10-11T00:00:00"/>
    <s v="Customer 020"/>
    <x v="8"/>
    <s v="Office Supplies"/>
    <s v="North"/>
    <n v="5"/>
    <n v="0.2"/>
    <n v="960"/>
    <n v="138.66999999999999"/>
    <s v="Office Supplies"/>
  </r>
  <r>
    <s v="ORD-00823"/>
    <d v="2025-01-20T00:00:00"/>
    <s v="Customer 047"/>
    <x v="6"/>
    <s v="Office Supplies"/>
    <s v="South"/>
    <n v="3"/>
    <n v="0.05"/>
    <n v="51.3"/>
    <n v="20.74"/>
    <s v="Office Supplies"/>
  </r>
  <r>
    <s v="ORD-00824"/>
    <d v="2025-04-30T00:00:00"/>
    <s v="Customer 073"/>
    <x v="4"/>
    <s v="Technology"/>
    <s v="South"/>
    <n v="3"/>
    <n v="0"/>
    <n v="2550"/>
    <n v="667.44"/>
    <s v="Technology"/>
  </r>
  <r>
    <s v="ORD-00825"/>
    <d v="2025-02-09T00:00:00"/>
    <s v="Customer 089"/>
    <x v="1"/>
    <s v="Furniture"/>
    <s v="North"/>
    <n v="3"/>
    <n v="0.15"/>
    <n v="535.5"/>
    <n v="210.42"/>
    <s v="Furniture"/>
  </r>
  <r>
    <s v="ORD-00826"/>
    <d v="2025-11-01T00:00:00"/>
    <s v="Customer 074"/>
    <x v="5"/>
    <s v="Technology"/>
    <s v="West"/>
    <n v="3"/>
    <n v="0"/>
    <n v="960"/>
    <n v="200.49"/>
    <s v="Technology"/>
  </r>
  <r>
    <s v="ORD-00827"/>
    <d v="2025-02-10T00:00:00"/>
    <s v="Customer 056"/>
    <x v="9"/>
    <s v="Technology"/>
    <s v="West"/>
    <n v="3"/>
    <n v="0.1"/>
    <n v="3240"/>
    <n v="517.33000000000004"/>
    <s v="Technology"/>
  </r>
  <r>
    <s v="ORD-00828"/>
    <d v="2025-03-03T00:00:00"/>
    <s v="Customer 081"/>
    <x v="2"/>
    <s v="Furniture"/>
    <s v="West"/>
    <n v="5"/>
    <n v="0"/>
    <n v="275"/>
    <n v="66.22"/>
    <s v="Furniture"/>
  </r>
  <r>
    <s v="ORD-00829"/>
    <d v="2025-01-28T00:00:00"/>
    <s v="Customer 073"/>
    <x v="4"/>
    <s v="Technology"/>
    <s v="South"/>
    <n v="5"/>
    <n v="0"/>
    <n v="4250"/>
    <n v="1464.66"/>
    <s v="Technology"/>
  </r>
  <r>
    <s v="ORD-00830"/>
    <d v="2025-06-17T00:00:00"/>
    <s v="Customer 094"/>
    <x v="8"/>
    <s v="Office Supplies"/>
    <s v="West"/>
    <n v="2"/>
    <n v="0.05"/>
    <n v="456"/>
    <n v="197.6"/>
    <s v="Office Supplies"/>
  </r>
  <r>
    <s v="ORD-00831"/>
    <d v="2025-08-17T00:00:00"/>
    <s v="Customer 056"/>
    <x v="10"/>
    <s v="Office Supplies"/>
    <s v="East"/>
    <n v="5"/>
    <n v="0.2"/>
    <n v="100"/>
    <n v="42.03"/>
    <s v="Office Supplies"/>
  </r>
  <r>
    <s v="ORD-00832"/>
    <d v="2025-07-21T00:00:00"/>
    <s v="Customer 074"/>
    <x v="3"/>
    <s v="Furniture"/>
    <s v="North"/>
    <n v="2"/>
    <n v="0.1"/>
    <n v="504"/>
    <n v="213.07"/>
    <s v="Furniture"/>
  </r>
  <r>
    <s v="ORD-00833"/>
    <d v="2025-10-08T00:00:00"/>
    <s v="Customer 056"/>
    <x v="11"/>
    <s v="Furniture"/>
    <s v="South"/>
    <n v="3"/>
    <n v="0"/>
    <n v="570"/>
    <n v="181.54"/>
    <s v="Furniture"/>
  </r>
  <r>
    <s v="ORD-00834"/>
    <d v="2025-03-11T00:00:00"/>
    <s v="Customer 084"/>
    <x v="6"/>
    <s v="Office Supplies"/>
    <s v="South"/>
    <n v="5"/>
    <n v="0.05"/>
    <n v="85.5"/>
    <n v="24.71"/>
    <s v="Office Supplies"/>
  </r>
  <r>
    <s v="ORD-00835"/>
    <d v="2025-10-15T00:00:00"/>
    <s v="Customer 035"/>
    <x v="10"/>
    <s v="Office Supplies"/>
    <s v="West"/>
    <n v="5"/>
    <n v="0.05"/>
    <n v="118.75"/>
    <n v="43.94"/>
    <s v="Office Supplies"/>
  </r>
  <r>
    <s v="ORD-00836"/>
    <d v="2025-06-15T00:00:00"/>
    <s v="Customer 053"/>
    <x v="5"/>
    <s v="Technology"/>
    <s v="West"/>
    <n v="5"/>
    <n v="0"/>
    <n v="1600"/>
    <n v="660.58"/>
    <s v="Technology"/>
  </r>
  <r>
    <s v="ORD-00837"/>
    <d v="2025-07-07T00:00:00"/>
    <s v="Customer 084"/>
    <x v="7"/>
    <s v="Technology"/>
    <s v="North"/>
    <n v="2"/>
    <n v="0.1"/>
    <n v="126"/>
    <n v="42.37"/>
    <s v="Technology"/>
  </r>
  <r>
    <s v="ORD-00838"/>
    <d v="2025-06-06T00:00:00"/>
    <s v="Customer 057"/>
    <x v="3"/>
    <s v="Furniture"/>
    <s v="South"/>
    <n v="3"/>
    <n v="0.2"/>
    <n v="672"/>
    <n v="120.21"/>
    <s v="Furniture"/>
  </r>
  <r>
    <s v="ORD-00839"/>
    <d v="2025-08-14T00:00:00"/>
    <s v="Customer 020"/>
    <x v="9"/>
    <s v="Technology"/>
    <s v="North"/>
    <n v="2"/>
    <n v="0.05"/>
    <n v="2280"/>
    <n v="510.34"/>
    <s v="Technology"/>
  </r>
  <r>
    <s v="ORD-00840"/>
    <d v="2025-02-27T00:00:00"/>
    <s v="Customer 019"/>
    <x v="1"/>
    <s v="Furniture"/>
    <s v="East"/>
    <n v="1"/>
    <n v="0.05"/>
    <n v="199.5"/>
    <n v="27.3"/>
    <s v="Furniture"/>
  </r>
  <r>
    <s v="ORD-00841"/>
    <d v="2025-01-08T00:00:00"/>
    <s v="Customer 003"/>
    <x v="7"/>
    <s v="Technology"/>
    <s v="East"/>
    <n v="1"/>
    <n v="0.1"/>
    <n v="63"/>
    <n v="18.989999999999998"/>
    <s v="Technology"/>
  </r>
  <r>
    <s v="ORD-00842"/>
    <d v="2025-04-18T00:00:00"/>
    <s v="Customer 067"/>
    <x v="1"/>
    <s v="Furniture"/>
    <s v="East"/>
    <n v="5"/>
    <n v="0.05"/>
    <n v="997.5"/>
    <n v="381.79"/>
    <s v="Furniture"/>
  </r>
  <r>
    <s v="ORD-00843"/>
    <d v="2025-10-08T00:00:00"/>
    <s v="Customer 086"/>
    <x v="6"/>
    <s v="Office Supplies"/>
    <s v="North"/>
    <n v="5"/>
    <n v="0.05"/>
    <n v="85.5"/>
    <n v="18.86"/>
    <s v="Office Supplies"/>
  </r>
  <r>
    <s v="ORD-00844"/>
    <d v="2025-07-12T00:00:00"/>
    <s v="Customer 008"/>
    <x v="10"/>
    <s v="Office Supplies"/>
    <s v="East"/>
    <n v="5"/>
    <n v="0"/>
    <n v="125"/>
    <n v="45.71"/>
    <s v="Office Supplies"/>
  </r>
  <r>
    <s v="ORD-00845"/>
    <d v="2025-04-13T00:00:00"/>
    <s v="Customer 084"/>
    <x v="1"/>
    <s v="Furniture"/>
    <s v="North"/>
    <n v="5"/>
    <n v="0.1"/>
    <n v="945"/>
    <n v="408.7"/>
    <s v="Furniture"/>
  </r>
  <r>
    <s v="ORD-00846"/>
    <d v="2025-02-04T00:00:00"/>
    <s v="Customer 003"/>
    <x v="11"/>
    <s v="Furniture"/>
    <s v="East"/>
    <n v="3"/>
    <n v="0.1"/>
    <n v="513"/>
    <n v="84.54"/>
    <s v="Furniture"/>
  </r>
  <r>
    <s v="ORD-00847"/>
    <d v="2025-11-29T00:00:00"/>
    <s v="Customer 091"/>
    <x v="11"/>
    <s v="Furniture"/>
    <s v="North"/>
    <n v="2"/>
    <n v="0.15"/>
    <n v="323"/>
    <n v="91.14"/>
    <s v="Furniture"/>
  </r>
  <r>
    <s v="ORD-00848"/>
    <d v="2025-06-11T00:00:00"/>
    <s v="Customer 026"/>
    <x v="6"/>
    <s v="Office Supplies"/>
    <s v="West"/>
    <n v="5"/>
    <n v="0.2"/>
    <n v="72"/>
    <n v="30.31"/>
    <s v="Office Supplies"/>
  </r>
  <r>
    <s v="ORD-00849"/>
    <d v="2025-10-15T00:00:00"/>
    <s v="Customer 068"/>
    <x v="1"/>
    <s v="Furniture"/>
    <s v="East"/>
    <n v="1"/>
    <n v="0"/>
    <n v="210"/>
    <n v="77.36"/>
    <s v="Furniture"/>
  </r>
  <r>
    <s v="ORD-00850"/>
    <d v="2025-06-20T00:00:00"/>
    <s v="Customer 088"/>
    <x v="6"/>
    <s v="Office Supplies"/>
    <s v="East"/>
    <n v="4"/>
    <n v="0.05"/>
    <n v="68.400000000000006"/>
    <n v="30.37"/>
    <s v="Office Supplies"/>
  </r>
  <r>
    <s v="ORD-00851"/>
    <d v="2025-07-01T00:00:00"/>
    <s v="Customer 065"/>
    <x v="5"/>
    <s v="Technology"/>
    <s v="East"/>
    <n v="3"/>
    <n v="0.05"/>
    <n v="912"/>
    <n v="110.65"/>
    <s v="Technology"/>
  </r>
  <r>
    <s v="ORD-00852"/>
    <d v="2025-02-01T00:00:00"/>
    <s v="Customer 004"/>
    <x v="5"/>
    <s v="Technology"/>
    <s v="East"/>
    <n v="3"/>
    <n v="0.15"/>
    <n v="816"/>
    <n v="127.43"/>
    <s v="Technology"/>
  </r>
  <r>
    <s v="ORD-00853"/>
    <d v="2025-04-26T00:00:00"/>
    <s v="Customer 012"/>
    <x v="3"/>
    <s v="Furniture"/>
    <s v="West"/>
    <n v="3"/>
    <n v="0.15"/>
    <n v="714"/>
    <n v="166.51"/>
    <s v="Furniture"/>
  </r>
  <r>
    <s v="ORD-00854"/>
    <d v="2025-09-24T00:00:00"/>
    <s v="Customer 074"/>
    <x v="5"/>
    <s v="Technology"/>
    <s v="South"/>
    <n v="5"/>
    <n v="0.05"/>
    <n v="1520"/>
    <n v="474.67"/>
    <s v="Technology"/>
  </r>
  <r>
    <s v="ORD-00855"/>
    <d v="2025-08-07T00:00:00"/>
    <s v="Customer 017"/>
    <x v="4"/>
    <s v="Technology"/>
    <s v="South"/>
    <n v="5"/>
    <n v="0.1"/>
    <n v="3825"/>
    <n v="1154.29"/>
    <s v="Technology"/>
  </r>
  <r>
    <s v="ORD-00856"/>
    <d v="2025-12-01T00:00:00"/>
    <s v="Customer 026"/>
    <x v="3"/>
    <s v="Furniture"/>
    <s v="South"/>
    <n v="5"/>
    <n v="0.2"/>
    <n v="1120"/>
    <n v="251.18"/>
    <s v="Furniture"/>
  </r>
  <r>
    <s v="ORD-00857"/>
    <d v="2025-06-08T00:00:00"/>
    <s v="Customer 099"/>
    <x v="1"/>
    <s v="Furniture"/>
    <s v="South"/>
    <n v="5"/>
    <n v="0.05"/>
    <n v="997.5"/>
    <n v="307.31"/>
    <s v="Furniture"/>
  </r>
  <r>
    <s v="ORD-00858"/>
    <d v="2025-12-02T00:00:00"/>
    <s v="Customer 069"/>
    <x v="10"/>
    <s v="Office Supplies"/>
    <s v="North"/>
    <n v="2"/>
    <n v="0.1"/>
    <n v="45"/>
    <n v="19.239999999999998"/>
    <s v="Office Supplies"/>
  </r>
  <r>
    <s v="ORD-00859"/>
    <d v="2025-04-05T00:00:00"/>
    <s v="Customer 053"/>
    <x v="7"/>
    <s v="Technology"/>
    <s v="West"/>
    <n v="2"/>
    <n v="0"/>
    <n v="140"/>
    <n v="27.64"/>
    <s v="Technology"/>
  </r>
  <r>
    <s v="ORD-00860"/>
    <d v="2025-06-05T00:00:00"/>
    <s v="Customer 014"/>
    <x v="6"/>
    <s v="Office Supplies"/>
    <s v="South"/>
    <n v="3"/>
    <n v="0.05"/>
    <n v="51.3"/>
    <n v="9.9"/>
    <s v="Office Supplies"/>
  </r>
  <r>
    <s v="ORD-00861"/>
    <d v="2025-04-05T00:00:00"/>
    <s v="Customer 073"/>
    <x v="9"/>
    <s v="Technology"/>
    <s v="South"/>
    <n v="5"/>
    <n v="0.2"/>
    <n v="4800"/>
    <n v="1737.29"/>
    <s v="Technology"/>
  </r>
  <r>
    <s v="ORD-00862"/>
    <d v="2025-11-02T00:00:00"/>
    <s v="Customer 089"/>
    <x v="2"/>
    <s v="Furniture"/>
    <s v="West"/>
    <n v="2"/>
    <n v="0"/>
    <n v="110"/>
    <n v="36.46"/>
    <s v="Furniture"/>
  </r>
  <r>
    <s v="ORD-00863"/>
    <d v="2025-03-10T00:00:00"/>
    <s v="Customer 048"/>
    <x v="8"/>
    <s v="Office Supplies"/>
    <s v="South"/>
    <n v="5"/>
    <n v="0.15"/>
    <n v="1020"/>
    <n v="219.33"/>
    <s v="Office Supplies"/>
  </r>
  <r>
    <s v="ORD-00864"/>
    <d v="2025-07-18T00:00:00"/>
    <s v="Customer 029"/>
    <x v="6"/>
    <s v="Office Supplies"/>
    <s v="North"/>
    <n v="4"/>
    <n v="0.05"/>
    <n v="68.400000000000006"/>
    <n v="27.08"/>
    <s v="Office Supplies"/>
  </r>
  <r>
    <s v="ORD-00865"/>
    <d v="2025-07-29T00:00:00"/>
    <s v="Customer 086"/>
    <x v="9"/>
    <s v="Technology"/>
    <s v="South"/>
    <n v="3"/>
    <n v="0.15"/>
    <n v="3060"/>
    <n v="1152.26"/>
    <s v="Technology"/>
  </r>
  <r>
    <s v="ORD-00866"/>
    <d v="2025-04-15T00:00:00"/>
    <s v="Customer 063"/>
    <x v="0"/>
    <s v="Technology"/>
    <s v="East"/>
    <n v="2"/>
    <n v="0.15"/>
    <n v="59.5"/>
    <n v="9.75"/>
    <s v="Technology"/>
  </r>
  <r>
    <s v="ORD-00867"/>
    <d v="2025-08-23T00:00:00"/>
    <s v="Customer 078"/>
    <x v="2"/>
    <s v="Furniture"/>
    <s v="West"/>
    <n v="4"/>
    <n v="0.15"/>
    <n v="187"/>
    <n v="36.25"/>
    <s v="Furniture"/>
  </r>
  <r>
    <s v="ORD-00868"/>
    <d v="2025-06-10T00:00:00"/>
    <s v="Customer 068"/>
    <x v="11"/>
    <s v="Furniture"/>
    <s v="North"/>
    <n v="5"/>
    <n v="0.2"/>
    <n v="760"/>
    <n v="193.07"/>
    <s v="Furniture"/>
  </r>
  <r>
    <s v="ORD-00869"/>
    <d v="2025-09-24T00:00:00"/>
    <s v="Customer 006"/>
    <x v="0"/>
    <s v="Technology"/>
    <s v="South"/>
    <n v="4"/>
    <n v="0.15"/>
    <n v="119"/>
    <n v="21.07"/>
    <s v="Technology"/>
  </r>
  <r>
    <s v="ORD-00870"/>
    <d v="2025-09-23T00:00:00"/>
    <s v="Customer 067"/>
    <x v="8"/>
    <s v="Office Supplies"/>
    <s v="North"/>
    <n v="4"/>
    <n v="0"/>
    <n v="960"/>
    <n v="255.32"/>
    <s v="Office Supplies"/>
  </r>
  <r>
    <s v="ORD-00871"/>
    <d v="2025-04-08T00:00:00"/>
    <s v="Customer 100"/>
    <x v="4"/>
    <s v="Technology"/>
    <s v="East"/>
    <n v="4"/>
    <n v="0.15"/>
    <n v="2890"/>
    <n v="457.05"/>
    <s v="Technology"/>
  </r>
  <r>
    <s v="ORD-00872"/>
    <d v="2025-08-25T00:00:00"/>
    <s v="Customer 007"/>
    <x v="3"/>
    <s v="Furniture"/>
    <s v="South"/>
    <n v="4"/>
    <n v="0.1"/>
    <n v="1008"/>
    <n v="249.65"/>
    <s v="Furniture"/>
  </r>
  <r>
    <s v="ORD-00873"/>
    <d v="2025-08-26T00:00:00"/>
    <s v="Customer 015"/>
    <x v="5"/>
    <s v="Technology"/>
    <s v="South"/>
    <n v="4"/>
    <n v="0"/>
    <n v="1280"/>
    <n v="270.75"/>
    <s v="Technology"/>
  </r>
  <r>
    <s v="ORD-00874"/>
    <d v="2025-10-27T00:00:00"/>
    <s v="Customer 042"/>
    <x v="1"/>
    <s v="Furniture"/>
    <s v="West"/>
    <n v="5"/>
    <n v="0.05"/>
    <n v="997.5"/>
    <n v="319.49"/>
    <s v="Furniture"/>
  </r>
  <r>
    <s v="ORD-00875"/>
    <d v="2025-01-13T00:00:00"/>
    <s v="Customer 026"/>
    <x v="3"/>
    <s v="Furniture"/>
    <s v="West"/>
    <n v="4"/>
    <n v="0.2"/>
    <n v="896"/>
    <n v="138.09"/>
    <s v="Furniture"/>
  </r>
  <r>
    <s v="ORD-00876"/>
    <d v="2025-02-16T00:00:00"/>
    <s v="Customer 016"/>
    <x v="4"/>
    <s v="Technology"/>
    <s v="North"/>
    <n v="3"/>
    <n v="0.05"/>
    <n v="2422.5"/>
    <n v="515.84"/>
    <s v="Technology"/>
  </r>
  <r>
    <s v="ORD-00877"/>
    <d v="2025-02-28T00:00:00"/>
    <s v="Customer 091"/>
    <x v="1"/>
    <s v="Furniture"/>
    <s v="West"/>
    <n v="4"/>
    <n v="0.1"/>
    <n v="756"/>
    <n v="318.92"/>
    <s v="Furniture"/>
  </r>
  <r>
    <s v="ORD-00878"/>
    <d v="2025-09-19T00:00:00"/>
    <s v="Customer 006"/>
    <x v="10"/>
    <s v="Office Supplies"/>
    <s v="South"/>
    <n v="2"/>
    <n v="0.15"/>
    <n v="42.5"/>
    <n v="11.41"/>
    <s v="Office Supplies"/>
  </r>
  <r>
    <s v="ORD-00879"/>
    <d v="2025-06-21T00:00:00"/>
    <s v="Customer 023"/>
    <x v="10"/>
    <s v="Office Supplies"/>
    <s v="North"/>
    <n v="2"/>
    <n v="0.05"/>
    <n v="47.5"/>
    <n v="7.76"/>
    <s v="Office Supplies"/>
  </r>
  <r>
    <s v="ORD-00880"/>
    <d v="2025-08-03T00:00:00"/>
    <s v="Customer 024"/>
    <x v="4"/>
    <s v="Technology"/>
    <s v="North"/>
    <n v="3"/>
    <n v="0.15"/>
    <n v="2167.5"/>
    <n v="768.82"/>
    <s v="Technology"/>
  </r>
  <r>
    <s v="ORD-00881"/>
    <d v="2025-03-09T00:00:00"/>
    <s v="Customer 002"/>
    <x v="2"/>
    <s v="Furniture"/>
    <s v="West"/>
    <n v="1"/>
    <n v="0.2"/>
    <n v="44"/>
    <n v="8.69"/>
    <s v="Furniture"/>
  </r>
  <r>
    <s v="ORD-00882"/>
    <d v="2025-09-12T00:00:00"/>
    <s v="Customer 064"/>
    <x v="6"/>
    <s v="Office Supplies"/>
    <s v="South"/>
    <n v="5"/>
    <n v="0"/>
    <n v="90"/>
    <n v="22.44"/>
    <s v="Office Supplies"/>
  </r>
  <r>
    <s v="ORD-00883"/>
    <d v="2025-04-22T00:00:00"/>
    <s v="Customer 011"/>
    <x v="10"/>
    <s v="Office Supplies"/>
    <s v="North"/>
    <n v="4"/>
    <n v="0.15"/>
    <n v="85"/>
    <n v="26.75"/>
    <s v="Office Supplies"/>
  </r>
  <r>
    <s v="ORD-00884"/>
    <d v="2025-05-06T00:00:00"/>
    <s v="Customer 027"/>
    <x v="8"/>
    <s v="Office Supplies"/>
    <s v="North"/>
    <n v="3"/>
    <n v="0.2"/>
    <n v="576"/>
    <n v="139.71"/>
    <s v="Office Supplies"/>
  </r>
  <r>
    <s v="ORD-00885"/>
    <d v="2025-04-05T00:00:00"/>
    <s v="Customer 005"/>
    <x v="3"/>
    <s v="Furniture"/>
    <s v="East"/>
    <n v="1"/>
    <n v="0.1"/>
    <n v="252"/>
    <n v="110.35"/>
    <s v="Furniture"/>
  </r>
  <r>
    <s v="ORD-00886"/>
    <d v="2025-06-19T00:00:00"/>
    <s v="Customer 023"/>
    <x v="0"/>
    <s v="Technology"/>
    <s v="South"/>
    <n v="1"/>
    <n v="0"/>
    <n v="35"/>
    <n v="10.93"/>
    <s v="Technology"/>
  </r>
  <r>
    <s v="ORD-00887"/>
    <d v="2025-12-11T00:00:00"/>
    <s v="Customer 072"/>
    <x v="4"/>
    <s v="Technology"/>
    <s v="South"/>
    <n v="5"/>
    <n v="0.2"/>
    <n v="3400"/>
    <n v="887.9"/>
    <s v="Technology"/>
  </r>
  <r>
    <s v="ORD-00888"/>
    <d v="2025-08-22T00:00:00"/>
    <s v="Customer 012"/>
    <x v="1"/>
    <s v="Furniture"/>
    <s v="East"/>
    <n v="5"/>
    <n v="0.1"/>
    <n v="945"/>
    <n v="134.77000000000001"/>
    <s v="Furniture"/>
  </r>
  <r>
    <s v="ORD-00889"/>
    <d v="2025-06-15T00:00:00"/>
    <s v="Customer 071"/>
    <x v="7"/>
    <s v="Technology"/>
    <s v="North"/>
    <n v="4"/>
    <n v="0"/>
    <n v="280"/>
    <n v="55.92"/>
    <s v="Technology"/>
  </r>
  <r>
    <s v="ORD-00890"/>
    <d v="2025-05-30T00:00:00"/>
    <s v="Customer 036"/>
    <x v="6"/>
    <s v="Office Supplies"/>
    <s v="East"/>
    <n v="2"/>
    <n v="0"/>
    <n v="36"/>
    <n v="7.95"/>
    <s v="Office Supplies"/>
  </r>
  <r>
    <s v="ORD-00891"/>
    <d v="2025-09-27T00:00:00"/>
    <s v="Customer 079"/>
    <x v="11"/>
    <s v="Furniture"/>
    <s v="North"/>
    <n v="5"/>
    <n v="0.05"/>
    <n v="902.5"/>
    <n v="198.89"/>
    <s v="Furniture"/>
  </r>
  <r>
    <s v="ORD-00892"/>
    <d v="2025-02-25T00:00:00"/>
    <s v="Customer 089"/>
    <x v="10"/>
    <s v="Office Supplies"/>
    <s v="East"/>
    <n v="5"/>
    <n v="0"/>
    <n v="125"/>
    <n v="36.299999999999997"/>
    <s v="Office Supplies"/>
  </r>
  <r>
    <s v="ORD-00893"/>
    <d v="2025-08-07T00:00:00"/>
    <s v="Customer 080"/>
    <x v="10"/>
    <s v="Office Supplies"/>
    <s v="East"/>
    <n v="3"/>
    <n v="0.1"/>
    <n v="67.5"/>
    <n v="18.670000000000002"/>
    <s v="Office Supplies"/>
  </r>
  <r>
    <s v="ORD-00894"/>
    <d v="2025-03-08T00:00:00"/>
    <s v="Customer 081"/>
    <x v="10"/>
    <s v="Office Supplies"/>
    <s v="West"/>
    <n v="5"/>
    <n v="0.15"/>
    <n v="106.25"/>
    <n v="29.59"/>
    <s v="Office Supplies"/>
  </r>
  <r>
    <s v="ORD-00895"/>
    <d v="2025-09-10T00:00:00"/>
    <s v="Customer 025"/>
    <x v="3"/>
    <s v="Furniture"/>
    <s v="North"/>
    <n v="5"/>
    <n v="0.05"/>
    <n v="1330"/>
    <n v="287.5"/>
    <s v="Furniture"/>
  </r>
  <r>
    <s v="ORD-00896"/>
    <d v="2025-03-02T00:00:00"/>
    <s v="Customer 027"/>
    <x v="9"/>
    <s v="Technology"/>
    <s v="West"/>
    <n v="4"/>
    <n v="0"/>
    <n v="4800"/>
    <n v="991.85"/>
    <s v="Technology"/>
  </r>
  <r>
    <s v="ORD-00897"/>
    <d v="2025-07-31T00:00:00"/>
    <s v="Customer 082"/>
    <x v="9"/>
    <s v="Technology"/>
    <s v="South"/>
    <n v="3"/>
    <n v="0.1"/>
    <n v="3240"/>
    <n v="858.8"/>
    <s v="Technology"/>
  </r>
  <r>
    <s v="ORD-00898"/>
    <d v="2025-01-06T00:00:00"/>
    <s v="Customer 009"/>
    <x v="5"/>
    <s v="Technology"/>
    <s v="East"/>
    <n v="2"/>
    <n v="0.1"/>
    <n v="576"/>
    <n v="210.84"/>
    <s v="Technology"/>
  </r>
  <r>
    <s v="ORD-00899"/>
    <d v="2025-06-03T00:00:00"/>
    <s v="Customer 015"/>
    <x v="8"/>
    <s v="Office Supplies"/>
    <s v="East"/>
    <n v="5"/>
    <n v="0.1"/>
    <n v="1080"/>
    <n v="212.63"/>
    <s v="Office Supplies"/>
  </r>
  <r>
    <s v="ORD-00900"/>
    <d v="2025-06-24T00:00:00"/>
    <s v="Customer 023"/>
    <x v="11"/>
    <s v="Furniture"/>
    <s v="South"/>
    <n v="5"/>
    <n v="0.2"/>
    <n v="760"/>
    <n v="101.2"/>
    <s v="Furniture"/>
  </r>
  <r>
    <s v="ORD-00901"/>
    <d v="2025-06-19T00:00:00"/>
    <s v="Customer 083"/>
    <x v="7"/>
    <s v="Technology"/>
    <s v="South"/>
    <n v="4"/>
    <n v="0.15"/>
    <n v="238"/>
    <n v="44.48"/>
    <s v="Technology"/>
  </r>
  <r>
    <s v="ORD-00902"/>
    <d v="2025-09-04T00:00:00"/>
    <s v="Customer 060"/>
    <x v="3"/>
    <s v="Furniture"/>
    <s v="West"/>
    <n v="4"/>
    <n v="0.2"/>
    <n v="896"/>
    <n v="138.29"/>
    <s v="Furniture"/>
  </r>
  <r>
    <s v="ORD-00903"/>
    <d v="2025-01-29T00:00:00"/>
    <s v="Customer 041"/>
    <x v="8"/>
    <s v="Office Supplies"/>
    <s v="North"/>
    <n v="3"/>
    <n v="0.2"/>
    <n v="576"/>
    <n v="121.4"/>
    <s v="Office Supplies"/>
  </r>
  <r>
    <s v="ORD-00904"/>
    <d v="2025-04-17T00:00:00"/>
    <s v="Customer 020"/>
    <x v="10"/>
    <s v="Office Supplies"/>
    <s v="East"/>
    <n v="3"/>
    <n v="0.1"/>
    <n v="67.5"/>
    <n v="28.9"/>
    <s v="Office Supplies"/>
  </r>
  <r>
    <s v="ORD-00905"/>
    <d v="2025-01-16T00:00:00"/>
    <s v="Customer 074"/>
    <x v="7"/>
    <s v="Technology"/>
    <s v="West"/>
    <n v="4"/>
    <n v="0.2"/>
    <n v="224"/>
    <n v="38.53"/>
    <s v="Technology"/>
  </r>
  <r>
    <s v="ORD-00906"/>
    <d v="2025-04-06T00:00:00"/>
    <s v="Customer 041"/>
    <x v="10"/>
    <s v="Office Supplies"/>
    <s v="North"/>
    <n v="1"/>
    <n v="0.1"/>
    <n v="22.5"/>
    <n v="4.8899999999999997"/>
    <s v="Office Supplies"/>
  </r>
  <r>
    <s v="ORD-00907"/>
    <d v="2025-05-20T00:00:00"/>
    <s v="Customer 048"/>
    <x v="11"/>
    <s v="Furniture"/>
    <s v="West"/>
    <n v="1"/>
    <n v="0.15"/>
    <n v="161.5"/>
    <n v="25.93"/>
    <s v="Furniture"/>
  </r>
  <r>
    <s v="ORD-00908"/>
    <d v="2025-06-04T00:00:00"/>
    <s v="Customer 048"/>
    <x v="2"/>
    <s v="Furniture"/>
    <s v="North"/>
    <n v="5"/>
    <n v="0.1"/>
    <n v="247.5"/>
    <n v="97.08"/>
    <s v="Furniture"/>
  </r>
  <r>
    <s v="ORD-00909"/>
    <d v="2025-04-14T00:00:00"/>
    <s v="Customer 062"/>
    <x v="0"/>
    <s v="Technology"/>
    <s v="South"/>
    <n v="4"/>
    <n v="0.2"/>
    <n v="112"/>
    <n v="49.48"/>
    <s v="Technology"/>
  </r>
  <r>
    <s v="ORD-00910"/>
    <d v="2025-04-08T00:00:00"/>
    <s v="Customer 042"/>
    <x v="7"/>
    <s v="Technology"/>
    <s v="South"/>
    <n v="4"/>
    <n v="0.2"/>
    <n v="224"/>
    <n v="77.86"/>
    <s v="Technology"/>
  </r>
  <r>
    <s v="ORD-00911"/>
    <d v="2025-02-20T00:00:00"/>
    <s v="Customer 059"/>
    <x v="8"/>
    <s v="Office Supplies"/>
    <s v="West"/>
    <n v="2"/>
    <n v="0.05"/>
    <n v="456"/>
    <n v="96.17"/>
    <s v="Office Supplies"/>
  </r>
  <r>
    <s v="ORD-00912"/>
    <d v="2025-09-25T00:00:00"/>
    <s v="Customer 088"/>
    <x v="0"/>
    <s v="Technology"/>
    <s v="North"/>
    <n v="1"/>
    <n v="0.1"/>
    <n v="31.5"/>
    <n v="4.4800000000000004"/>
    <s v="Technology"/>
  </r>
  <r>
    <s v="ORD-00913"/>
    <d v="2025-06-20T00:00:00"/>
    <s v="Customer 085"/>
    <x v="6"/>
    <s v="Office Supplies"/>
    <s v="East"/>
    <n v="1"/>
    <n v="0"/>
    <n v="18"/>
    <n v="5.01"/>
    <s v="Office Supplies"/>
  </r>
  <r>
    <s v="ORD-00914"/>
    <d v="2025-01-12T00:00:00"/>
    <s v="Customer 025"/>
    <x v="10"/>
    <s v="Office Supplies"/>
    <s v="East"/>
    <n v="3"/>
    <n v="0.05"/>
    <n v="71.25"/>
    <n v="24.52"/>
    <s v="Office Supplies"/>
  </r>
  <r>
    <s v="ORD-00915"/>
    <d v="2025-05-22T00:00:00"/>
    <s v="Customer 035"/>
    <x v="8"/>
    <s v="Office Supplies"/>
    <s v="South"/>
    <n v="3"/>
    <n v="0.15"/>
    <n v="612"/>
    <n v="139.86000000000001"/>
    <s v="Office Supplies"/>
  </r>
  <r>
    <s v="ORD-00916"/>
    <d v="2025-03-22T00:00:00"/>
    <s v="Customer 072"/>
    <x v="4"/>
    <s v="Technology"/>
    <s v="North"/>
    <n v="1"/>
    <n v="0"/>
    <n v="850"/>
    <n v="113.7"/>
    <s v="Technology"/>
  </r>
  <r>
    <s v="ORD-00917"/>
    <d v="2025-04-16T00:00:00"/>
    <s v="Customer 019"/>
    <x v="8"/>
    <s v="Office Supplies"/>
    <s v="East"/>
    <n v="3"/>
    <n v="0.2"/>
    <n v="576"/>
    <n v="198.66"/>
    <s v="Office Supplies"/>
  </r>
  <r>
    <s v="ORD-00918"/>
    <d v="2025-10-21T00:00:00"/>
    <s v="Customer 044"/>
    <x v="2"/>
    <s v="Furniture"/>
    <s v="West"/>
    <n v="2"/>
    <n v="0"/>
    <n v="110"/>
    <n v="38.200000000000003"/>
    <s v="Furniture"/>
  </r>
  <r>
    <s v="ORD-00919"/>
    <d v="2025-01-26T00:00:00"/>
    <s v="Customer 007"/>
    <x v="3"/>
    <s v="Furniture"/>
    <s v="North"/>
    <n v="1"/>
    <n v="0.15"/>
    <n v="238"/>
    <n v="36.159999999999997"/>
    <s v="Furniture"/>
  </r>
  <r>
    <s v="ORD-00920"/>
    <d v="2025-07-16T00:00:00"/>
    <s v="Customer 091"/>
    <x v="9"/>
    <s v="Technology"/>
    <s v="West"/>
    <n v="1"/>
    <n v="0.15"/>
    <n v="1020"/>
    <n v="327.08"/>
    <s v="Technology"/>
  </r>
  <r>
    <s v="ORD-00921"/>
    <d v="2025-11-12T00:00:00"/>
    <s v="Customer 092"/>
    <x v="7"/>
    <s v="Technology"/>
    <s v="North"/>
    <n v="3"/>
    <n v="0.1"/>
    <n v="189"/>
    <n v="34.07"/>
    <s v="Technology"/>
  </r>
  <r>
    <s v="ORD-00922"/>
    <d v="2025-08-27T00:00:00"/>
    <s v="Customer 090"/>
    <x v="10"/>
    <s v="Office Supplies"/>
    <s v="West"/>
    <n v="2"/>
    <n v="0"/>
    <n v="50"/>
    <n v="9.09"/>
    <s v="Office Supplies"/>
  </r>
  <r>
    <s v="ORD-00923"/>
    <d v="2025-02-19T00:00:00"/>
    <s v="Customer 029"/>
    <x v="6"/>
    <s v="Office Supplies"/>
    <s v="South"/>
    <n v="3"/>
    <n v="0.15"/>
    <n v="45.9"/>
    <n v="13.53"/>
    <s v="Office Supplies"/>
  </r>
  <r>
    <s v="ORD-00924"/>
    <d v="2025-11-12T00:00:00"/>
    <s v="Customer 086"/>
    <x v="4"/>
    <s v="Technology"/>
    <s v="East"/>
    <n v="3"/>
    <n v="0.15"/>
    <n v="2167.5"/>
    <n v="844.23"/>
    <s v="Technology"/>
  </r>
  <r>
    <s v="ORD-00925"/>
    <d v="2025-06-16T00:00:00"/>
    <s v="Customer 015"/>
    <x v="6"/>
    <s v="Office Supplies"/>
    <s v="East"/>
    <n v="4"/>
    <n v="0"/>
    <n v="72"/>
    <n v="30.85"/>
    <s v="Office Supplies"/>
  </r>
  <r>
    <s v="ORD-00926"/>
    <d v="2025-09-03T00:00:00"/>
    <s v="Customer 078"/>
    <x v="6"/>
    <s v="Office Supplies"/>
    <s v="South"/>
    <n v="2"/>
    <n v="0.1"/>
    <n v="32.4"/>
    <n v="6.37"/>
    <s v="Office Supplies"/>
  </r>
  <r>
    <s v="ORD-00927"/>
    <d v="2025-09-18T00:00:00"/>
    <s v="Customer 084"/>
    <x v="0"/>
    <s v="Technology"/>
    <s v="North"/>
    <n v="4"/>
    <n v="0"/>
    <n v="140"/>
    <n v="47.94"/>
    <s v="Technology"/>
  </r>
  <r>
    <s v="ORD-00928"/>
    <d v="2025-06-04T00:00:00"/>
    <s v="Customer 031"/>
    <x v="8"/>
    <s v="Office Supplies"/>
    <s v="South"/>
    <n v="4"/>
    <n v="0.15"/>
    <n v="816"/>
    <n v="208.18"/>
    <s v="Office Supplies"/>
  </r>
  <r>
    <s v="ORD-00929"/>
    <d v="2025-10-08T00:00:00"/>
    <s v="Customer 027"/>
    <x v="3"/>
    <s v="Furniture"/>
    <s v="West"/>
    <n v="4"/>
    <n v="0.15"/>
    <n v="952"/>
    <n v="407.65"/>
    <s v="Furniture"/>
  </r>
  <r>
    <s v="ORD-00930"/>
    <d v="2025-08-11T00:00:00"/>
    <s v="Customer 023"/>
    <x v="10"/>
    <s v="Office Supplies"/>
    <s v="North"/>
    <n v="3"/>
    <n v="0.2"/>
    <n v="60"/>
    <n v="13.26"/>
    <s v="Office Supplies"/>
  </r>
  <r>
    <s v="ORD-00931"/>
    <d v="2025-12-31T00:00:00"/>
    <s v="Customer 060"/>
    <x v="10"/>
    <s v="Office Supplies"/>
    <s v="East"/>
    <n v="4"/>
    <n v="0"/>
    <n v="100"/>
    <n v="25.46"/>
    <s v="Office Supplies"/>
  </r>
  <r>
    <s v="ORD-00932"/>
    <d v="2025-10-12T00:00:00"/>
    <s v="Customer 052"/>
    <x v="0"/>
    <s v="Technology"/>
    <s v="North"/>
    <n v="4"/>
    <n v="0.05"/>
    <n v="133"/>
    <n v="46.33"/>
    <s v="Technology"/>
  </r>
  <r>
    <s v="ORD-00933"/>
    <d v="2025-11-03T00:00:00"/>
    <s v="Customer 083"/>
    <x v="0"/>
    <s v="Technology"/>
    <s v="North"/>
    <n v="5"/>
    <n v="0.15"/>
    <n v="148.75"/>
    <n v="50.87"/>
    <s v="Technology"/>
  </r>
  <r>
    <s v="ORD-00934"/>
    <d v="2025-02-16T00:00:00"/>
    <s v="Customer 082"/>
    <x v="2"/>
    <s v="Furniture"/>
    <s v="North"/>
    <n v="2"/>
    <n v="0.2"/>
    <n v="88"/>
    <n v="13.37"/>
    <s v="Furniture"/>
  </r>
  <r>
    <s v="ORD-00935"/>
    <d v="2025-03-17T00:00:00"/>
    <s v="Customer 050"/>
    <x v="5"/>
    <s v="Technology"/>
    <s v="West"/>
    <n v="2"/>
    <n v="0.15"/>
    <n v="544"/>
    <n v="149.43"/>
    <s v="Technology"/>
  </r>
  <r>
    <s v="ORD-00936"/>
    <d v="2025-04-11T00:00:00"/>
    <s v="Customer 087"/>
    <x v="2"/>
    <s v="Furniture"/>
    <s v="East"/>
    <n v="3"/>
    <n v="0.1"/>
    <n v="148.5"/>
    <n v="38.880000000000003"/>
    <s v="Furniture"/>
  </r>
  <r>
    <s v="ORD-00937"/>
    <d v="2025-08-11T00:00:00"/>
    <s v="Customer 079"/>
    <x v="1"/>
    <s v="Furniture"/>
    <s v="West"/>
    <n v="3"/>
    <n v="0"/>
    <n v="630"/>
    <n v="162.35"/>
    <s v="Furniture"/>
  </r>
  <r>
    <s v="ORD-00938"/>
    <d v="2025-03-07T00:00:00"/>
    <s v="Customer 007"/>
    <x v="4"/>
    <s v="Technology"/>
    <s v="North"/>
    <n v="1"/>
    <n v="0.1"/>
    <n v="765"/>
    <n v="116.77"/>
    <s v="Technology"/>
  </r>
  <r>
    <s v="ORD-00939"/>
    <d v="2025-12-27T00:00:00"/>
    <s v="Customer 004"/>
    <x v="8"/>
    <s v="Office Supplies"/>
    <s v="South"/>
    <n v="3"/>
    <n v="0"/>
    <n v="720"/>
    <n v="119.37"/>
    <s v="Office Supplies"/>
  </r>
  <r>
    <s v="ORD-00940"/>
    <d v="2025-08-10T00:00:00"/>
    <s v="Customer 092"/>
    <x v="1"/>
    <s v="Furniture"/>
    <s v="West"/>
    <n v="5"/>
    <n v="0.15"/>
    <n v="892.5"/>
    <n v="217.48"/>
    <s v="Furniture"/>
  </r>
  <r>
    <s v="ORD-00941"/>
    <d v="2025-07-27T00:00:00"/>
    <s v="Customer 023"/>
    <x v="11"/>
    <s v="Furniture"/>
    <s v="West"/>
    <n v="4"/>
    <n v="0.2"/>
    <n v="608"/>
    <n v="231.22"/>
    <s v="Furniture"/>
  </r>
  <r>
    <s v="ORD-00942"/>
    <d v="2025-03-13T00:00:00"/>
    <s v="Customer 047"/>
    <x v="2"/>
    <s v="Furniture"/>
    <s v="West"/>
    <n v="5"/>
    <n v="0.15"/>
    <n v="233.75"/>
    <n v="40.14"/>
    <s v="Furniture"/>
  </r>
  <r>
    <s v="ORD-00943"/>
    <d v="2025-03-20T00:00:00"/>
    <s v="Customer 083"/>
    <x v="4"/>
    <s v="Technology"/>
    <s v="North"/>
    <n v="2"/>
    <n v="0.05"/>
    <n v="1615"/>
    <n v="720.57"/>
    <s v="Technology"/>
  </r>
  <r>
    <s v="ORD-00944"/>
    <d v="2025-03-15T00:00:00"/>
    <s v="Customer 018"/>
    <x v="1"/>
    <s v="Furniture"/>
    <s v="North"/>
    <n v="4"/>
    <n v="0.15"/>
    <n v="714"/>
    <n v="91.58"/>
    <s v="Furniture"/>
  </r>
  <r>
    <s v="ORD-00945"/>
    <d v="2025-03-12T00:00:00"/>
    <s v="Customer 090"/>
    <x v="5"/>
    <s v="Technology"/>
    <s v="West"/>
    <n v="4"/>
    <n v="0.15"/>
    <n v="1088"/>
    <n v="168.77"/>
    <s v="Technology"/>
  </r>
  <r>
    <s v="ORD-00946"/>
    <d v="2025-11-16T00:00:00"/>
    <s v="Customer 058"/>
    <x v="3"/>
    <s v="Furniture"/>
    <s v="West"/>
    <n v="4"/>
    <n v="0.2"/>
    <n v="896"/>
    <n v="277.79000000000002"/>
    <s v="Furniture"/>
  </r>
  <r>
    <s v="ORD-00947"/>
    <d v="2025-07-01T00:00:00"/>
    <s v="Customer 074"/>
    <x v="2"/>
    <s v="Furniture"/>
    <s v="West"/>
    <n v="2"/>
    <n v="0.15"/>
    <n v="93.5"/>
    <n v="23.42"/>
    <s v="Furniture"/>
  </r>
  <r>
    <s v="ORD-00948"/>
    <d v="2025-05-02T00:00:00"/>
    <s v="Customer 070"/>
    <x v="1"/>
    <s v="Furniture"/>
    <s v="East"/>
    <n v="5"/>
    <n v="0.1"/>
    <n v="945"/>
    <n v="297.13"/>
    <s v="Furniture"/>
  </r>
  <r>
    <s v="ORD-00949"/>
    <d v="2025-01-18T00:00:00"/>
    <s v="Customer 015"/>
    <x v="9"/>
    <s v="Technology"/>
    <s v="West"/>
    <n v="5"/>
    <n v="0.15"/>
    <n v="5100"/>
    <n v="1108.68"/>
    <s v="Technology"/>
  </r>
  <r>
    <s v="ORD-00950"/>
    <d v="2025-12-20T00:00:00"/>
    <s v="Customer 097"/>
    <x v="0"/>
    <s v="Technology"/>
    <s v="East"/>
    <n v="2"/>
    <n v="0.2"/>
    <n v="56"/>
    <n v="7.02"/>
    <s v="Technology"/>
  </r>
  <r>
    <s v="ORD-00951"/>
    <d v="2025-08-27T00:00:00"/>
    <s v="Customer 012"/>
    <x v="8"/>
    <s v="Office Supplies"/>
    <s v="South"/>
    <n v="1"/>
    <n v="0.2"/>
    <n v="192"/>
    <n v="30.01"/>
    <s v="Office Supplies"/>
  </r>
  <r>
    <s v="ORD-00952"/>
    <d v="2025-08-30T00:00:00"/>
    <s v="Customer 040"/>
    <x v="5"/>
    <s v="Technology"/>
    <s v="North"/>
    <n v="1"/>
    <n v="0.2"/>
    <n v="256"/>
    <n v="47.78"/>
    <s v="Technology"/>
  </r>
  <r>
    <s v="ORD-00953"/>
    <d v="2025-06-25T00:00:00"/>
    <s v="Customer 061"/>
    <x v="8"/>
    <s v="Office Supplies"/>
    <s v="East"/>
    <n v="1"/>
    <n v="0.15"/>
    <n v="204"/>
    <n v="61.23"/>
    <s v="Office Supplies"/>
  </r>
  <r>
    <s v="ORD-00954"/>
    <d v="2025-08-04T00:00:00"/>
    <s v="Customer 089"/>
    <x v="7"/>
    <s v="Technology"/>
    <s v="East"/>
    <n v="3"/>
    <n v="0.1"/>
    <n v="189"/>
    <n v="74.599999999999994"/>
    <s v="Technology"/>
  </r>
  <r>
    <s v="ORD-00955"/>
    <d v="2025-10-16T00:00:00"/>
    <s v="Customer 074"/>
    <x v="4"/>
    <s v="Technology"/>
    <s v="North"/>
    <n v="1"/>
    <n v="0.15"/>
    <n v="722.5"/>
    <n v="187.28"/>
    <s v="Technology"/>
  </r>
  <r>
    <s v="ORD-00956"/>
    <d v="2025-12-03T00:00:00"/>
    <s v="Customer 011"/>
    <x v="4"/>
    <s v="Technology"/>
    <s v="South"/>
    <n v="5"/>
    <n v="0"/>
    <n v="4250"/>
    <n v="1510.24"/>
    <s v="Technology"/>
  </r>
  <r>
    <s v="ORD-00957"/>
    <d v="2025-09-16T00:00:00"/>
    <s v="Customer 036"/>
    <x v="0"/>
    <s v="Technology"/>
    <s v="East"/>
    <n v="3"/>
    <n v="0.1"/>
    <n v="94.5"/>
    <n v="38.39"/>
    <s v="Technology"/>
  </r>
  <r>
    <s v="ORD-00958"/>
    <d v="2025-05-12T00:00:00"/>
    <s v="Customer 076"/>
    <x v="9"/>
    <s v="Technology"/>
    <s v="South"/>
    <n v="1"/>
    <n v="0.2"/>
    <n v="960"/>
    <n v="376.68"/>
    <s v="Technology"/>
  </r>
  <r>
    <s v="ORD-00959"/>
    <d v="2025-12-04T00:00:00"/>
    <s v="Customer 090"/>
    <x v="6"/>
    <s v="Office Supplies"/>
    <s v="South"/>
    <n v="3"/>
    <n v="0.05"/>
    <n v="51.3"/>
    <n v="18.66"/>
    <s v="Office Supplies"/>
  </r>
  <r>
    <s v="ORD-00960"/>
    <d v="2025-09-06T00:00:00"/>
    <s v="Customer 011"/>
    <x v="3"/>
    <s v="Furniture"/>
    <s v="South"/>
    <n v="5"/>
    <n v="0"/>
    <n v="1400"/>
    <n v="471.6"/>
    <s v="Furniture"/>
  </r>
  <r>
    <s v="ORD-00961"/>
    <d v="2025-11-01T00:00:00"/>
    <s v="Customer 031"/>
    <x v="3"/>
    <s v="Furniture"/>
    <s v="West"/>
    <n v="4"/>
    <n v="0.15"/>
    <n v="952"/>
    <n v="186.38"/>
    <s v="Furniture"/>
  </r>
  <r>
    <s v="ORD-00962"/>
    <d v="2025-11-23T00:00:00"/>
    <s v="Customer 045"/>
    <x v="3"/>
    <s v="Furniture"/>
    <s v="North"/>
    <n v="2"/>
    <n v="0.2"/>
    <n v="448"/>
    <n v="93.03"/>
    <s v="Furniture"/>
  </r>
  <r>
    <s v="ORD-00963"/>
    <d v="2025-11-25T00:00:00"/>
    <s v="Customer 052"/>
    <x v="4"/>
    <s v="Technology"/>
    <s v="West"/>
    <n v="1"/>
    <n v="0"/>
    <n v="850"/>
    <n v="335.49"/>
    <s v="Technology"/>
  </r>
  <r>
    <s v="ORD-00964"/>
    <d v="2025-06-04T00:00:00"/>
    <s v="Customer 091"/>
    <x v="6"/>
    <s v="Office Supplies"/>
    <s v="West"/>
    <n v="5"/>
    <n v="0.05"/>
    <n v="85.5"/>
    <n v="27.76"/>
    <s v="Office Supplies"/>
  </r>
  <r>
    <s v="ORD-00965"/>
    <d v="2025-08-31T00:00:00"/>
    <s v="Customer 002"/>
    <x v="4"/>
    <s v="Technology"/>
    <s v="East"/>
    <n v="2"/>
    <n v="0.2"/>
    <n v="1360"/>
    <n v="221.42"/>
    <s v="Technology"/>
  </r>
  <r>
    <s v="ORD-00966"/>
    <d v="2025-08-18T00:00:00"/>
    <s v="Customer 006"/>
    <x v="11"/>
    <s v="Furniture"/>
    <s v="North"/>
    <n v="3"/>
    <n v="0.2"/>
    <n v="456"/>
    <n v="102.44"/>
    <s v="Furniture"/>
  </r>
  <r>
    <s v="ORD-00967"/>
    <d v="2025-09-30T00:00:00"/>
    <s v="Customer 084"/>
    <x v="5"/>
    <s v="Technology"/>
    <s v="East"/>
    <n v="3"/>
    <n v="0.15"/>
    <n v="816"/>
    <n v="202.81"/>
    <s v="Technology"/>
  </r>
  <r>
    <s v="ORD-00968"/>
    <d v="2025-06-21T00:00:00"/>
    <s v="Customer 075"/>
    <x v="4"/>
    <s v="Technology"/>
    <s v="West"/>
    <n v="3"/>
    <n v="0"/>
    <n v="2550"/>
    <n v="932.63"/>
    <s v="Technology"/>
  </r>
  <r>
    <s v="ORD-00969"/>
    <d v="2025-08-25T00:00:00"/>
    <s v="Customer 067"/>
    <x v="5"/>
    <s v="Technology"/>
    <s v="East"/>
    <n v="2"/>
    <n v="0.2"/>
    <n v="512"/>
    <n v="100.22"/>
    <s v="Technology"/>
  </r>
  <r>
    <s v="ORD-00970"/>
    <d v="2025-12-13T00:00:00"/>
    <s v="Customer 087"/>
    <x v="1"/>
    <s v="Furniture"/>
    <s v="North"/>
    <n v="2"/>
    <n v="0.1"/>
    <n v="378"/>
    <n v="101.79"/>
    <s v="Furniture"/>
  </r>
  <r>
    <s v="ORD-00971"/>
    <d v="2025-02-04T00:00:00"/>
    <s v="Customer 088"/>
    <x v="9"/>
    <s v="Technology"/>
    <s v="West"/>
    <n v="4"/>
    <n v="0"/>
    <n v="4800"/>
    <n v="1327.98"/>
    <s v="Technology"/>
  </r>
  <r>
    <s v="ORD-00972"/>
    <d v="2025-06-29T00:00:00"/>
    <s v="Customer 004"/>
    <x v="2"/>
    <s v="Furniture"/>
    <s v="North"/>
    <n v="3"/>
    <n v="0.1"/>
    <n v="148.5"/>
    <n v="57.36"/>
    <s v="Furniture"/>
  </r>
  <r>
    <s v="ORD-00973"/>
    <d v="2025-01-30T00:00:00"/>
    <s v="Customer 091"/>
    <x v="10"/>
    <s v="Office Supplies"/>
    <s v="North"/>
    <n v="2"/>
    <n v="0.2"/>
    <n v="40"/>
    <n v="9.58"/>
    <s v="Office Supplies"/>
  </r>
  <r>
    <s v="ORD-00974"/>
    <d v="2025-02-14T00:00:00"/>
    <s v="Customer 083"/>
    <x v="10"/>
    <s v="Office Supplies"/>
    <s v="South"/>
    <n v="2"/>
    <n v="0.15"/>
    <n v="42.5"/>
    <n v="9.92"/>
    <s v="Office Supplies"/>
  </r>
  <r>
    <s v="ORD-00975"/>
    <d v="2025-02-26T00:00:00"/>
    <s v="Customer 085"/>
    <x v="1"/>
    <s v="Furniture"/>
    <s v="North"/>
    <n v="2"/>
    <n v="0.1"/>
    <n v="378"/>
    <n v="133.36000000000001"/>
    <s v="Furniture"/>
  </r>
  <r>
    <s v="ORD-00976"/>
    <d v="2025-11-24T00:00:00"/>
    <s v="Customer 086"/>
    <x v="6"/>
    <s v="Office Supplies"/>
    <s v="East"/>
    <n v="3"/>
    <n v="0.15"/>
    <n v="45.9"/>
    <n v="10.17"/>
    <s v="Office Supplies"/>
  </r>
  <r>
    <s v="ORD-00977"/>
    <d v="2025-05-12T00:00:00"/>
    <s v="Customer 049"/>
    <x v="3"/>
    <s v="Furniture"/>
    <s v="West"/>
    <n v="1"/>
    <n v="0.1"/>
    <n v="252"/>
    <n v="48.78"/>
    <s v="Furniture"/>
  </r>
  <r>
    <s v="ORD-00978"/>
    <d v="2025-06-20T00:00:00"/>
    <s v="Customer 009"/>
    <x v="9"/>
    <s v="Technology"/>
    <s v="West"/>
    <n v="3"/>
    <n v="0.1"/>
    <n v="3240"/>
    <n v="1267.76"/>
    <s v="Technology"/>
  </r>
  <r>
    <s v="ORD-00979"/>
    <d v="2025-04-13T00:00:00"/>
    <s v="Customer 014"/>
    <x v="10"/>
    <s v="Office Supplies"/>
    <s v="South"/>
    <n v="4"/>
    <n v="0.05"/>
    <n v="95"/>
    <n v="22.51"/>
    <s v="Office Supplies"/>
  </r>
  <r>
    <s v="ORD-00980"/>
    <d v="2025-10-04T00:00:00"/>
    <s v="Customer 057"/>
    <x v="11"/>
    <s v="Furniture"/>
    <s v="East"/>
    <n v="2"/>
    <n v="0.2"/>
    <n v="304"/>
    <n v="72.260000000000005"/>
    <s v="Furniture"/>
  </r>
  <r>
    <s v="ORD-00981"/>
    <d v="2025-02-22T00:00:00"/>
    <s v="Customer 033"/>
    <x v="9"/>
    <s v="Technology"/>
    <s v="West"/>
    <n v="1"/>
    <n v="0"/>
    <n v="1200"/>
    <n v="313.75"/>
    <s v="Technology"/>
  </r>
  <r>
    <s v="ORD-00982"/>
    <d v="2025-01-10T00:00:00"/>
    <s v="Customer 086"/>
    <x v="6"/>
    <s v="Office Supplies"/>
    <s v="West"/>
    <n v="2"/>
    <n v="0"/>
    <n v="36"/>
    <n v="5.12"/>
    <s v="Office Supplies"/>
  </r>
  <r>
    <s v="ORD-00983"/>
    <d v="2025-05-17T00:00:00"/>
    <s v="Customer 066"/>
    <x v="3"/>
    <s v="Furniture"/>
    <s v="West"/>
    <n v="3"/>
    <n v="0.15"/>
    <n v="714"/>
    <n v="185.9"/>
    <s v="Furniture"/>
  </r>
  <r>
    <s v="ORD-00984"/>
    <d v="2025-09-02T00:00:00"/>
    <s v="Customer 001"/>
    <x v="11"/>
    <s v="Furniture"/>
    <s v="West"/>
    <n v="4"/>
    <n v="0"/>
    <n v="760"/>
    <n v="206.54"/>
    <s v="Furniture"/>
  </r>
  <r>
    <s v="ORD-00985"/>
    <d v="2025-12-19T00:00:00"/>
    <s v="Customer 046"/>
    <x v="6"/>
    <s v="Office Supplies"/>
    <s v="East"/>
    <n v="1"/>
    <n v="0.2"/>
    <n v="14.4"/>
    <n v="3.94"/>
    <s v="Office Supplies"/>
  </r>
  <r>
    <s v="ORD-00986"/>
    <d v="2025-12-16T00:00:00"/>
    <s v="Customer 083"/>
    <x v="4"/>
    <s v="Technology"/>
    <s v="North"/>
    <n v="4"/>
    <n v="0"/>
    <n v="3400"/>
    <n v="820.59"/>
    <s v="Technology"/>
  </r>
  <r>
    <s v="ORD-00987"/>
    <d v="2025-07-07T00:00:00"/>
    <s v="Customer 098"/>
    <x v="8"/>
    <s v="Office Supplies"/>
    <s v="East"/>
    <n v="3"/>
    <n v="0"/>
    <n v="720"/>
    <n v="124.14"/>
    <s v="Office Supplies"/>
  </r>
  <r>
    <s v="ORD-00988"/>
    <d v="2025-11-28T00:00:00"/>
    <s v="Customer 050"/>
    <x v="2"/>
    <s v="Furniture"/>
    <s v="South"/>
    <n v="2"/>
    <n v="0.2"/>
    <n v="88"/>
    <n v="38.46"/>
    <s v="Furniture"/>
  </r>
  <r>
    <s v="ORD-00989"/>
    <d v="2025-06-03T00:00:00"/>
    <s v="Customer 046"/>
    <x v="1"/>
    <s v="Furniture"/>
    <s v="West"/>
    <n v="4"/>
    <n v="0"/>
    <n v="840"/>
    <n v="203.19"/>
    <s v="Furniture"/>
  </r>
  <r>
    <s v="ORD-00990"/>
    <d v="2025-02-13T00:00:00"/>
    <s v="Customer 025"/>
    <x v="5"/>
    <s v="Technology"/>
    <s v="North"/>
    <n v="4"/>
    <n v="0.05"/>
    <n v="1216"/>
    <n v="491.04"/>
    <s v="Technology"/>
  </r>
  <r>
    <s v="ORD-00991"/>
    <d v="2025-10-31T00:00:00"/>
    <s v="Customer 070"/>
    <x v="2"/>
    <s v="Furniture"/>
    <s v="East"/>
    <n v="4"/>
    <n v="0.15"/>
    <n v="187"/>
    <n v="80.260000000000005"/>
    <s v="Furniture"/>
  </r>
  <r>
    <s v="ORD-00992"/>
    <d v="2025-09-13T00:00:00"/>
    <s v="Customer 008"/>
    <x v="8"/>
    <s v="Office Supplies"/>
    <s v="East"/>
    <n v="4"/>
    <n v="0"/>
    <n v="960"/>
    <n v="420.26"/>
    <s v="Office Supplies"/>
  </r>
  <r>
    <s v="ORD-00993"/>
    <d v="2025-01-22T00:00:00"/>
    <s v="Customer 086"/>
    <x v="11"/>
    <s v="Furniture"/>
    <s v="West"/>
    <n v="1"/>
    <n v="0.05"/>
    <n v="180.5"/>
    <n v="33.15"/>
    <s v="Furniture"/>
  </r>
  <r>
    <s v="ORD-00994"/>
    <d v="2025-12-14T00:00:00"/>
    <s v="Customer 010"/>
    <x v="8"/>
    <s v="Office Supplies"/>
    <s v="North"/>
    <n v="2"/>
    <n v="0.2"/>
    <n v="384"/>
    <n v="143.28"/>
    <s v="Office Supplies"/>
  </r>
  <r>
    <s v="ORD-00995"/>
    <d v="2025-03-14T00:00:00"/>
    <s v="Customer 080"/>
    <x v="6"/>
    <s v="Office Supplies"/>
    <s v="North"/>
    <n v="1"/>
    <n v="0.15"/>
    <n v="15.3"/>
    <n v="2.2999999999999998"/>
    <s v="Office Supplies"/>
  </r>
  <r>
    <s v="ORD-00996"/>
    <d v="2025-05-05T00:00:00"/>
    <s v="Customer 007"/>
    <x v="1"/>
    <s v="Furniture"/>
    <s v="East"/>
    <n v="2"/>
    <n v="0"/>
    <n v="420"/>
    <n v="165.13"/>
    <s v="Furniture"/>
  </r>
  <r>
    <s v="ORD-00997"/>
    <d v="2025-02-19T00:00:00"/>
    <s v="Customer 009"/>
    <x v="6"/>
    <s v="Office Supplies"/>
    <s v="North"/>
    <n v="5"/>
    <n v="0.05"/>
    <n v="85.5"/>
    <n v="14.91"/>
    <s v="Office Supplies"/>
  </r>
  <r>
    <s v="ORD-00998"/>
    <d v="2025-02-28T00:00:00"/>
    <s v="Customer 026"/>
    <x v="6"/>
    <s v="Office Supplies"/>
    <s v="West"/>
    <n v="5"/>
    <n v="0.2"/>
    <n v="72"/>
    <n v="27.16"/>
    <s v="Office Supplies"/>
  </r>
  <r>
    <s v="ORD-00999"/>
    <d v="2025-06-22T00:00:00"/>
    <s v="Customer 088"/>
    <x v="1"/>
    <s v="Furniture"/>
    <s v="South"/>
    <n v="4"/>
    <n v="0.1"/>
    <n v="756"/>
    <n v="310.06"/>
    <s v="Furniture"/>
  </r>
  <r>
    <s v="ORD-01000"/>
    <d v="2025-06-14T00:00:00"/>
    <s v="Customer 009"/>
    <x v="2"/>
    <s v="Furniture"/>
    <s v="North"/>
    <n v="1"/>
    <n v="0.2"/>
    <n v="44"/>
    <n v="17.28"/>
    <s v="Furniture"/>
  </r>
  <r>
    <m/>
    <m/>
    <m/>
    <x v="12"/>
    <m/>
    <m/>
    <m/>
    <m/>
    <m/>
    <m/>
    <m/>
  </r>
  <r>
    <m/>
    <m/>
    <m/>
    <x v="12"/>
    <m/>
    <m/>
    <m/>
    <m/>
    <m/>
    <m/>
    <m/>
  </r>
  <r>
    <m/>
    <m/>
    <m/>
    <x v="12"/>
    <m/>
    <m/>
    <m/>
    <m/>
    <m/>
    <m/>
    <m/>
  </r>
  <r>
    <m/>
    <m/>
    <m/>
    <x v="12"/>
    <m/>
    <m/>
    <m/>
    <m/>
    <m/>
    <m/>
    <m/>
  </r>
  <r>
    <m/>
    <m/>
    <m/>
    <x v="12"/>
    <m/>
    <m/>
    <m/>
    <m/>
    <m/>
    <m/>
    <m/>
  </r>
  <r>
    <m/>
    <m/>
    <m/>
    <x v="12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ORD-00001"/>
    <d v="2025-11-24T00:00:00"/>
    <s v="Customer 018"/>
    <x v="0"/>
    <s v="Technology"/>
    <x v="0"/>
    <n v="1"/>
    <n v="0.1"/>
    <n v="31.5"/>
    <n v="11.63"/>
    <x v="0"/>
  </r>
  <r>
    <s v="ORD-00002"/>
    <d v="2025-12-13T00:00:00"/>
    <s v="Customer 005"/>
    <x v="1"/>
    <s v="Furniture"/>
    <x v="0"/>
    <n v="5"/>
    <n v="0"/>
    <n v="1050"/>
    <n v="267.89"/>
    <x v="1"/>
  </r>
  <r>
    <s v="ORD-00003"/>
    <d v="2025-02-17T00:00:00"/>
    <s v="Customer 072"/>
    <x v="2"/>
    <s v="Furniture"/>
    <x v="1"/>
    <n v="2"/>
    <n v="0.2"/>
    <n v="88"/>
    <n v="22.12"/>
    <x v="1"/>
  </r>
  <r>
    <s v="ORD-00004"/>
    <d v="2025-11-29T00:00:00"/>
    <s v="Customer 076"/>
    <x v="1"/>
    <s v="Furniture"/>
    <x v="2"/>
    <n v="5"/>
    <n v="0.15"/>
    <n v="892.5"/>
    <n v="336.7"/>
    <x v="1"/>
  </r>
  <r>
    <s v="ORD-00005"/>
    <d v="2025-01-04T00:00:00"/>
    <s v="Customer 028"/>
    <x v="3"/>
    <s v="Furniture"/>
    <x v="2"/>
    <n v="4"/>
    <n v="0.1"/>
    <n v="1008"/>
    <n v="361.17"/>
    <x v="1"/>
  </r>
  <r>
    <s v="ORD-00006"/>
    <d v="2025-02-22T00:00:00"/>
    <s v="Customer 045"/>
    <x v="0"/>
    <s v="Technology"/>
    <x v="2"/>
    <n v="4"/>
    <n v="0"/>
    <n v="140"/>
    <n v="46.42"/>
    <x v="0"/>
  </r>
  <r>
    <s v="ORD-00007"/>
    <d v="2025-01-23T00:00:00"/>
    <s v="Customer 049"/>
    <x v="1"/>
    <s v="Furniture"/>
    <x v="0"/>
    <n v="4"/>
    <n v="0.2"/>
    <n v="672"/>
    <n v="274.72000000000003"/>
    <x v="1"/>
  </r>
  <r>
    <s v="ORD-00008"/>
    <d v="2025-10-10T00:00:00"/>
    <s v="Customer 091"/>
    <x v="4"/>
    <s v="Technology"/>
    <x v="0"/>
    <n v="5"/>
    <n v="0.1"/>
    <n v="3825"/>
    <n v="992.49"/>
    <x v="0"/>
  </r>
  <r>
    <s v="ORD-00009"/>
    <d v="2025-01-24T00:00:00"/>
    <s v="Customer 030"/>
    <x v="5"/>
    <s v="Technology"/>
    <x v="0"/>
    <n v="2"/>
    <n v="0.1"/>
    <n v="576"/>
    <n v="71.930000000000007"/>
    <x v="0"/>
  </r>
  <r>
    <s v="ORD-00010"/>
    <d v="2025-07-14T00:00:00"/>
    <s v="Customer 046"/>
    <x v="4"/>
    <s v="Technology"/>
    <x v="1"/>
    <n v="4"/>
    <n v="0.1"/>
    <n v="3060"/>
    <n v="1212.75"/>
    <x v="0"/>
  </r>
  <r>
    <s v="ORD-00011"/>
    <d v="2025-12-10T00:00:00"/>
    <s v="Customer 069"/>
    <x v="4"/>
    <s v="Technology"/>
    <x v="1"/>
    <n v="1"/>
    <n v="0.2"/>
    <n v="680"/>
    <n v="163.51"/>
    <x v="0"/>
  </r>
  <r>
    <s v="ORD-00012"/>
    <d v="2025-03-25T00:00:00"/>
    <s v="Customer 082"/>
    <x v="6"/>
    <s v="Office Supplies"/>
    <x v="1"/>
    <n v="4"/>
    <n v="0.1"/>
    <n v="64.8"/>
    <n v="8"/>
    <x v="2"/>
  </r>
  <r>
    <s v="ORD-00013"/>
    <d v="2025-12-17T00:00:00"/>
    <s v="Customer 041"/>
    <x v="7"/>
    <s v="Technology"/>
    <x v="3"/>
    <n v="1"/>
    <n v="0.05"/>
    <n v="66.5"/>
    <n v="11.89"/>
    <x v="0"/>
  </r>
  <r>
    <s v="ORD-00014"/>
    <d v="2025-05-18T00:00:00"/>
    <s v="Customer 041"/>
    <x v="0"/>
    <s v="Technology"/>
    <x v="1"/>
    <n v="2"/>
    <n v="0.2"/>
    <n v="56"/>
    <n v="9"/>
    <x v="0"/>
  </r>
  <r>
    <s v="ORD-00015"/>
    <d v="2025-12-02T00:00:00"/>
    <s v="Customer 018"/>
    <x v="6"/>
    <s v="Office Supplies"/>
    <x v="1"/>
    <n v="4"/>
    <n v="0.15"/>
    <n v="61.2"/>
    <n v="24.65"/>
    <x v="2"/>
  </r>
  <r>
    <s v="ORD-00016"/>
    <d v="2025-10-15T00:00:00"/>
    <s v="Customer 075"/>
    <x v="8"/>
    <s v="Office Supplies"/>
    <x v="3"/>
    <n v="3"/>
    <n v="0.2"/>
    <n v="576"/>
    <n v="177.76"/>
    <x v="2"/>
  </r>
  <r>
    <s v="ORD-00017"/>
    <d v="2025-07-05T00:00:00"/>
    <s v="Customer 097"/>
    <x v="2"/>
    <s v="Furniture"/>
    <x v="0"/>
    <n v="2"/>
    <n v="0.2"/>
    <n v="88"/>
    <n v="25.27"/>
    <x v="1"/>
  </r>
  <r>
    <s v="ORD-00018"/>
    <d v="2025-02-26T00:00:00"/>
    <s v="Customer 050"/>
    <x v="3"/>
    <s v="Furniture"/>
    <x v="1"/>
    <n v="2"/>
    <n v="0.15"/>
    <n v="476"/>
    <n v="120.52"/>
    <x v="1"/>
  </r>
  <r>
    <s v="ORD-00019"/>
    <d v="2025-11-02T00:00:00"/>
    <s v="Customer 002"/>
    <x v="6"/>
    <s v="Office Supplies"/>
    <x v="0"/>
    <n v="5"/>
    <n v="0.1"/>
    <n v="81"/>
    <n v="10.49"/>
    <x v="2"/>
  </r>
  <r>
    <s v="ORD-00020"/>
    <d v="2025-12-16T00:00:00"/>
    <s v="Customer 056"/>
    <x v="8"/>
    <s v="Office Supplies"/>
    <x v="1"/>
    <n v="3"/>
    <n v="0.1"/>
    <n v="648"/>
    <n v="267.75"/>
    <x v="2"/>
  </r>
  <r>
    <s v="ORD-00021"/>
    <d v="2025-08-21T00:00:00"/>
    <s v="Customer 065"/>
    <x v="9"/>
    <s v="Technology"/>
    <x v="0"/>
    <n v="3"/>
    <n v="0.2"/>
    <n v="2880"/>
    <n v="571.83000000000004"/>
    <x v="0"/>
  </r>
  <r>
    <s v="ORD-00022"/>
    <d v="2025-11-17T00:00:00"/>
    <s v="Customer 048"/>
    <x v="4"/>
    <s v="Technology"/>
    <x v="1"/>
    <n v="5"/>
    <n v="0.2"/>
    <n v="3400"/>
    <n v="1306.82"/>
    <x v="0"/>
  </r>
  <r>
    <s v="ORD-00023"/>
    <d v="2025-10-04T00:00:00"/>
    <s v="Customer 003"/>
    <x v="8"/>
    <s v="Office Supplies"/>
    <x v="0"/>
    <n v="1"/>
    <n v="0.2"/>
    <n v="192"/>
    <n v="65.86"/>
    <x v="2"/>
  </r>
  <r>
    <s v="ORD-00024"/>
    <d v="2025-07-05T00:00:00"/>
    <s v="Customer 073"/>
    <x v="4"/>
    <s v="Technology"/>
    <x v="0"/>
    <n v="2"/>
    <n v="0"/>
    <n v="1700"/>
    <n v="629.87"/>
    <x v="0"/>
  </r>
  <r>
    <s v="ORD-00025"/>
    <d v="2025-02-13T00:00:00"/>
    <s v="Customer 069"/>
    <x v="1"/>
    <s v="Furniture"/>
    <x v="1"/>
    <n v="4"/>
    <n v="0"/>
    <n v="840"/>
    <n v="106.9"/>
    <x v="1"/>
  </r>
  <r>
    <s v="ORD-00026"/>
    <d v="2025-03-07T00:00:00"/>
    <s v="Customer 068"/>
    <x v="5"/>
    <s v="Technology"/>
    <x v="3"/>
    <n v="4"/>
    <n v="0.2"/>
    <n v="1024"/>
    <n v="405"/>
    <x v="0"/>
  </r>
  <r>
    <s v="ORD-00027"/>
    <d v="2025-04-19T00:00:00"/>
    <s v="Customer 086"/>
    <x v="8"/>
    <s v="Office Supplies"/>
    <x v="2"/>
    <n v="2"/>
    <n v="0.1"/>
    <n v="432"/>
    <n v="137.52000000000001"/>
    <x v="2"/>
  </r>
  <r>
    <s v="ORD-00028"/>
    <d v="2025-08-13T00:00:00"/>
    <s v="Customer 009"/>
    <x v="8"/>
    <s v="Office Supplies"/>
    <x v="2"/>
    <n v="4"/>
    <n v="0"/>
    <n v="960"/>
    <n v="353.46"/>
    <x v="2"/>
  </r>
  <r>
    <s v="ORD-00029"/>
    <d v="2025-01-11T00:00:00"/>
    <s v="Customer 001"/>
    <x v="10"/>
    <s v="Office Supplies"/>
    <x v="0"/>
    <n v="5"/>
    <n v="0.05"/>
    <n v="118.75"/>
    <n v="30.38"/>
    <x v="2"/>
  </r>
  <r>
    <s v="ORD-00030"/>
    <d v="2025-12-29T00:00:00"/>
    <s v="Customer 005"/>
    <x v="5"/>
    <s v="Technology"/>
    <x v="2"/>
    <n v="1"/>
    <n v="0.05"/>
    <n v="304"/>
    <n v="130.04"/>
    <x v="0"/>
  </r>
  <r>
    <s v="ORD-00031"/>
    <d v="2025-02-06T00:00:00"/>
    <s v="Customer 028"/>
    <x v="8"/>
    <s v="Office Supplies"/>
    <x v="1"/>
    <n v="2"/>
    <n v="0.1"/>
    <n v="432"/>
    <n v="99.03"/>
    <x v="2"/>
  </r>
  <r>
    <s v="ORD-00032"/>
    <d v="2025-10-20T00:00:00"/>
    <s v="Customer 053"/>
    <x v="10"/>
    <s v="Office Supplies"/>
    <x v="1"/>
    <n v="4"/>
    <n v="0.05"/>
    <n v="95"/>
    <n v="18.149999999999999"/>
    <x v="2"/>
  </r>
  <r>
    <s v="ORD-00033"/>
    <d v="2025-02-18T00:00:00"/>
    <s v="Customer 060"/>
    <x v="0"/>
    <s v="Technology"/>
    <x v="0"/>
    <n v="4"/>
    <n v="0.1"/>
    <n v="126"/>
    <n v="39.090000000000003"/>
    <x v="0"/>
  </r>
  <r>
    <s v="ORD-00034"/>
    <d v="2025-12-11T00:00:00"/>
    <s v="Customer 044"/>
    <x v="5"/>
    <s v="Technology"/>
    <x v="0"/>
    <n v="1"/>
    <n v="0"/>
    <n v="320"/>
    <n v="101.48"/>
    <x v="0"/>
  </r>
  <r>
    <s v="ORD-00035"/>
    <d v="2025-05-08T00:00:00"/>
    <s v="Customer 055"/>
    <x v="2"/>
    <s v="Furniture"/>
    <x v="1"/>
    <n v="2"/>
    <n v="0.2"/>
    <n v="88"/>
    <n v="26.57"/>
    <x v="1"/>
  </r>
  <r>
    <s v="ORD-00036"/>
    <d v="2025-05-23T00:00:00"/>
    <s v="Customer 071"/>
    <x v="6"/>
    <s v="Office Supplies"/>
    <x v="0"/>
    <n v="2"/>
    <n v="0"/>
    <n v="36"/>
    <n v="10.94"/>
    <x v="2"/>
  </r>
  <r>
    <s v="ORD-00037"/>
    <d v="2025-01-26T00:00:00"/>
    <s v="Customer 097"/>
    <x v="5"/>
    <s v="Technology"/>
    <x v="1"/>
    <n v="5"/>
    <n v="0"/>
    <n v="1600"/>
    <n v="208.37"/>
    <x v="0"/>
  </r>
  <r>
    <s v="ORD-00038"/>
    <d v="2025-03-27T00:00:00"/>
    <s v="Customer 052"/>
    <x v="11"/>
    <s v="Furniture"/>
    <x v="0"/>
    <n v="4"/>
    <n v="0.15"/>
    <n v="646"/>
    <n v="245.13"/>
    <x v="1"/>
  </r>
  <r>
    <s v="ORD-00039"/>
    <d v="2025-03-26T00:00:00"/>
    <s v="Customer 059"/>
    <x v="11"/>
    <s v="Furniture"/>
    <x v="2"/>
    <n v="1"/>
    <n v="0.15"/>
    <n v="161.5"/>
    <n v="58.54"/>
    <x v="1"/>
  </r>
  <r>
    <s v="ORD-00040"/>
    <d v="2025-08-05T00:00:00"/>
    <s v="Customer 038"/>
    <x v="1"/>
    <s v="Furniture"/>
    <x v="1"/>
    <n v="5"/>
    <n v="0.15"/>
    <n v="892.5"/>
    <n v="356.03"/>
    <x v="1"/>
  </r>
  <r>
    <s v="ORD-00041"/>
    <d v="2025-01-30T00:00:00"/>
    <s v="Customer 008"/>
    <x v="10"/>
    <s v="Office Supplies"/>
    <x v="0"/>
    <n v="5"/>
    <n v="0"/>
    <n v="125"/>
    <n v="25.4"/>
    <x v="2"/>
  </r>
  <r>
    <s v="ORD-00042"/>
    <d v="2025-10-27T00:00:00"/>
    <s v="Customer 066"/>
    <x v="6"/>
    <s v="Office Supplies"/>
    <x v="0"/>
    <n v="5"/>
    <n v="0.2"/>
    <n v="72"/>
    <n v="28.66"/>
    <x v="2"/>
  </r>
  <r>
    <s v="ORD-00043"/>
    <d v="2025-04-06T00:00:00"/>
    <s v="Customer 031"/>
    <x v="0"/>
    <s v="Technology"/>
    <x v="3"/>
    <n v="5"/>
    <n v="0"/>
    <n v="175"/>
    <n v="39.76"/>
    <x v="0"/>
  </r>
  <r>
    <s v="ORD-00044"/>
    <d v="2025-03-03T00:00:00"/>
    <s v="Customer 080"/>
    <x v="10"/>
    <s v="Office Supplies"/>
    <x v="0"/>
    <n v="2"/>
    <n v="0.2"/>
    <n v="40"/>
    <n v="10.15"/>
    <x v="2"/>
  </r>
  <r>
    <s v="ORD-00045"/>
    <d v="2025-08-03T00:00:00"/>
    <s v="Customer 034"/>
    <x v="5"/>
    <s v="Technology"/>
    <x v="1"/>
    <n v="5"/>
    <n v="0.2"/>
    <n v="1280"/>
    <n v="355.18"/>
    <x v="0"/>
  </r>
  <r>
    <s v="ORD-00046"/>
    <d v="2025-12-09T00:00:00"/>
    <s v="Customer 017"/>
    <x v="1"/>
    <s v="Furniture"/>
    <x v="2"/>
    <n v="3"/>
    <n v="0.05"/>
    <n v="598.5"/>
    <n v="216.86"/>
    <x v="1"/>
  </r>
  <r>
    <s v="ORD-00047"/>
    <d v="2025-08-23T00:00:00"/>
    <s v="Customer 073"/>
    <x v="7"/>
    <s v="Technology"/>
    <x v="0"/>
    <n v="1"/>
    <n v="0"/>
    <n v="70"/>
    <n v="20.91"/>
    <x v="0"/>
  </r>
  <r>
    <s v="ORD-00048"/>
    <d v="2025-02-07T00:00:00"/>
    <s v="Customer 045"/>
    <x v="8"/>
    <s v="Office Supplies"/>
    <x v="0"/>
    <n v="2"/>
    <n v="0.2"/>
    <n v="384"/>
    <n v="139.19"/>
    <x v="2"/>
  </r>
  <r>
    <s v="ORD-00049"/>
    <d v="2025-05-06T00:00:00"/>
    <s v="Customer 070"/>
    <x v="7"/>
    <s v="Technology"/>
    <x v="2"/>
    <n v="3"/>
    <n v="0.05"/>
    <n v="199.5"/>
    <n v="60.93"/>
    <x v="0"/>
  </r>
  <r>
    <s v="ORD-00050"/>
    <d v="2025-11-10T00:00:00"/>
    <s v="Customer 071"/>
    <x v="5"/>
    <s v="Technology"/>
    <x v="2"/>
    <n v="5"/>
    <n v="0"/>
    <n v="1600"/>
    <n v="367.37"/>
    <x v="0"/>
  </r>
  <r>
    <s v="ORD-00051"/>
    <d v="2025-12-06T00:00:00"/>
    <s v="Customer 014"/>
    <x v="0"/>
    <s v="Technology"/>
    <x v="1"/>
    <n v="2"/>
    <n v="0.1"/>
    <n v="63"/>
    <n v="25.95"/>
    <x v="0"/>
  </r>
  <r>
    <s v="ORD-00052"/>
    <d v="2025-05-20T00:00:00"/>
    <s v="Customer 027"/>
    <x v="4"/>
    <s v="Technology"/>
    <x v="2"/>
    <n v="5"/>
    <n v="0.05"/>
    <n v="4037.5"/>
    <n v="860.75"/>
    <x v="0"/>
  </r>
  <r>
    <s v="ORD-00053"/>
    <d v="2025-09-16T00:00:00"/>
    <s v="Customer 055"/>
    <x v="6"/>
    <s v="Office Supplies"/>
    <x v="2"/>
    <n v="3"/>
    <n v="0"/>
    <n v="54"/>
    <n v="22.66"/>
    <x v="2"/>
  </r>
  <r>
    <s v="ORD-00054"/>
    <d v="2025-01-23T00:00:00"/>
    <s v="Customer 034"/>
    <x v="9"/>
    <s v="Technology"/>
    <x v="1"/>
    <n v="3"/>
    <n v="0.05"/>
    <n v="3420"/>
    <n v="819.95"/>
    <x v="0"/>
  </r>
  <r>
    <s v="ORD-00055"/>
    <d v="2025-08-15T00:00:00"/>
    <s v="Customer 010"/>
    <x v="8"/>
    <s v="Office Supplies"/>
    <x v="1"/>
    <n v="4"/>
    <n v="0.2"/>
    <n v="768"/>
    <n v="343.15"/>
    <x v="2"/>
  </r>
  <r>
    <s v="ORD-00056"/>
    <d v="2025-10-07T00:00:00"/>
    <s v="Customer 056"/>
    <x v="9"/>
    <s v="Technology"/>
    <x v="1"/>
    <n v="3"/>
    <n v="0.2"/>
    <n v="2880"/>
    <n v="770.88"/>
    <x v="0"/>
  </r>
  <r>
    <s v="ORD-00057"/>
    <d v="2025-01-22T00:00:00"/>
    <s v="Customer 027"/>
    <x v="4"/>
    <s v="Technology"/>
    <x v="1"/>
    <n v="3"/>
    <n v="0"/>
    <n v="2550"/>
    <n v="391.05"/>
    <x v="0"/>
  </r>
  <r>
    <s v="ORD-00058"/>
    <d v="2025-12-08T00:00:00"/>
    <s v="Customer 053"/>
    <x v="0"/>
    <s v="Technology"/>
    <x v="1"/>
    <n v="3"/>
    <n v="0.2"/>
    <n v="84"/>
    <n v="13.29"/>
    <x v="0"/>
  </r>
  <r>
    <s v="ORD-00059"/>
    <d v="2025-05-02T00:00:00"/>
    <s v="Customer 095"/>
    <x v="3"/>
    <s v="Furniture"/>
    <x v="2"/>
    <n v="2"/>
    <n v="0.15"/>
    <n v="476"/>
    <n v="210.31"/>
    <x v="1"/>
  </r>
  <r>
    <s v="ORD-00060"/>
    <d v="2025-07-30T00:00:00"/>
    <s v="Customer 090"/>
    <x v="5"/>
    <s v="Technology"/>
    <x v="0"/>
    <n v="2"/>
    <n v="0.1"/>
    <n v="576"/>
    <n v="228.94"/>
    <x v="0"/>
  </r>
  <r>
    <s v="ORD-00061"/>
    <d v="2025-07-15T00:00:00"/>
    <s v="Customer 059"/>
    <x v="9"/>
    <s v="Technology"/>
    <x v="2"/>
    <n v="4"/>
    <n v="0.05"/>
    <n v="4560"/>
    <n v="1751.68"/>
    <x v="0"/>
  </r>
  <r>
    <s v="ORD-00062"/>
    <d v="2025-06-06T00:00:00"/>
    <s v="Customer 052"/>
    <x v="2"/>
    <s v="Furniture"/>
    <x v="2"/>
    <n v="2"/>
    <n v="0"/>
    <n v="110"/>
    <n v="25.54"/>
    <x v="1"/>
  </r>
  <r>
    <s v="ORD-00063"/>
    <d v="2025-05-23T00:00:00"/>
    <s v="Customer 052"/>
    <x v="0"/>
    <s v="Technology"/>
    <x v="2"/>
    <n v="3"/>
    <n v="0.1"/>
    <n v="94.5"/>
    <n v="22.52"/>
    <x v="0"/>
  </r>
  <r>
    <s v="ORD-00064"/>
    <d v="2025-01-15T00:00:00"/>
    <s v="Customer 034"/>
    <x v="0"/>
    <s v="Technology"/>
    <x v="0"/>
    <n v="3"/>
    <n v="0.05"/>
    <n v="99.75"/>
    <n v="25.78"/>
    <x v="0"/>
  </r>
  <r>
    <s v="ORD-00065"/>
    <d v="2025-02-25T00:00:00"/>
    <s v="Customer 041"/>
    <x v="10"/>
    <s v="Office Supplies"/>
    <x v="3"/>
    <n v="4"/>
    <n v="0.1"/>
    <n v="90"/>
    <n v="18.86"/>
    <x v="2"/>
  </r>
  <r>
    <s v="ORD-00066"/>
    <d v="2025-11-07T00:00:00"/>
    <s v="Customer 025"/>
    <x v="8"/>
    <s v="Office Supplies"/>
    <x v="2"/>
    <n v="1"/>
    <n v="0.15"/>
    <n v="204"/>
    <n v="31.25"/>
    <x v="2"/>
  </r>
  <r>
    <s v="ORD-00067"/>
    <d v="2025-01-23T00:00:00"/>
    <s v="Customer 069"/>
    <x v="1"/>
    <s v="Furniture"/>
    <x v="1"/>
    <n v="4"/>
    <n v="0"/>
    <n v="840"/>
    <n v="233.88"/>
    <x v="1"/>
  </r>
  <r>
    <s v="ORD-00068"/>
    <d v="2025-07-06T00:00:00"/>
    <s v="Customer 085"/>
    <x v="11"/>
    <s v="Furniture"/>
    <x v="0"/>
    <n v="1"/>
    <n v="0.1"/>
    <n v="171"/>
    <n v="41.79"/>
    <x v="1"/>
  </r>
  <r>
    <s v="ORD-00069"/>
    <d v="2025-06-03T00:00:00"/>
    <s v="Customer 090"/>
    <x v="8"/>
    <s v="Office Supplies"/>
    <x v="2"/>
    <n v="3"/>
    <n v="0.15"/>
    <n v="612"/>
    <n v="209.52"/>
    <x v="2"/>
  </r>
  <r>
    <s v="ORD-00070"/>
    <d v="2025-10-11T00:00:00"/>
    <s v="Customer 049"/>
    <x v="3"/>
    <s v="Furniture"/>
    <x v="1"/>
    <n v="2"/>
    <n v="0.15"/>
    <n v="476"/>
    <n v="109.75"/>
    <x v="1"/>
  </r>
  <r>
    <s v="ORD-00071"/>
    <d v="2025-11-12T00:00:00"/>
    <s v="Customer 001"/>
    <x v="10"/>
    <s v="Office Supplies"/>
    <x v="2"/>
    <n v="3"/>
    <n v="0.15"/>
    <n v="63.75"/>
    <n v="17.16"/>
    <x v="2"/>
  </r>
  <r>
    <s v="ORD-00072"/>
    <d v="2025-05-27T00:00:00"/>
    <s v="Customer 042"/>
    <x v="2"/>
    <s v="Furniture"/>
    <x v="3"/>
    <n v="4"/>
    <n v="0.2"/>
    <n v="176"/>
    <n v="43.97"/>
    <x v="1"/>
  </r>
  <r>
    <s v="ORD-00073"/>
    <d v="2025-08-15T00:00:00"/>
    <s v="Customer 095"/>
    <x v="6"/>
    <s v="Office Supplies"/>
    <x v="1"/>
    <n v="2"/>
    <n v="0.2"/>
    <n v="28.8"/>
    <n v="8.4600000000000009"/>
    <x v="2"/>
  </r>
  <r>
    <s v="ORD-00074"/>
    <d v="2025-12-04T00:00:00"/>
    <s v="Customer 080"/>
    <x v="0"/>
    <s v="Technology"/>
    <x v="2"/>
    <n v="3"/>
    <n v="0.2"/>
    <n v="84"/>
    <n v="19.399999999999999"/>
    <x v="0"/>
  </r>
  <r>
    <s v="ORD-00075"/>
    <d v="2025-02-17T00:00:00"/>
    <s v="Customer 019"/>
    <x v="2"/>
    <s v="Furniture"/>
    <x v="0"/>
    <n v="3"/>
    <n v="0.05"/>
    <n v="156.75"/>
    <n v="28.82"/>
    <x v="1"/>
  </r>
  <r>
    <s v="ORD-00076"/>
    <d v="2025-01-24T00:00:00"/>
    <s v="Customer 010"/>
    <x v="2"/>
    <s v="Furniture"/>
    <x v="3"/>
    <n v="4"/>
    <n v="0.2"/>
    <n v="176"/>
    <n v="29.85"/>
    <x v="1"/>
  </r>
  <r>
    <s v="ORD-00077"/>
    <d v="2025-08-01T00:00:00"/>
    <s v="Customer 050"/>
    <x v="5"/>
    <s v="Technology"/>
    <x v="3"/>
    <n v="5"/>
    <n v="0.05"/>
    <n v="1520"/>
    <n v="323.68"/>
    <x v="0"/>
  </r>
  <r>
    <s v="ORD-00078"/>
    <d v="2025-07-24T00:00:00"/>
    <s v="Customer 099"/>
    <x v="2"/>
    <s v="Furniture"/>
    <x v="0"/>
    <n v="2"/>
    <n v="0"/>
    <n v="110"/>
    <n v="17.100000000000001"/>
    <x v="1"/>
  </r>
  <r>
    <s v="ORD-00079"/>
    <d v="2025-08-06T00:00:00"/>
    <s v="Customer 072"/>
    <x v="2"/>
    <s v="Furniture"/>
    <x v="1"/>
    <n v="2"/>
    <n v="0.2"/>
    <n v="88"/>
    <n v="26.11"/>
    <x v="1"/>
  </r>
  <r>
    <s v="ORD-00080"/>
    <d v="2025-03-04T00:00:00"/>
    <s v="Customer 072"/>
    <x v="6"/>
    <s v="Office Supplies"/>
    <x v="2"/>
    <n v="2"/>
    <n v="0.15"/>
    <n v="30.6"/>
    <n v="7.03"/>
    <x v="2"/>
  </r>
  <r>
    <s v="ORD-00081"/>
    <d v="2025-08-15T00:00:00"/>
    <s v="Customer 071"/>
    <x v="10"/>
    <s v="Office Supplies"/>
    <x v="3"/>
    <n v="5"/>
    <n v="0.15"/>
    <n v="106.25"/>
    <n v="18.690000000000001"/>
    <x v="2"/>
  </r>
  <r>
    <s v="ORD-00082"/>
    <d v="2025-03-23T00:00:00"/>
    <s v="Customer 032"/>
    <x v="1"/>
    <s v="Furniture"/>
    <x v="2"/>
    <n v="4"/>
    <n v="0.15"/>
    <n v="714"/>
    <n v="260.23"/>
    <x v="1"/>
  </r>
  <r>
    <s v="ORD-00083"/>
    <d v="2025-09-24T00:00:00"/>
    <s v="Customer 092"/>
    <x v="6"/>
    <s v="Office Supplies"/>
    <x v="2"/>
    <n v="2"/>
    <n v="0.1"/>
    <n v="32.4"/>
    <n v="9.8800000000000008"/>
    <x v="2"/>
  </r>
  <r>
    <s v="ORD-00084"/>
    <d v="2025-05-01T00:00:00"/>
    <s v="Customer 011"/>
    <x v="4"/>
    <s v="Technology"/>
    <x v="1"/>
    <n v="3"/>
    <n v="0.1"/>
    <n v="2295"/>
    <n v="356.42"/>
    <x v="0"/>
  </r>
  <r>
    <s v="ORD-00085"/>
    <d v="2025-03-19T00:00:00"/>
    <s v="Customer 009"/>
    <x v="2"/>
    <s v="Furniture"/>
    <x v="3"/>
    <n v="4"/>
    <n v="0.05"/>
    <n v="209"/>
    <n v="45.33"/>
    <x v="1"/>
  </r>
  <r>
    <s v="ORD-00086"/>
    <d v="2025-07-28T00:00:00"/>
    <s v="Customer 027"/>
    <x v="7"/>
    <s v="Technology"/>
    <x v="3"/>
    <n v="5"/>
    <n v="0.15"/>
    <n v="297.5"/>
    <n v="93.06"/>
    <x v="0"/>
  </r>
  <r>
    <s v="ORD-00087"/>
    <d v="2025-07-19T00:00:00"/>
    <s v="Customer 001"/>
    <x v="10"/>
    <s v="Office Supplies"/>
    <x v="2"/>
    <n v="1"/>
    <n v="0.2"/>
    <n v="20"/>
    <n v="6.49"/>
    <x v="2"/>
  </r>
  <r>
    <s v="ORD-00088"/>
    <d v="2025-06-02T00:00:00"/>
    <s v="Customer 070"/>
    <x v="11"/>
    <s v="Furniture"/>
    <x v="1"/>
    <n v="4"/>
    <n v="0.2"/>
    <n v="608"/>
    <n v="123.62"/>
    <x v="1"/>
  </r>
  <r>
    <s v="ORD-00089"/>
    <d v="2025-09-07T00:00:00"/>
    <s v="Customer 050"/>
    <x v="2"/>
    <s v="Technology "/>
    <x v="2"/>
    <n v="3"/>
    <n v="0.15"/>
    <n v="140.25"/>
    <n v="40.64"/>
    <x v="0"/>
  </r>
  <r>
    <s v="ORD-00090"/>
    <d v="2025-12-09T00:00:00"/>
    <s v="Customer 017"/>
    <x v="5"/>
    <s v="Technology"/>
    <x v="0"/>
    <n v="4"/>
    <n v="0.05"/>
    <n v="1216"/>
    <n v="209.92"/>
    <x v="0"/>
  </r>
  <r>
    <s v="ORD-00091"/>
    <d v="2025-07-21T00:00:00"/>
    <s v="Customer 055"/>
    <x v="10"/>
    <s v="Office Supplies"/>
    <x v="1"/>
    <n v="5"/>
    <n v="0"/>
    <n v="125"/>
    <n v="52.79"/>
    <x v="2"/>
  </r>
  <r>
    <s v="ORD-00092"/>
    <d v="2025-08-25T00:00:00"/>
    <s v="Customer 028"/>
    <x v="3"/>
    <s v="Furniture"/>
    <x v="3"/>
    <n v="1"/>
    <n v="0.1"/>
    <n v="252"/>
    <n v="81.87"/>
    <x v="1"/>
  </r>
  <r>
    <s v="ORD-00093"/>
    <d v="2025-06-17T00:00:00"/>
    <s v="Customer 054"/>
    <x v="7"/>
    <s v="Technology"/>
    <x v="2"/>
    <n v="4"/>
    <n v="0.1"/>
    <n v="252"/>
    <n v="50.86"/>
    <x v="0"/>
  </r>
  <r>
    <s v="ORD-00094"/>
    <d v="2025-02-11T00:00:00"/>
    <s v="Customer 045"/>
    <x v="6"/>
    <s v="Office Supplies"/>
    <x v="1"/>
    <n v="1"/>
    <n v="0.2"/>
    <n v="14.4"/>
    <n v="6.23"/>
    <x v="2"/>
  </r>
  <r>
    <s v="ORD-00095"/>
    <d v="2025-11-29T00:00:00"/>
    <s v="Customer 026"/>
    <x v="0"/>
    <s v="Technology"/>
    <x v="0"/>
    <n v="1"/>
    <n v="0"/>
    <n v="35"/>
    <n v="4.78"/>
    <x v="0"/>
  </r>
  <r>
    <s v="ORD-00096"/>
    <d v="2025-11-15T00:00:00"/>
    <s v="Customer 015"/>
    <x v="3"/>
    <s v="Furniture"/>
    <x v="1"/>
    <n v="2"/>
    <n v="0.05"/>
    <n v="532"/>
    <n v="156.26"/>
    <x v="1"/>
  </r>
  <r>
    <s v="ORD-00097"/>
    <d v="2025-08-27T00:00:00"/>
    <s v="Customer 078"/>
    <x v="1"/>
    <s v="Furniture"/>
    <x v="0"/>
    <n v="3"/>
    <n v="0.1"/>
    <n v="567"/>
    <n v="223.75"/>
    <x v="1"/>
  </r>
  <r>
    <s v="ORD-00098"/>
    <d v="2025-03-25T00:00:00"/>
    <s v="Customer 040"/>
    <x v="4"/>
    <s v="Technology"/>
    <x v="3"/>
    <n v="1"/>
    <n v="0.2"/>
    <n v="680"/>
    <n v="300.24"/>
    <x v="0"/>
  </r>
  <r>
    <s v="ORD-00099"/>
    <d v="2025-07-23T00:00:00"/>
    <s v="Customer 081"/>
    <x v="1"/>
    <s v="Furniture"/>
    <x v="1"/>
    <n v="2"/>
    <n v="0"/>
    <n v="420"/>
    <n v="106.94"/>
    <x v="1"/>
  </r>
  <r>
    <s v="ORD-00100"/>
    <d v="2025-02-22T00:00:00"/>
    <s v="Customer 073"/>
    <x v="1"/>
    <s v="Furniture"/>
    <x v="0"/>
    <n v="3"/>
    <n v="0.2"/>
    <n v="504"/>
    <n v="92.82"/>
    <x v="1"/>
  </r>
  <r>
    <s v="ORD-00101"/>
    <d v="2025-06-27T00:00:00"/>
    <s v="Customer 083"/>
    <x v="8"/>
    <s v="Office Supplies"/>
    <x v="2"/>
    <n v="4"/>
    <n v="0.1"/>
    <n v="864"/>
    <n v="369.14"/>
    <x v="2"/>
  </r>
  <r>
    <s v="ORD-00102"/>
    <d v="2025-01-07T00:00:00"/>
    <s v="Customer 047"/>
    <x v="11"/>
    <s v="Furniture"/>
    <x v="3"/>
    <n v="4"/>
    <n v="0"/>
    <n v="760"/>
    <n v="233.27"/>
    <x v="1"/>
  </r>
  <r>
    <s v="ORD-00103"/>
    <d v="2025-12-29T00:00:00"/>
    <s v="Customer 084"/>
    <x v="3"/>
    <s v="Furniture"/>
    <x v="2"/>
    <n v="4"/>
    <n v="0.05"/>
    <n v="1064"/>
    <n v="221.15"/>
    <x v="1"/>
  </r>
  <r>
    <s v="ORD-00104"/>
    <d v="2025-11-12T00:00:00"/>
    <s v="Customer 094"/>
    <x v="8"/>
    <s v="Office Supplies"/>
    <x v="2"/>
    <n v="4"/>
    <n v="0.15"/>
    <n v="816"/>
    <n v="249.91"/>
    <x v="2"/>
  </r>
  <r>
    <s v="ORD-00105"/>
    <d v="2025-06-15T00:00:00"/>
    <s v="Customer 032"/>
    <x v="2"/>
    <s v="Furniture"/>
    <x v="3"/>
    <n v="1"/>
    <n v="0.1"/>
    <n v="49.5"/>
    <n v="7.87"/>
    <x v="1"/>
  </r>
  <r>
    <s v="ORD-00106"/>
    <d v="2025-10-19T00:00:00"/>
    <s v="Customer 042"/>
    <x v="10"/>
    <s v="Office Supplies"/>
    <x v="1"/>
    <n v="4"/>
    <n v="0.1"/>
    <n v="90"/>
    <n v="39.65"/>
    <x v="2"/>
  </r>
  <r>
    <s v="ORD-00107"/>
    <d v="2025-09-07T00:00:00"/>
    <s v="Customer 077"/>
    <x v="2"/>
    <s v="Furniture"/>
    <x v="2"/>
    <n v="3"/>
    <n v="0.1"/>
    <n v="148.5"/>
    <n v="50.15"/>
    <x v="1"/>
  </r>
  <r>
    <s v="ORD-00108"/>
    <d v="2025-10-12T00:00:00"/>
    <s v="Customer 093"/>
    <x v="9"/>
    <s v="Technology"/>
    <x v="3"/>
    <n v="5"/>
    <n v="0.05"/>
    <n v="5700"/>
    <n v="2403.96"/>
    <x v="0"/>
  </r>
  <r>
    <s v="ORD-00109"/>
    <d v="2025-09-08T00:00:00"/>
    <s v="Customer 063"/>
    <x v="8"/>
    <s v="Office Supplies"/>
    <x v="3"/>
    <n v="2"/>
    <n v="0.15"/>
    <n v="408"/>
    <n v="96.64"/>
    <x v="2"/>
  </r>
  <r>
    <s v="ORD-00110"/>
    <d v="2025-01-09T00:00:00"/>
    <s v="Customer 032"/>
    <x v="0"/>
    <s v="Technology"/>
    <x v="2"/>
    <n v="3"/>
    <n v="0.05"/>
    <n v="99.75"/>
    <n v="31.58"/>
    <x v="0"/>
  </r>
  <r>
    <s v="ORD-00111"/>
    <d v="2025-12-06T00:00:00"/>
    <s v="Customer 045"/>
    <x v="10"/>
    <s v="Office Supplies"/>
    <x v="3"/>
    <n v="3"/>
    <n v="0.15"/>
    <n v="63.75"/>
    <n v="17.04"/>
    <x v="2"/>
  </r>
  <r>
    <s v="ORD-00112"/>
    <d v="2025-10-09T00:00:00"/>
    <s v="Customer 033"/>
    <x v="7"/>
    <s v="Technology"/>
    <x v="1"/>
    <n v="3"/>
    <n v="0.15"/>
    <n v="178.5"/>
    <n v="64.37"/>
    <x v="0"/>
  </r>
  <r>
    <s v="ORD-00113"/>
    <d v="2025-03-03T00:00:00"/>
    <s v="Customer 069"/>
    <x v="1"/>
    <s v="Furniture"/>
    <x v="1"/>
    <n v="2"/>
    <n v="0.1"/>
    <n v="378"/>
    <n v="155.19"/>
    <x v="1"/>
  </r>
  <r>
    <s v="ORD-00114"/>
    <d v="2025-04-09T00:00:00"/>
    <s v="Customer 098"/>
    <x v="2"/>
    <s v="Furniture"/>
    <x v="2"/>
    <n v="4"/>
    <n v="0.1"/>
    <n v="198"/>
    <n v="41.76"/>
    <x v="1"/>
  </r>
  <r>
    <s v="ORD-00115"/>
    <d v="2025-02-21T00:00:00"/>
    <s v="Customer 039"/>
    <x v="2"/>
    <s v="Furniture"/>
    <x v="0"/>
    <n v="3"/>
    <n v="0.05"/>
    <n v="156.75"/>
    <n v="51.87"/>
    <x v="1"/>
  </r>
  <r>
    <s v="ORD-00116"/>
    <d v="2025-12-29T00:00:00"/>
    <s v="Customer 007"/>
    <x v="8"/>
    <s v="Office Supplies"/>
    <x v="2"/>
    <n v="2"/>
    <n v="0.1"/>
    <n v="432"/>
    <n v="187.91"/>
    <x v="2"/>
  </r>
  <r>
    <s v="ORD-00117"/>
    <d v="2025-12-24T00:00:00"/>
    <s v="Customer 074"/>
    <x v="3"/>
    <s v="Furniture"/>
    <x v="2"/>
    <n v="4"/>
    <n v="0"/>
    <n v="1120"/>
    <n v="181.44"/>
    <x v="1"/>
  </r>
  <r>
    <s v="ORD-00118"/>
    <d v="2025-08-29T00:00:00"/>
    <s v="Customer 007"/>
    <x v="6"/>
    <s v="Office Supplies"/>
    <x v="2"/>
    <n v="4"/>
    <n v="0.1"/>
    <n v="64.8"/>
    <n v="25.22"/>
    <x v="2"/>
  </r>
  <r>
    <s v="ORD-00119"/>
    <d v="2025-09-02T00:00:00"/>
    <s v="Customer 074"/>
    <x v="0"/>
    <s v="Technology"/>
    <x v="0"/>
    <n v="1"/>
    <n v="0.15"/>
    <n v="29.75"/>
    <n v="8.56"/>
    <x v="0"/>
  </r>
  <r>
    <s v="ORD-00120"/>
    <d v="2025-03-19T00:00:00"/>
    <s v="Customer 032"/>
    <x v="3"/>
    <s v="Furniture"/>
    <x v="0"/>
    <n v="5"/>
    <n v="0.1"/>
    <n v="1260"/>
    <n v="531.58000000000004"/>
    <x v="1"/>
  </r>
  <r>
    <s v="ORD-00121"/>
    <d v="2025-10-13T00:00:00"/>
    <s v="Customer 029"/>
    <x v="11"/>
    <s v="Furniture"/>
    <x v="3"/>
    <n v="5"/>
    <n v="0.2"/>
    <n v="760"/>
    <n v="143.68"/>
    <x v="1"/>
  </r>
  <r>
    <s v="ORD-00122"/>
    <d v="2025-08-19T00:00:00"/>
    <s v="Customer 040"/>
    <x v="6"/>
    <s v="Office Supplies"/>
    <x v="0"/>
    <n v="3"/>
    <n v="0.2"/>
    <n v="43.2"/>
    <n v="5.33"/>
    <x v="2"/>
  </r>
  <r>
    <s v="ORD-00123"/>
    <d v="2025-11-09T00:00:00"/>
    <s v="Customer 034"/>
    <x v="1"/>
    <s v="Furniture"/>
    <x v="0"/>
    <n v="1"/>
    <n v="0.05"/>
    <n v="199.5"/>
    <n v="48.59"/>
    <x v="1"/>
  </r>
  <r>
    <s v="ORD-00124"/>
    <d v="2025-03-22T00:00:00"/>
    <s v="Customer 001"/>
    <x v="2"/>
    <s v="Furniture"/>
    <x v="3"/>
    <n v="2"/>
    <n v="0.2"/>
    <n v="88"/>
    <n v="37.42"/>
    <x v="1"/>
  </r>
  <r>
    <s v="ORD-00125"/>
    <d v="2025-08-19T00:00:00"/>
    <s v="Customer 030"/>
    <x v="1"/>
    <s v="Furniture"/>
    <x v="2"/>
    <n v="5"/>
    <n v="0.15"/>
    <n v="892.5"/>
    <n v="315.83999999999997"/>
    <x v="1"/>
  </r>
  <r>
    <s v="ORD-00126"/>
    <d v="2025-12-28T00:00:00"/>
    <s v="Customer 034"/>
    <x v="4"/>
    <s v="Technology"/>
    <x v="1"/>
    <n v="4"/>
    <n v="0"/>
    <n v="3400"/>
    <n v="758.75"/>
    <x v="0"/>
  </r>
  <r>
    <s v="ORD-00127"/>
    <d v="2025-08-06T00:00:00"/>
    <s v="Customer 035"/>
    <x v="0"/>
    <s v="Technology"/>
    <x v="1"/>
    <n v="5"/>
    <n v="0.05"/>
    <n v="166.25"/>
    <n v="39.28"/>
    <x v="0"/>
  </r>
  <r>
    <s v="ORD-00128"/>
    <d v="2025-02-06T00:00:00"/>
    <s v="Customer 073"/>
    <x v="9"/>
    <s v="Technology"/>
    <x v="2"/>
    <n v="2"/>
    <n v="0.1"/>
    <n v="2160"/>
    <n v="547.85"/>
    <x v="0"/>
  </r>
  <r>
    <s v="ORD-00129"/>
    <d v="2025-08-13T00:00:00"/>
    <s v="Customer 035"/>
    <x v="0"/>
    <s v="Technology"/>
    <x v="3"/>
    <n v="4"/>
    <n v="0.1"/>
    <n v="126"/>
    <n v="27.61"/>
    <x v="0"/>
  </r>
  <r>
    <s v="ORD-00130"/>
    <d v="2025-08-13T00:00:00"/>
    <s v="Customer 095"/>
    <x v="0"/>
    <s v="Technology"/>
    <x v="2"/>
    <n v="5"/>
    <n v="0"/>
    <n v="175"/>
    <n v="27.39"/>
    <x v="0"/>
  </r>
  <r>
    <s v="ORD-00131"/>
    <d v="2025-11-06T00:00:00"/>
    <s v="Customer 087"/>
    <x v="4"/>
    <s v="Technology"/>
    <x v="0"/>
    <n v="1"/>
    <n v="0"/>
    <n v="850"/>
    <n v="318.29000000000002"/>
    <x v="0"/>
  </r>
  <r>
    <s v="ORD-00132"/>
    <d v="2025-12-11T00:00:00"/>
    <s v="Customer 023"/>
    <x v="4"/>
    <s v="Technology"/>
    <x v="3"/>
    <n v="5"/>
    <n v="0"/>
    <n v="4250"/>
    <n v="842.24"/>
    <x v="0"/>
  </r>
  <r>
    <s v="ORD-00133"/>
    <d v="2025-09-23T00:00:00"/>
    <s v="Customer 075"/>
    <x v="5"/>
    <s v="Technology"/>
    <x v="3"/>
    <n v="4"/>
    <n v="0.1"/>
    <n v="1152"/>
    <n v="449.41"/>
    <x v="0"/>
  </r>
  <r>
    <s v="ORD-00134"/>
    <d v="2025-11-22T00:00:00"/>
    <s v="Customer 043"/>
    <x v="6"/>
    <s v="Office Supplies"/>
    <x v="2"/>
    <n v="1"/>
    <n v="0.15"/>
    <n v="15.3"/>
    <n v="5.13"/>
    <x v="2"/>
  </r>
  <r>
    <s v="ORD-00135"/>
    <d v="2025-12-10T00:00:00"/>
    <s v="Customer 064"/>
    <x v="0"/>
    <s v="Technology"/>
    <x v="2"/>
    <n v="2"/>
    <n v="0.1"/>
    <n v="63"/>
    <n v="19.79"/>
    <x v="0"/>
  </r>
  <r>
    <s v="ORD-00136"/>
    <d v="2025-12-06T00:00:00"/>
    <s v="Customer 041"/>
    <x v="11"/>
    <s v="Furniture"/>
    <x v="2"/>
    <n v="5"/>
    <n v="0"/>
    <n v="950"/>
    <n v="284.91000000000003"/>
    <x v="1"/>
  </r>
  <r>
    <s v="ORD-00137"/>
    <d v="2025-06-15T00:00:00"/>
    <s v="Customer 001"/>
    <x v="0"/>
    <s v="Technology"/>
    <x v="3"/>
    <n v="4"/>
    <n v="0.2"/>
    <n v="112"/>
    <n v="19.91"/>
    <x v="0"/>
  </r>
  <r>
    <s v="ORD-00138"/>
    <d v="2025-07-31T00:00:00"/>
    <s v="Customer 097"/>
    <x v="9"/>
    <s v="Technology"/>
    <x v="3"/>
    <n v="2"/>
    <n v="0.2"/>
    <n v="1920"/>
    <n v="634.78"/>
    <x v="0"/>
  </r>
  <r>
    <s v="ORD-00139"/>
    <d v="2025-11-17T00:00:00"/>
    <s v="Customer 017"/>
    <x v="6"/>
    <s v="Office Supplies"/>
    <x v="2"/>
    <n v="1"/>
    <n v="0.05"/>
    <n v="17.100000000000001"/>
    <n v="6.19"/>
    <x v="2"/>
  </r>
  <r>
    <s v="ORD-00140"/>
    <d v="2025-08-13T00:00:00"/>
    <s v="Customer 081"/>
    <x v="1"/>
    <s v="Furniture"/>
    <x v="1"/>
    <n v="4"/>
    <n v="0"/>
    <n v="840"/>
    <n v="370"/>
    <x v="1"/>
  </r>
  <r>
    <s v="ORD-00141"/>
    <d v="2025-12-30T00:00:00"/>
    <s v="Customer 053"/>
    <x v="3"/>
    <s v="Furniture"/>
    <x v="0"/>
    <n v="3"/>
    <n v="0.2"/>
    <n v="672"/>
    <n v="299.37"/>
    <x v="1"/>
  </r>
  <r>
    <s v="ORD-00142"/>
    <d v="2025-04-26T00:00:00"/>
    <s v="Customer 020"/>
    <x v="0"/>
    <s v="Technology"/>
    <x v="3"/>
    <n v="4"/>
    <n v="0"/>
    <n v="140"/>
    <n v="33.08"/>
    <x v="0"/>
  </r>
  <r>
    <s v="ORD-00143"/>
    <d v="2025-05-30T00:00:00"/>
    <s v="Customer 061"/>
    <x v="8"/>
    <s v="Office Supplies"/>
    <x v="1"/>
    <n v="3"/>
    <n v="0.15"/>
    <n v="612"/>
    <n v="106.82"/>
    <x v="2"/>
  </r>
  <r>
    <s v="ORD-00144"/>
    <d v="2025-08-22T00:00:00"/>
    <s v="Customer 077"/>
    <x v="8"/>
    <s v="Office Supplies"/>
    <x v="1"/>
    <n v="2"/>
    <n v="0.15"/>
    <n v="408"/>
    <n v="157.94"/>
    <x v="2"/>
  </r>
  <r>
    <s v="ORD-00145"/>
    <d v="2025-02-05T00:00:00"/>
    <s v="Customer 065"/>
    <x v="4"/>
    <s v="Technology"/>
    <x v="2"/>
    <n v="4"/>
    <n v="0.1"/>
    <n v="3060"/>
    <n v="433.6"/>
    <x v="0"/>
  </r>
  <r>
    <s v="ORD-00146"/>
    <d v="2025-01-02T00:00:00"/>
    <s v="Customer 085"/>
    <x v="4"/>
    <s v="Technology"/>
    <x v="3"/>
    <n v="3"/>
    <n v="0.2"/>
    <n v="2040"/>
    <n v="527.6"/>
    <x v="0"/>
  </r>
  <r>
    <s v="ORD-00147"/>
    <d v="2025-03-18T00:00:00"/>
    <s v="Customer 071"/>
    <x v="6"/>
    <s v="Office Supplies"/>
    <x v="3"/>
    <n v="5"/>
    <n v="0.15"/>
    <n v="76.5"/>
    <n v="25.71"/>
    <x v="2"/>
  </r>
  <r>
    <s v="ORD-00148"/>
    <d v="2025-08-22T00:00:00"/>
    <s v="Customer 030"/>
    <x v="7"/>
    <s v="Technology"/>
    <x v="3"/>
    <n v="2"/>
    <n v="0.05"/>
    <n v="133"/>
    <n v="34.75"/>
    <x v="0"/>
  </r>
  <r>
    <s v="ORD-00149"/>
    <d v="2025-01-23T00:00:00"/>
    <s v="Customer 085"/>
    <x v="7"/>
    <s v="Technology"/>
    <x v="1"/>
    <n v="4"/>
    <n v="0.15"/>
    <n v="238"/>
    <n v="76.78"/>
    <x v="0"/>
  </r>
  <r>
    <s v="ORD-00150"/>
    <d v="2025-09-11T00:00:00"/>
    <s v="Customer 043"/>
    <x v="9"/>
    <s v="Technology"/>
    <x v="0"/>
    <n v="2"/>
    <n v="0.2"/>
    <n v="1920"/>
    <n v="252.35"/>
    <x v="0"/>
  </r>
  <r>
    <s v="ORD-00151"/>
    <d v="2025-08-14T00:00:00"/>
    <s v="Customer 019"/>
    <x v="0"/>
    <s v="Technology"/>
    <x v="3"/>
    <n v="5"/>
    <n v="0.15"/>
    <n v="148.75"/>
    <n v="66.180000000000007"/>
    <x v="0"/>
  </r>
  <r>
    <s v="ORD-00152"/>
    <d v="2025-12-02T00:00:00"/>
    <s v="Customer 034"/>
    <x v="3"/>
    <s v="Furniture"/>
    <x v="2"/>
    <n v="1"/>
    <n v="0.15"/>
    <n v="238"/>
    <n v="45.72"/>
    <x v="1"/>
  </r>
  <r>
    <s v="ORD-00153"/>
    <d v="2025-11-16T00:00:00"/>
    <s v="Customer 087"/>
    <x v="1"/>
    <s v="Furniture"/>
    <x v="3"/>
    <n v="4"/>
    <n v="0"/>
    <n v="840"/>
    <n v="141.88999999999999"/>
    <x v="1"/>
  </r>
  <r>
    <s v="ORD-00154"/>
    <d v="2025-06-12T00:00:00"/>
    <s v="Customer 009"/>
    <x v="5"/>
    <s v="Technology"/>
    <x v="1"/>
    <n v="4"/>
    <n v="0.2"/>
    <n v="1024"/>
    <n v="448.67"/>
    <x v="0"/>
  </r>
  <r>
    <s v="ORD-00155"/>
    <d v="2025-11-20T00:00:00"/>
    <s v="Customer 056"/>
    <x v="5"/>
    <s v="Technology"/>
    <x v="0"/>
    <n v="3"/>
    <n v="0.05"/>
    <n v="912"/>
    <n v="185.65"/>
    <x v="0"/>
  </r>
  <r>
    <s v="ORD-00156"/>
    <d v="2025-11-21T00:00:00"/>
    <s v="Customer 039"/>
    <x v="1"/>
    <s v="Furniture"/>
    <x v="0"/>
    <n v="1"/>
    <n v="0.15"/>
    <n v="178.5"/>
    <n v="70.53"/>
    <x v="1"/>
  </r>
  <r>
    <s v="ORD-00157"/>
    <d v="2025-01-24T00:00:00"/>
    <s v="Customer 056"/>
    <x v="7"/>
    <s v="Technology"/>
    <x v="1"/>
    <n v="1"/>
    <n v="0.1"/>
    <n v="63"/>
    <n v="20.9"/>
    <x v="0"/>
  </r>
  <r>
    <s v="ORD-00158"/>
    <d v="2025-05-06T00:00:00"/>
    <s v="Customer 024"/>
    <x v="8"/>
    <s v="Office Supplies"/>
    <x v="1"/>
    <n v="4"/>
    <n v="0.2"/>
    <n v="768"/>
    <n v="172.8"/>
    <x v="2"/>
  </r>
  <r>
    <s v="ORD-00159"/>
    <d v="2025-03-31T00:00:00"/>
    <s v="Customer 031"/>
    <x v="0"/>
    <s v="Technology"/>
    <x v="3"/>
    <n v="5"/>
    <n v="0.15"/>
    <n v="148.75"/>
    <n v="36.520000000000003"/>
    <x v="0"/>
  </r>
  <r>
    <s v="ORD-00160"/>
    <d v="2025-10-26T00:00:00"/>
    <s v="Customer 059"/>
    <x v="3"/>
    <s v="Furniture"/>
    <x v="2"/>
    <n v="2"/>
    <n v="0.15"/>
    <n v="476"/>
    <n v="114"/>
    <x v="1"/>
  </r>
  <r>
    <s v="ORD-00161"/>
    <d v="2025-12-08T00:00:00"/>
    <s v="Customer 021"/>
    <x v="9"/>
    <s v="Technology"/>
    <x v="0"/>
    <n v="4"/>
    <n v="0.1"/>
    <n v="4320"/>
    <n v="978"/>
    <x v="0"/>
  </r>
  <r>
    <s v="ORD-00162"/>
    <d v="2025-08-15T00:00:00"/>
    <s v="Customer 055"/>
    <x v="7"/>
    <s v="Technology"/>
    <x v="2"/>
    <n v="5"/>
    <n v="0.1"/>
    <n v="315"/>
    <n v="75.33"/>
    <x v="0"/>
  </r>
  <r>
    <s v="ORD-00163"/>
    <d v="2025-08-22T00:00:00"/>
    <s v="Customer 014"/>
    <x v="4"/>
    <s v="Technology"/>
    <x v="1"/>
    <n v="2"/>
    <n v="0.15"/>
    <n v="1445"/>
    <n v="243.34"/>
    <x v="0"/>
  </r>
  <r>
    <s v="ORD-00164"/>
    <d v="2025-07-15T00:00:00"/>
    <s v="Customer 090"/>
    <x v="10"/>
    <s v="Office Supplies"/>
    <x v="2"/>
    <n v="3"/>
    <n v="0.2"/>
    <n v="60"/>
    <n v="21.14"/>
    <x v="2"/>
  </r>
  <r>
    <s v="ORD-00165"/>
    <d v="2025-01-12T00:00:00"/>
    <s v="Customer 088"/>
    <x v="5"/>
    <s v="Technology"/>
    <x v="0"/>
    <n v="4"/>
    <n v="0.1"/>
    <n v="1152"/>
    <n v="515.32000000000005"/>
    <x v="0"/>
  </r>
  <r>
    <s v="ORD-00166"/>
    <d v="2025-11-07T00:00:00"/>
    <s v="Customer 030"/>
    <x v="1"/>
    <s v="Furniture"/>
    <x v="2"/>
    <n v="4"/>
    <n v="0.1"/>
    <n v="756"/>
    <n v="146.66999999999999"/>
    <x v="1"/>
  </r>
  <r>
    <s v="ORD-00167"/>
    <d v="2025-04-23T00:00:00"/>
    <s v="Customer 097"/>
    <x v="5"/>
    <s v="Technology"/>
    <x v="1"/>
    <n v="2"/>
    <n v="0.2"/>
    <n v="512"/>
    <n v="188.05"/>
    <x v="0"/>
  </r>
  <r>
    <s v="ORD-00168"/>
    <d v="2025-11-18T00:00:00"/>
    <s v="Customer 005"/>
    <x v="0"/>
    <s v="Technology"/>
    <x v="2"/>
    <n v="1"/>
    <n v="0.1"/>
    <n v="31.5"/>
    <n v="5.98"/>
    <x v="0"/>
  </r>
  <r>
    <s v="ORD-00169"/>
    <d v="2025-03-09T00:00:00"/>
    <s v="Customer 023"/>
    <x v="0"/>
    <s v="Technology"/>
    <x v="1"/>
    <n v="3"/>
    <n v="0.1"/>
    <n v="94.5"/>
    <n v="19.21"/>
    <x v="0"/>
  </r>
  <r>
    <s v="ORD-00170"/>
    <d v="2025-03-09T00:00:00"/>
    <s v="Customer 035"/>
    <x v="8"/>
    <s v="Office Supplies"/>
    <x v="1"/>
    <n v="3"/>
    <n v="0.2"/>
    <n v="576"/>
    <n v="163.82"/>
    <x v="2"/>
  </r>
  <r>
    <s v="ORD-00171"/>
    <d v="2025-05-12T00:00:00"/>
    <s v="Customer 060"/>
    <x v="6"/>
    <s v="Office Supplies"/>
    <x v="0"/>
    <n v="3"/>
    <n v="0.1"/>
    <n v="48.6"/>
    <n v="8.9700000000000006"/>
    <x v="2"/>
  </r>
  <r>
    <s v="ORD-00172"/>
    <d v="2025-03-14T00:00:00"/>
    <s v="Customer 051"/>
    <x v="2"/>
    <s v="Furniture"/>
    <x v="0"/>
    <n v="4"/>
    <n v="0.2"/>
    <n v="176"/>
    <n v="57.96"/>
    <x v="1"/>
  </r>
  <r>
    <s v="ORD-00173"/>
    <d v="2025-05-16T00:00:00"/>
    <s v="Customer 096"/>
    <x v="8"/>
    <s v="Office Supplies"/>
    <x v="2"/>
    <n v="1"/>
    <n v="0.15"/>
    <n v="204"/>
    <n v="66.989999999999995"/>
    <x v="2"/>
  </r>
  <r>
    <s v="ORD-00174"/>
    <d v="2025-10-27T00:00:00"/>
    <s v="Customer 061"/>
    <x v="11"/>
    <s v="Furniture"/>
    <x v="0"/>
    <n v="3"/>
    <n v="0"/>
    <n v="570"/>
    <n v="129.56"/>
    <x v="1"/>
  </r>
  <r>
    <s v="ORD-00175"/>
    <d v="2025-11-14T00:00:00"/>
    <s v="Customer 009"/>
    <x v="8"/>
    <s v="Office Supplies"/>
    <x v="3"/>
    <n v="3"/>
    <n v="0.2"/>
    <n v="576"/>
    <n v="217.12"/>
    <x v="2"/>
  </r>
  <r>
    <s v="ORD-00176"/>
    <d v="2025-12-25T00:00:00"/>
    <s v="Customer 005"/>
    <x v="4"/>
    <s v="Technology"/>
    <x v="2"/>
    <n v="4"/>
    <n v="0"/>
    <n v="3400"/>
    <n v="1373.17"/>
    <x v="0"/>
  </r>
  <r>
    <s v="ORD-00177"/>
    <d v="2025-09-10T00:00:00"/>
    <s v="Customer 018"/>
    <x v="0"/>
    <s v="Technology"/>
    <x v="3"/>
    <n v="1"/>
    <n v="0.05"/>
    <n v="33.25"/>
    <n v="5.23"/>
    <x v="0"/>
  </r>
  <r>
    <s v="ORD-00178"/>
    <d v="2025-08-21T00:00:00"/>
    <s v="Customer 094"/>
    <x v="7"/>
    <s v="Technology"/>
    <x v="1"/>
    <n v="5"/>
    <n v="0.15"/>
    <n v="297.5"/>
    <n v="76.209999999999994"/>
    <x v="0"/>
  </r>
  <r>
    <s v="ORD-00179"/>
    <d v="2025-08-01T00:00:00"/>
    <s v="Customer 036"/>
    <x v="5"/>
    <s v="Technology"/>
    <x v="0"/>
    <n v="1"/>
    <n v="0.15"/>
    <n v="272"/>
    <n v="67.14"/>
    <x v="0"/>
  </r>
  <r>
    <s v="ORD-00180"/>
    <d v="2025-12-20T00:00:00"/>
    <s v="Customer 031"/>
    <x v="7"/>
    <s v="Technology"/>
    <x v="2"/>
    <n v="2"/>
    <n v="0.15"/>
    <n v="119"/>
    <n v="36.090000000000003"/>
    <x v="0"/>
  </r>
  <r>
    <s v="ORD-00181"/>
    <d v="2025-02-20T00:00:00"/>
    <s v="Customer 083"/>
    <x v="5"/>
    <s v="Technology"/>
    <x v="2"/>
    <n v="3"/>
    <n v="0.2"/>
    <n v="768"/>
    <n v="117.07"/>
    <x v="0"/>
  </r>
  <r>
    <s v="ORD-00182"/>
    <d v="2025-02-01T00:00:00"/>
    <s v="Customer 059"/>
    <x v="11"/>
    <s v="Furniture"/>
    <x v="0"/>
    <n v="3"/>
    <n v="0.05"/>
    <n v="541.5"/>
    <n v="70.66"/>
    <x v="1"/>
  </r>
  <r>
    <s v="ORD-00183"/>
    <d v="2025-12-06T00:00:00"/>
    <s v="Customer 043"/>
    <x v="2"/>
    <s v="Furniture"/>
    <x v="1"/>
    <n v="5"/>
    <n v="0"/>
    <n v="275"/>
    <n v="119.16"/>
    <x v="1"/>
  </r>
  <r>
    <s v="ORD-00184"/>
    <d v="2025-03-06T00:00:00"/>
    <s v="Customer 071"/>
    <x v="10"/>
    <s v="Office Supplies"/>
    <x v="1"/>
    <n v="2"/>
    <n v="0"/>
    <n v="50"/>
    <n v="8.81"/>
    <x v="2"/>
  </r>
  <r>
    <s v="ORD-00185"/>
    <d v="2025-10-28T00:00:00"/>
    <s v="Customer 077"/>
    <x v="2"/>
    <s v="Furniture"/>
    <x v="0"/>
    <n v="2"/>
    <n v="0.1"/>
    <n v="99"/>
    <n v="19.25"/>
    <x v="1"/>
  </r>
  <r>
    <s v="ORD-00186"/>
    <d v="2025-05-22T00:00:00"/>
    <s v="Customer 023"/>
    <x v="3"/>
    <s v="Furniture"/>
    <x v="0"/>
    <n v="2"/>
    <n v="0.2"/>
    <n v="448"/>
    <n v="164.54"/>
    <x v="1"/>
  </r>
  <r>
    <s v="ORD-00187"/>
    <d v="2025-12-05T00:00:00"/>
    <s v="Customer 031"/>
    <x v="9"/>
    <s v="Technology"/>
    <x v="2"/>
    <n v="2"/>
    <n v="0"/>
    <n v="2400"/>
    <n v="796.27"/>
    <x v="0"/>
  </r>
  <r>
    <s v="ORD-00188"/>
    <d v="2025-01-09T00:00:00"/>
    <s v="Customer 054"/>
    <x v="3"/>
    <s v="Furniture"/>
    <x v="0"/>
    <n v="3"/>
    <n v="0"/>
    <n v="840"/>
    <n v="342.86"/>
    <x v="1"/>
  </r>
  <r>
    <s v="ORD-00189"/>
    <d v="2025-02-02T00:00:00"/>
    <s v="Customer 014"/>
    <x v="6"/>
    <s v="Office Supplies"/>
    <x v="3"/>
    <n v="4"/>
    <n v="0.1"/>
    <n v="64.8"/>
    <n v="18.18"/>
    <x v="2"/>
  </r>
  <r>
    <s v="ORD-00190"/>
    <d v="2025-09-15T00:00:00"/>
    <s v="Customer 085"/>
    <x v="2"/>
    <s v="Furniture"/>
    <x v="2"/>
    <n v="5"/>
    <n v="0"/>
    <n v="275"/>
    <n v="57.75"/>
    <x v="1"/>
  </r>
  <r>
    <s v="ORD-00191"/>
    <d v="2025-08-23T00:00:00"/>
    <s v="Customer 052"/>
    <x v="5"/>
    <s v="Technology"/>
    <x v="3"/>
    <n v="1"/>
    <n v="0"/>
    <n v="320"/>
    <n v="38.549999999999997"/>
    <x v="0"/>
  </r>
  <r>
    <s v="ORD-00192"/>
    <d v="2025-12-18T00:00:00"/>
    <s v="Customer 011"/>
    <x v="0"/>
    <s v="Technology"/>
    <x v="2"/>
    <n v="4"/>
    <n v="0.15"/>
    <n v="119"/>
    <n v="50.66"/>
    <x v="0"/>
  </r>
  <r>
    <s v="ORD-00193"/>
    <d v="2025-11-08T00:00:00"/>
    <s v="Customer 082"/>
    <x v="3"/>
    <s v="Furniture"/>
    <x v="2"/>
    <n v="1"/>
    <n v="0.05"/>
    <n v="266"/>
    <n v="95.56"/>
    <x v="1"/>
  </r>
  <r>
    <s v="ORD-00194"/>
    <d v="2025-07-15T00:00:00"/>
    <s v="Customer 078"/>
    <x v="10"/>
    <s v="Office Supplies"/>
    <x v="3"/>
    <n v="5"/>
    <n v="0.1"/>
    <n v="112.5"/>
    <n v="33.78"/>
    <x v="2"/>
  </r>
  <r>
    <s v="ORD-00195"/>
    <d v="2025-02-20T00:00:00"/>
    <s v="Customer 028"/>
    <x v="1"/>
    <s v="Furniture"/>
    <x v="3"/>
    <n v="1"/>
    <n v="0.2"/>
    <n v="168"/>
    <n v="35.64"/>
    <x v="1"/>
  </r>
  <r>
    <s v="ORD-00196"/>
    <d v="2025-08-20T00:00:00"/>
    <s v="Customer 052"/>
    <x v="2"/>
    <s v="Furniture"/>
    <x v="3"/>
    <n v="4"/>
    <n v="0.1"/>
    <n v="198"/>
    <n v="35.04"/>
    <x v="1"/>
  </r>
  <r>
    <s v="ORD-00197"/>
    <d v="2025-02-18T00:00:00"/>
    <s v="Customer 048"/>
    <x v="7"/>
    <s v="Technology"/>
    <x v="1"/>
    <n v="4"/>
    <n v="0.1"/>
    <n v="252"/>
    <n v="58.09"/>
    <x v="0"/>
  </r>
  <r>
    <s v="ORD-00198"/>
    <d v="2025-12-18T00:00:00"/>
    <s v="Customer 012"/>
    <x v="6"/>
    <s v="Office Supplies"/>
    <x v="3"/>
    <n v="1"/>
    <n v="0"/>
    <n v="18"/>
    <n v="3.16"/>
    <x v="2"/>
  </r>
  <r>
    <s v="ORD-00199"/>
    <d v="2025-02-19T00:00:00"/>
    <s v="Customer 076"/>
    <x v="1"/>
    <s v="Furniture"/>
    <x v="2"/>
    <n v="3"/>
    <n v="0.05"/>
    <n v="598.5"/>
    <n v="159.44"/>
    <x v="1"/>
  </r>
  <r>
    <s v="ORD-00200"/>
    <d v="2025-12-10T00:00:00"/>
    <s v="Customer 097"/>
    <x v="0"/>
    <s v="Technology"/>
    <x v="3"/>
    <n v="4"/>
    <n v="0.1"/>
    <n v="126"/>
    <n v="20.38"/>
    <x v="0"/>
  </r>
  <r>
    <s v="ORD-00201"/>
    <d v="2025-01-27T00:00:00"/>
    <s v="Customer 074"/>
    <x v="4"/>
    <s v="Technology"/>
    <x v="1"/>
    <n v="5"/>
    <n v="0.1"/>
    <n v="3825"/>
    <n v="1277.3800000000001"/>
    <x v="0"/>
  </r>
  <r>
    <s v="ORD-00202"/>
    <d v="2025-03-21T00:00:00"/>
    <s v="Customer 045"/>
    <x v="5"/>
    <s v="Technology"/>
    <x v="2"/>
    <n v="4"/>
    <n v="0.05"/>
    <n v="1216"/>
    <n v="207.21"/>
    <x v="0"/>
  </r>
  <r>
    <s v="ORD-00203"/>
    <d v="2025-02-28T00:00:00"/>
    <s v="Customer 072"/>
    <x v="4"/>
    <s v="Technology"/>
    <x v="0"/>
    <n v="5"/>
    <n v="0.05"/>
    <n v="4037.5"/>
    <n v="741.35"/>
    <x v="0"/>
  </r>
  <r>
    <s v="ORD-00204"/>
    <d v="2025-11-08T00:00:00"/>
    <s v="Customer 090"/>
    <x v="5"/>
    <s v="Technology"/>
    <x v="2"/>
    <n v="3"/>
    <n v="0"/>
    <n v="960"/>
    <n v="374.84"/>
    <x v="0"/>
  </r>
  <r>
    <s v="ORD-00205"/>
    <d v="2025-06-23T00:00:00"/>
    <s v="Customer 073"/>
    <x v="7"/>
    <s v="Technology"/>
    <x v="3"/>
    <n v="1"/>
    <n v="0.05"/>
    <n v="66.5"/>
    <n v="10.84"/>
    <x v="0"/>
  </r>
  <r>
    <s v="ORD-00206"/>
    <d v="2025-02-05T00:00:00"/>
    <s v="Customer 028"/>
    <x v="3"/>
    <s v="Furniture"/>
    <x v="3"/>
    <n v="1"/>
    <n v="0"/>
    <n v="280"/>
    <n v="57.06"/>
    <x v="1"/>
  </r>
  <r>
    <s v="ORD-00207"/>
    <d v="2025-08-03T00:00:00"/>
    <s v="Customer 093"/>
    <x v="6"/>
    <s v="Office Supplies"/>
    <x v="2"/>
    <n v="3"/>
    <n v="0.05"/>
    <n v="51.3"/>
    <n v="16.82"/>
    <x v="2"/>
  </r>
  <r>
    <s v="ORD-00208"/>
    <d v="2025-10-18T00:00:00"/>
    <s v="Customer 097"/>
    <x v="10"/>
    <s v="Office Supplies"/>
    <x v="0"/>
    <n v="1"/>
    <n v="0"/>
    <n v="25"/>
    <n v="9.9700000000000006"/>
    <x v="2"/>
  </r>
  <r>
    <s v="ORD-00209"/>
    <d v="2025-12-12T00:00:00"/>
    <s v="Customer 063"/>
    <x v="0"/>
    <s v="Technology"/>
    <x v="3"/>
    <n v="3"/>
    <n v="0.15"/>
    <n v="89.25"/>
    <n v="20.67"/>
    <x v="0"/>
  </r>
  <r>
    <s v="ORD-00210"/>
    <d v="2025-08-01T00:00:00"/>
    <s v="Customer 056"/>
    <x v="4"/>
    <s v="Technology"/>
    <x v="0"/>
    <n v="2"/>
    <n v="0.2"/>
    <n v="1360"/>
    <n v="560.91999999999996"/>
    <x v="0"/>
  </r>
  <r>
    <s v="ORD-00211"/>
    <d v="2025-05-26T00:00:00"/>
    <s v="Customer 040"/>
    <x v="5"/>
    <s v="Technology"/>
    <x v="0"/>
    <n v="5"/>
    <n v="0.15"/>
    <n v="1360"/>
    <n v="375.51"/>
    <x v="0"/>
  </r>
  <r>
    <s v="ORD-00212"/>
    <d v="2025-04-23T00:00:00"/>
    <s v="Customer 039"/>
    <x v="11"/>
    <s v="Furniture"/>
    <x v="1"/>
    <n v="5"/>
    <n v="0"/>
    <n v="950"/>
    <n v="425.09"/>
    <x v="1"/>
  </r>
  <r>
    <s v="ORD-00213"/>
    <d v="2025-03-12T00:00:00"/>
    <s v="Customer 064"/>
    <x v="4"/>
    <s v="Technology"/>
    <x v="3"/>
    <n v="3"/>
    <n v="0.1"/>
    <n v="2295"/>
    <n v="941.88"/>
    <x v="0"/>
  </r>
  <r>
    <s v="ORD-00214"/>
    <d v="2025-03-31T00:00:00"/>
    <s v="Customer 065"/>
    <x v="3"/>
    <s v="Furniture"/>
    <x v="2"/>
    <n v="4"/>
    <n v="0.2"/>
    <n v="896"/>
    <n v="195.14"/>
    <x v="1"/>
  </r>
  <r>
    <s v="ORD-00215"/>
    <d v="2025-02-06T00:00:00"/>
    <s v="Customer 010"/>
    <x v="11"/>
    <s v="Furniture"/>
    <x v="2"/>
    <n v="1"/>
    <n v="0.15"/>
    <n v="161.5"/>
    <n v="71.680000000000007"/>
    <x v="1"/>
  </r>
  <r>
    <s v="ORD-00216"/>
    <d v="2025-10-22T00:00:00"/>
    <s v="Customer 054"/>
    <x v="11"/>
    <s v="Furniture"/>
    <x v="2"/>
    <n v="5"/>
    <n v="0.15"/>
    <n v="807.5"/>
    <n v="174.31"/>
    <x v="1"/>
  </r>
  <r>
    <s v="ORD-00217"/>
    <d v="2025-02-28T00:00:00"/>
    <s v="Customer 080"/>
    <x v="11"/>
    <s v="Furniture"/>
    <x v="3"/>
    <n v="1"/>
    <n v="0.1"/>
    <n v="171"/>
    <n v="67.25"/>
    <x v="1"/>
  </r>
  <r>
    <s v="ORD-00218"/>
    <d v="2025-12-20T00:00:00"/>
    <s v="Customer 032"/>
    <x v="7"/>
    <s v="Technology"/>
    <x v="3"/>
    <n v="1"/>
    <n v="0.15"/>
    <n v="59.5"/>
    <n v="10.19"/>
    <x v="0"/>
  </r>
  <r>
    <s v="ORD-00219"/>
    <d v="2025-10-29T00:00:00"/>
    <s v="Customer 040"/>
    <x v="11"/>
    <s v="Furniture"/>
    <x v="2"/>
    <n v="5"/>
    <n v="0"/>
    <n v="950"/>
    <n v="303.43"/>
    <x v="1"/>
  </r>
  <r>
    <s v="ORD-00220"/>
    <d v="2025-04-24T00:00:00"/>
    <s v="Customer 015"/>
    <x v="7"/>
    <s v="Technology"/>
    <x v="1"/>
    <n v="2"/>
    <n v="0"/>
    <n v="140"/>
    <n v="39.42"/>
    <x v="0"/>
  </r>
  <r>
    <s v="ORD-00221"/>
    <d v="2025-06-28T00:00:00"/>
    <s v="Customer 033"/>
    <x v="7"/>
    <s v="Technology"/>
    <x v="1"/>
    <n v="2"/>
    <n v="0.05"/>
    <n v="133"/>
    <n v="55.34"/>
    <x v="0"/>
  </r>
  <r>
    <s v="ORD-00222"/>
    <d v="2025-03-30T00:00:00"/>
    <s v="Customer 099"/>
    <x v="10"/>
    <s v="Office Supplies"/>
    <x v="3"/>
    <n v="2"/>
    <n v="0"/>
    <n v="50"/>
    <n v="19.579999999999998"/>
    <x v="2"/>
  </r>
  <r>
    <s v="ORD-00223"/>
    <d v="2025-08-26T00:00:00"/>
    <s v="Customer 073"/>
    <x v="10"/>
    <s v="Office Supplies"/>
    <x v="2"/>
    <n v="5"/>
    <n v="0.15"/>
    <n v="106.25"/>
    <n v="23.93"/>
    <x v="2"/>
  </r>
  <r>
    <s v="ORD-00224"/>
    <d v="2025-11-18T00:00:00"/>
    <s v="Customer 057"/>
    <x v="7"/>
    <s v="Technology"/>
    <x v="2"/>
    <n v="2"/>
    <n v="0.15"/>
    <n v="119"/>
    <n v="50.87"/>
    <x v="0"/>
  </r>
  <r>
    <s v="ORD-00225"/>
    <d v="2025-05-21T00:00:00"/>
    <s v="Customer 040"/>
    <x v="10"/>
    <s v="Office Supplies"/>
    <x v="3"/>
    <n v="1"/>
    <n v="0.1"/>
    <n v="22.5"/>
    <n v="6.36"/>
    <x v="2"/>
  </r>
  <r>
    <s v="ORD-00226"/>
    <d v="2025-08-20T00:00:00"/>
    <s v="Customer 010"/>
    <x v="9"/>
    <s v="Technology"/>
    <x v="0"/>
    <n v="1"/>
    <n v="0.1"/>
    <n v="1080"/>
    <n v="189.58"/>
    <x v="0"/>
  </r>
  <r>
    <s v="ORD-00227"/>
    <d v="2025-11-11T00:00:00"/>
    <s v="Customer 071"/>
    <x v="10"/>
    <s v="Office Supplies"/>
    <x v="0"/>
    <n v="5"/>
    <n v="0.15"/>
    <n v="106.25"/>
    <n v="31.59"/>
    <x v="2"/>
  </r>
  <r>
    <s v="ORD-00228"/>
    <d v="2025-08-19T00:00:00"/>
    <s v="Customer 065"/>
    <x v="10"/>
    <s v="Office Supplies"/>
    <x v="1"/>
    <n v="2"/>
    <n v="0.1"/>
    <n v="45"/>
    <n v="11.27"/>
    <x v="2"/>
  </r>
  <r>
    <s v="ORD-00229"/>
    <d v="2025-02-01T00:00:00"/>
    <s v="Customer 011"/>
    <x v="6"/>
    <s v="Office Supplies"/>
    <x v="1"/>
    <n v="1"/>
    <n v="0.1"/>
    <n v="16.2"/>
    <n v="2.04"/>
    <x v="2"/>
  </r>
  <r>
    <s v="ORD-00230"/>
    <d v="2025-01-21T00:00:00"/>
    <s v="Customer 079"/>
    <x v="2"/>
    <s v="Furniture"/>
    <x v="1"/>
    <n v="4"/>
    <n v="0.15"/>
    <n v="187"/>
    <n v="51.81"/>
    <x v="1"/>
  </r>
  <r>
    <s v="ORD-00231"/>
    <d v="2025-07-06T00:00:00"/>
    <s v="Customer 044"/>
    <x v="7"/>
    <s v="Technology"/>
    <x v="0"/>
    <n v="3"/>
    <n v="0.15"/>
    <n v="178.5"/>
    <n v="56.25"/>
    <x v="0"/>
  </r>
  <r>
    <s v="ORD-00232"/>
    <d v="2025-11-20T00:00:00"/>
    <m/>
    <x v="5"/>
    <s v="Technology"/>
    <x v="3"/>
    <n v="3"/>
    <n v="0"/>
    <n v="960"/>
    <n v="327.55"/>
    <x v="0"/>
  </r>
  <r>
    <s v="ORD-00233"/>
    <d v="2025-05-26T00:00:00"/>
    <s v="Customer 075"/>
    <x v="4"/>
    <s v="Technology"/>
    <x v="1"/>
    <n v="5"/>
    <n v="0.05"/>
    <n v="4037.5"/>
    <n v="1372.71"/>
    <x v="0"/>
  </r>
  <r>
    <s v="ORD-00234"/>
    <d v="2025-06-29T00:00:00"/>
    <s v="Customer 011"/>
    <x v="4"/>
    <s v="Technology"/>
    <x v="2"/>
    <n v="4"/>
    <n v="0.05"/>
    <n v="3230"/>
    <n v="819.25"/>
    <x v="0"/>
  </r>
  <r>
    <s v="ORD-00235"/>
    <d v="2025-10-14T00:00:00"/>
    <s v="Customer 095"/>
    <x v="11"/>
    <s v="Furniture"/>
    <x v="0"/>
    <n v="3"/>
    <n v="0.05"/>
    <n v="541.5"/>
    <n v="123.93"/>
    <x v="1"/>
  </r>
  <r>
    <s v="ORD-00236"/>
    <d v="2025-11-27T00:00:00"/>
    <s v="Customer 047"/>
    <x v="5"/>
    <s v="Technology"/>
    <x v="2"/>
    <n v="4"/>
    <n v="0.2"/>
    <n v="1024"/>
    <n v="338.53"/>
    <x v="0"/>
  </r>
  <r>
    <s v="ORD-00237"/>
    <d v="2025-04-03T00:00:00"/>
    <s v="Customer 018"/>
    <x v="2"/>
    <s v="Furniture"/>
    <x v="1"/>
    <n v="3"/>
    <n v="0.15"/>
    <n v="140.25"/>
    <n v="54.23"/>
    <x v="1"/>
  </r>
  <r>
    <s v="ORD-00238"/>
    <d v="2025-02-09T00:00:00"/>
    <s v="Customer 095"/>
    <x v="4"/>
    <s v="Technology"/>
    <x v="0"/>
    <n v="1"/>
    <n v="0.2"/>
    <n v="680"/>
    <n v="133.02000000000001"/>
    <x v="0"/>
  </r>
  <r>
    <s v="ORD-00239"/>
    <d v="2025-12-05T00:00:00"/>
    <s v="Customer 020"/>
    <x v="7"/>
    <s v="Technology"/>
    <x v="1"/>
    <n v="5"/>
    <n v="0.05"/>
    <n v="332.5"/>
    <n v="84.09"/>
    <x v="0"/>
  </r>
  <r>
    <s v="ORD-00240"/>
    <d v="2025-04-03T00:00:00"/>
    <s v="Customer 006"/>
    <x v="1"/>
    <s v="Furniture"/>
    <x v="3"/>
    <n v="5"/>
    <n v="0.05"/>
    <n v="997.5"/>
    <n v="211.48"/>
    <x v="1"/>
  </r>
  <r>
    <s v="ORD-00241"/>
    <d v="2025-07-06T00:00:00"/>
    <s v="Customer 097"/>
    <x v="5"/>
    <s v="Technology"/>
    <x v="3"/>
    <n v="2"/>
    <n v="0.15"/>
    <n v="544"/>
    <n v="135.19"/>
    <x v="0"/>
  </r>
  <r>
    <s v="ORD-00242"/>
    <d v="2025-04-30T00:00:00"/>
    <s v="Customer 061"/>
    <x v="8"/>
    <s v="Office Supplies"/>
    <x v="1"/>
    <n v="2"/>
    <n v="0.1"/>
    <n v="432"/>
    <n v="56.74"/>
    <x v="2"/>
  </r>
  <r>
    <s v="ORD-00243"/>
    <d v="2025-07-08T00:00:00"/>
    <s v="Customer 037"/>
    <x v="5"/>
    <s v="Technology"/>
    <x v="3"/>
    <n v="5"/>
    <n v="0.15"/>
    <n v="1360"/>
    <n v="404.8"/>
    <x v="0"/>
  </r>
  <r>
    <s v="ORD-00244"/>
    <d v="2025-09-15T00:00:00"/>
    <s v="Customer 078"/>
    <x v="8"/>
    <s v="Office Supplies"/>
    <x v="1"/>
    <n v="4"/>
    <n v="0.05"/>
    <n v="912"/>
    <n v="164.55"/>
    <x v="2"/>
  </r>
  <r>
    <s v="ORD-00245"/>
    <d v="2025-05-09T00:00:00"/>
    <s v="Customer 014"/>
    <x v="9"/>
    <s v="Technology"/>
    <x v="0"/>
    <n v="4"/>
    <n v="0.1"/>
    <n v="4320"/>
    <n v="1153.45"/>
    <x v="0"/>
  </r>
  <r>
    <s v="ORD-00246"/>
    <d v="2025-05-26T00:00:00"/>
    <s v="Customer 066"/>
    <x v="0"/>
    <s v="Technology"/>
    <x v="1"/>
    <n v="2"/>
    <n v="0.1"/>
    <n v="63"/>
    <n v="19.010000000000002"/>
    <x v="0"/>
  </r>
  <r>
    <s v="ORD-00247"/>
    <d v="2025-08-12T00:00:00"/>
    <s v="Customer 004"/>
    <x v="0"/>
    <s v="Technology"/>
    <x v="3"/>
    <n v="2"/>
    <n v="0.15"/>
    <n v="59.5"/>
    <n v="9.41"/>
    <x v="0"/>
  </r>
  <r>
    <s v="ORD-00248"/>
    <d v="2025-01-28T00:00:00"/>
    <s v="Customer 011"/>
    <x v="11"/>
    <s v="Furniture"/>
    <x v="2"/>
    <n v="5"/>
    <n v="0.1"/>
    <n v="855"/>
    <n v="318.23"/>
    <x v="1"/>
  </r>
  <r>
    <s v="ORD-00249"/>
    <d v="2025-04-25T00:00:00"/>
    <s v="Customer 084"/>
    <x v="9"/>
    <s v="Technology"/>
    <x v="2"/>
    <n v="3"/>
    <n v="0"/>
    <n v="3600"/>
    <n v="623.05999999999995"/>
    <x v="0"/>
  </r>
  <r>
    <s v="ORD-00250"/>
    <d v="2025-03-16T00:00:00"/>
    <s v="Customer 061"/>
    <x v="3"/>
    <s v="Furniture"/>
    <x v="1"/>
    <n v="1"/>
    <n v="0.1"/>
    <n v="252"/>
    <n v="37.11"/>
    <x v="1"/>
  </r>
  <r>
    <s v="ORD-00251"/>
    <d v="2025-12-28T00:00:00"/>
    <s v="Customer 011"/>
    <x v="6"/>
    <s v="Office Supplies"/>
    <x v="0"/>
    <n v="4"/>
    <n v="0.2"/>
    <n v="57.6"/>
    <n v="25.82"/>
    <x v="2"/>
  </r>
  <r>
    <s v="ORD-00252"/>
    <d v="2025-05-12T00:00:00"/>
    <s v="Customer 078"/>
    <x v="2"/>
    <s v="Furniture"/>
    <x v="3"/>
    <n v="2"/>
    <n v="0.2"/>
    <n v="88"/>
    <n v="12.3"/>
    <x v="1"/>
  </r>
  <r>
    <s v="ORD-00253"/>
    <d v="2025-02-26T00:00:00"/>
    <s v="Customer 031"/>
    <x v="4"/>
    <s v="Technology"/>
    <x v="3"/>
    <n v="2"/>
    <n v="0.1"/>
    <n v="1530"/>
    <n v="626.98"/>
    <x v="0"/>
  </r>
  <r>
    <s v="ORD-00254"/>
    <d v="2025-11-24T00:00:00"/>
    <s v="Customer 064"/>
    <x v="10"/>
    <s v="Office Supplies"/>
    <x v="0"/>
    <n v="4"/>
    <n v="0"/>
    <n v="100"/>
    <n v="41.34"/>
    <x v="2"/>
  </r>
  <r>
    <s v="ORD-00255"/>
    <d v="2025-11-20T00:00:00"/>
    <s v="Customer 038"/>
    <x v="8"/>
    <s v="Office Supplies"/>
    <x v="3"/>
    <n v="5"/>
    <n v="0.05"/>
    <n v="1140"/>
    <n v="242.68"/>
    <x v="2"/>
  </r>
  <r>
    <s v="ORD-00256"/>
    <d v="2025-01-01T00:00:00"/>
    <s v="Customer 024"/>
    <x v="10"/>
    <s v="Office Supplies"/>
    <x v="0"/>
    <n v="3"/>
    <n v="0.05"/>
    <n v="71.25"/>
    <n v="18.64"/>
    <x v="2"/>
  </r>
  <r>
    <s v="ORD-00257"/>
    <d v="2025-09-26T00:00:00"/>
    <s v="Customer 065"/>
    <x v="7"/>
    <s v="Technology"/>
    <x v="0"/>
    <n v="1"/>
    <n v="0.2"/>
    <n v="56"/>
    <n v="15.15"/>
    <x v="0"/>
  </r>
  <r>
    <s v="ORD-00258"/>
    <d v="2025-07-19T00:00:00"/>
    <s v="Customer 033"/>
    <x v="6"/>
    <s v="Office Supplies"/>
    <x v="0"/>
    <n v="1"/>
    <n v="0.15"/>
    <n v="15.3"/>
    <n v="1.93"/>
    <x v="2"/>
  </r>
  <r>
    <s v="ORD-00259"/>
    <d v="2025-07-02T00:00:00"/>
    <s v="Customer 081"/>
    <x v="0"/>
    <s v="Technology"/>
    <x v="0"/>
    <n v="3"/>
    <n v="0.05"/>
    <n v="99.75"/>
    <n v="20.76"/>
    <x v="0"/>
  </r>
  <r>
    <s v="ORD-00260"/>
    <d v="2025-10-25T00:00:00"/>
    <s v="Customer 070"/>
    <x v="1"/>
    <s v="Furniture"/>
    <x v="2"/>
    <n v="3"/>
    <n v="0.05"/>
    <n v="598.5"/>
    <n v="260.57"/>
    <x v="1"/>
  </r>
  <r>
    <s v="ORD-00261"/>
    <d v="2025-11-26T00:00:00"/>
    <s v="Customer 018"/>
    <x v="3"/>
    <s v="Furniture"/>
    <x v="0"/>
    <n v="4"/>
    <n v="0.15"/>
    <n v="952"/>
    <n v="229.93"/>
    <x v="1"/>
  </r>
  <r>
    <s v="ORD-00262"/>
    <d v="2025-08-23T00:00:00"/>
    <s v="Customer 026"/>
    <x v="9"/>
    <s v="Technology"/>
    <x v="0"/>
    <n v="3"/>
    <n v="0.05"/>
    <n v="3420"/>
    <n v="1489.56"/>
    <x v="0"/>
  </r>
  <r>
    <s v="ORD-00263"/>
    <d v="2025-06-11T00:00:00"/>
    <s v="Customer 070"/>
    <x v="4"/>
    <s v="Technology"/>
    <x v="3"/>
    <n v="5"/>
    <n v="0.15"/>
    <n v="3612.5"/>
    <n v="446.47"/>
    <x v="0"/>
  </r>
  <r>
    <s v="ORD-00264"/>
    <d v="2025-05-10T00:00:00"/>
    <s v="Customer 100"/>
    <x v="9"/>
    <s v="Technology"/>
    <x v="0"/>
    <n v="2"/>
    <n v="0.1"/>
    <n v="2160"/>
    <n v="717.55"/>
    <x v="0"/>
  </r>
  <r>
    <s v="ORD-00265"/>
    <d v="2025-12-02T00:00:00"/>
    <s v="Customer 056"/>
    <x v="7"/>
    <s v="Technology"/>
    <x v="3"/>
    <n v="3"/>
    <n v="0"/>
    <n v="210"/>
    <n v="39.11"/>
    <x v="0"/>
  </r>
  <r>
    <s v="ORD-00266"/>
    <d v="2025-08-14T00:00:00"/>
    <s v="Customer 064"/>
    <x v="11"/>
    <s v="Furniture"/>
    <x v="2"/>
    <n v="3"/>
    <n v="0.05"/>
    <n v="541.5"/>
    <n v="155.01"/>
    <x v="1"/>
  </r>
  <r>
    <s v="ORD-00267"/>
    <d v="2025-09-23T00:00:00"/>
    <s v="Customer 078"/>
    <x v="4"/>
    <s v="Technology"/>
    <x v="1"/>
    <n v="1"/>
    <n v="0.15"/>
    <n v="722.5"/>
    <n v="306.31"/>
    <x v="0"/>
  </r>
  <r>
    <s v="ORD-00268"/>
    <d v="2025-10-07T00:00:00"/>
    <s v="Customer 085"/>
    <x v="4"/>
    <s v="Technology"/>
    <x v="2"/>
    <n v="3"/>
    <n v="0"/>
    <n v="2550"/>
    <n v="1080.1199999999999"/>
    <x v="0"/>
  </r>
  <r>
    <s v="ORD-00269"/>
    <d v="2025-06-06T00:00:00"/>
    <s v="Customer 057"/>
    <x v="6"/>
    <s v="Office Supplies"/>
    <x v="2"/>
    <n v="5"/>
    <n v="0.15"/>
    <n v="76.5"/>
    <n v="30.22"/>
    <x v="2"/>
  </r>
  <r>
    <s v="ORD-00270"/>
    <d v="2025-08-17T00:00:00"/>
    <s v="Customer 036"/>
    <x v="9"/>
    <s v="Technology"/>
    <x v="0"/>
    <n v="3"/>
    <n v="0.2"/>
    <n v="2880"/>
    <n v="347.36"/>
    <x v="0"/>
  </r>
  <r>
    <s v="ORD-00271"/>
    <d v="2025-02-08T00:00:00"/>
    <s v="Customer 096"/>
    <x v="5"/>
    <s v="Technology"/>
    <x v="1"/>
    <n v="4"/>
    <n v="0.1"/>
    <n v="1152"/>
    <n v="323.35000000000002"/>
    <x v="0"/>
  </r>
  <r>
    <s v="ORD-00272"/>
    <d v="2025-01-16T00:00:00"/>
    <s v="Customer 009"/>
    <x v="3"/>
    <s v="Furniture"/>
    <x v="1"/>
    <n v="5"/>
    <n v="0.15"/>
    <n v="1190"/>
    <n v="521.83000000000004"/>
    <x v="1"/>
  </r>
  <r>
    <s v="ORD-00273"/>
    <d v="2025-11-27T00:00:00"/>
    <s v="Customer 005"/>
    <x v="7"/>
    <s v="Technology"/>
    <x v="1"/>
    <n v="3"/>
    <n v="0.15"/>
    <n v="178.5"/>
    <n v="24.4"/>
    <x v="0"/>
  </r>
  <r>
    <s v="ORD-00274"/>
    <d v="2025-12-14T00:00:00"/>
    <s v="Customer 010"/>
    <x v="6"/>
    <s v="Office Supplies"/>
    <x v="1"/>
    <n v="3"/>
    <n v="0.1"/>
    <n v="48.6"/>
    <n v="14.75"/>
    <x v="2"/>
  </r>
  <r>
    <s v="ORD-00275"/>
    <d v="2025-09-29T00:00:00"/>
    <s v="Customer 032"/>
    <x v="7"/>
    <s v="Technology"/>
    <x v="0"/>
    <n v="4"/>
    <n v="0.1"/>
    <n v="252"/>
    <n v="59.38"/>
    <x v="0"/>
  </r>
  <r>
    <s v="ORD-00276"/>
    <d v="2025-01-14T00:00:00"/>
    <s v="Customer 072"/>
    <x v="1"/>
    <s v="Furniture"/>
    <x v="0"/>
    <n v="2"/>
    <n v="0.15"/>
    <n v="357"/>
    <n v="99.65"/>
    <x v="1"/>
  </r>
  <r>
    <s v="ORD-00277"/>
    <d v="2025-05-15T00:00:00"/>
    <s v="Customer 037"/>
    <x v="4"/>
    <s v="Technology"/>
    <x v="3"/>
    <n v="4"/>
    <n v="0.05"/>
    <n v="3230"/>
    <n v="391.47"/>
    <x v="0"/>
  </r>
  <r>
    <s v="ORD-00278"/>
    <d v="2025-04-13T00:00:00"/>
    <s v="Customer 092"/>
    <x v="0"/>
    <s v="Technology"/>
    <x v="3"/>
    <n v="2"/>
    <n v="0"/>
    <n v="70"/>
    <n v="21.06"/>
    <x v="0"/>
  </r>
  <r>
    <s v="ORD-00279"/>
    <d v="2025-02-14T00:00:00"/>
    <s v="Customer 071"/>
    <x v="5"/>
    <s v="Technology"/>
    <x v="2"/>
    <n v="3"/>
    <n v="0.1"/>
    <n v="864"/>
    <n v="186.5"/>
    <x v="0"/>
  </r>
  <r>
    <s v="ORD-00280"/>
    <d v="2025-06-03T00:00:00"/>
    <s v="Customer 016"/>
    <x v="3"/>
    <s v="Furniture"/>
    <x v="1"/>
    <n v="2"/>
    <n v="0.1"/>
    <n v="504"/>
    <n v="142.18"/>
    <x v="1"/>
  </r>
  <r>
    <s v="ORD-00281"/>
    <d v="2025-03-13T00:00:00"/>
    <s v="Customer 074"/>
    <x v="2"/>
    <s v="Furniture"/>
    <x v="2"/>
    <n v="4"/>
    <n v="0"/>
    <n v="220"/>
    <n v="72.8"/>
    <x v="1"/>
  </r>
  <r>
    <s v="ORD-00282"/>
    <d v="2025-08-28T00:00:00"/>
    <s v="Customer 009"/>
    <x v="8"/>
    <s v="Office Supplies"/>
    <x v="2"/>
    <n v="2"/>
    <n v="0.2"/>
    <n v="384"/>
    <n v="60.75"/>
    <x v="2"/>
  </r>
  <r>
    <s v="ORD-00283"/>
    <d v="2025-07-23T00:00:00"/>
    <s v="Customer 053"/>
    <x v="1"/>
    <s v="Furniture"/>
    <x v="0"/>
    <n v="4"/>
    <n v="0.2"/>
    <n v="672"/>
    <n v="211.3"/>
    <x v="1"/>
  </r>
  <r>
    <s v="ORD-00284"/>
    <d v="2025-03-06T00:00:00"/>
    <s v="Customer 067"/>
    <x v="7"/>
    <s v="Technology"/>
    <x v="2"/>
    <n v="1"/>
    <n v="0.15"/>
    <n v="59.5"/>
    <n v="17.63"/>
    <x v="0"/>
  </r>
  <r>
    <s v="ORD-00285"/>
    <d v="2025-03-07T00:00:00"/>
    <s v="Customer 017"/>
    <x v="8"/>
    <s v="Office Supplies"/>
    <x v="3"/>
    <n v="5"/>
    <n v="0.05"/>
    <n v="1140"/>
    <n v="224.16"/>
    <x v="2"/>
  </r>
  <r>
    <s v="ORD-00286"/>
    <d v="2025-09-15T00:00:00"/>
    <s v="Customer 022"/>
    <x v="9"/>
    <s v="Technology"/>
    <x v="1"/>
    <n v="1"/>
    <n v="0.2"/>
    <n v="960"/>
    <n v="383.52"/>
    <x v="0"/>
  </r>
  <r>
    <s v="ORD-00287"/>
    <d v="2025-06-15T00:00:00"/>
    <s v="Customer 067"/>
    <x v="1"/>
    <s v="Furniture"/>
    <x v="2"/>
    <n v="2"/>
    <n v="0.1"/>
    <n v="378"/>
    <n v="51.91"/>
    <x v="1"/>
  </r>
  <r>
    <s v="ORD-00288"/>
    <d v="2025-02-10T00:00:00"/>
    <s v="Customer 081"/>
    <x v="4"/>
    <s v="Technology"/>
    <x v="2"/>
    <n v="2"/>
    <n v="0.2"/>
    <n v="1360"/>
    <n v="488.83"/>
    <x v="0"/>
  </r>
  <r>
    <s v="ORD-00289"/>
    <d v="2025-11-11T00:00:00"/>
    <s v="Customer 076"/>
    <x v="8"/>
    <s v="Office Supplies"/>
    <x v="1"/>
    <n v="1"/>
    <n v="0.2"/>
    <n v="192"/>
    <n v="45.79"/>
    <x v="2"/>
  </r>
  <r>
    <s v="ORD-00290"/>
    <d v="2025-03-29T00:00:00"/>
    <s v="Customer 073"/>
    <x v="5"/>
    <s v="Technology"/>
    <x v="0"/>
    <n v="5"/>
    <n v="0.2"/>
    <n v="1280"/>
    <n v="433.39"/>
    <x v="0"/>
  </r>
  <r>
    <s v="ORD-00291"/>
    <d v="2025-01-15T00:00:00"/>
    <s v="Customer 027"/>
    <x v="0"/>
    <s v="Technology"/>
    <x v="3"/>
    <n v="1"/>
    <n v="0.2"/>
    <n v="28"/>
    <n v="10.15"/>
    <x v="0"/>
  </r>
  <r>
    <s v="ORD-00292"/>
    <d v="2025-11-13T00:00:00"/>
    <s v="Customer 070"/>
    <x v="5"/>
    <s v="Technology"/>
    <x v="2"/>
    <n v="1"/>
    <n v="0.15"/>
    <n v="272"/>
    <n v="42.6"/>
    <x v="0"/>
  </r>
  <r>
    <s v="ORD-00293"/>
    <d v="2025-11-25T00:00:00"/>
    <s v="Customer 088"/>
    <x v="4"/>
    <s v="Technology"/>
    <x v="3"/>
    <n v="4"/>
    <n v="0.05"/>
    <n v="3230"/>
    <n v="595.78"/>
    <x v="0"/>
  </r>
  <r>
    <s v="ORD-00294"/>
    <d v="2025-06-02T00:00:00"/>
    <s v="Customer 054"/>
    <x v="6"/>
    <s v="Office Supplies"/>
    <x v="3"/>
    <n v="1"/>
    <n v="0"/>
    <n v="18"/>
    <n v="7.16"/>
    <x v="2"/>
  </r>
  <r>
    <s v="ORD-00295"/>
    <d v="2025-08-26T00:00:00"/>
    <s v="Customer 092"/>
    <x v="2"/>
    <s v="Furniture"/>
    <x v="2"/>
    <n v="3"/>
    <n v="0.2"/>
    <n v="132"/>
    <n v="53.14"/>
    <x v="1"/>
  </r>
  <r>
    <s v="ORD-00296"/>
    <d v="2025-06-26T00:00:00"/>
    <s v="Customer 014"/>
    <x v="11"/>
    <s v="Furniture"/>
    <x v="2"/>
    <n v="2"/>
    <n v="0.1"/>
    <n v="342"/>
    <n v="95.78"/>
    <x v="1"/>
  </r>
  <r>
    <s v="ORD-00297"/>
    <d v="2025-05-04T00:00:00"/>
    <s v="Customer 019"/>
    <x v="6"/>
    <s v="Office Supplies"/>
    <x v="0"/>
    <n v="1"/>
    <n v="0.1"/>
    <n v="16.2"/>
    <n v="4.8899999999999997"/>
    <x v="2"/>
  </r>
  <r>
    <s v="ORD-00298"/>
    <d v="2025-01-26T00:00:00"/>
    <s v="Customer 021"/>
    <x v="4"/>
    <s v="Technology"/>
    <x v="2"/>
    <n v="4"/>
    <n v="0.2"/>
    <n v="2720"/>
    <n v="848.68"/>
    <x v="0"/>
  </r>
  <r>
    <s v="ORD-00299"/>
    <d v="2025-10-23T00:00:00"/>
    <s v="Customer 064"/>
    <x v="1"/>
    <s v="Furniture"/>
    <x v="3"/>
    <n v="3"/>
    <n v="0.05"/>
    <n v="598.5"/>
    <n v="118.6"/>
    <x v="1"/>
  </r>
  <r>
    <s v="ORD-00300"/>
    <d v="2025-09-13T00:00:00"/>
    <s v="Customer 051"/>
    <x v="4"/>
    <s v="Technology"/>
    <x v="3"/>
    <n v="4"/>
    <n v="0"/>
    <n v="3400"/>
    <n v="1428.96"/>
    <x v="0"/>
  </r>
  <r>
    <s v="ORD-00301"/>
    <d v="2025-05-04T00:00:00"/>
    <s v="Customer 037"/>
    <x v="2"/>
    <s v="Furniture"/>
    <x v="3"/>
    <n v="5"/>
    <n v="0.1"/>
    <n v="247.5"/>
    <n v="107.4"/>
    <x v="1"/>
  </r>
  <r>
    <s v="ORD-00302"/>
    <d v="2025-11-02T00:00:00"/>
    <s v="Customer 014"/>
    <x v="5"/>
    <s v="Technology"/>
    <x v="3"/>
    <n v="4"/>
    <n v="0.1"/>
    <n v="1152"/>
    <n v="314.37"/>
    <x v="0"/>
  </r>
  <r>
    <s v="ORD-00303"/>
    <d v="2025-03-10T00:00:00"/>
    <s v="Customer 052"/>
    <x v="4"/>
    <s v="Technology"/>
    <x v="0"/>
    <n v="3"/>
    <n v="0.15"/>
    <n v="2167.5"/>
    <n v="713.63"/>
    <x v="0"/>
  </r>
  <r>
    <s v="ORD-00304"/>
    <d v="2025-10-19T00:00:00"/>
    <s v="Customer 010"/>
    <x v="8"/>
    <s v="Office Supplies"/>
    <x v="3"/>
    <n v="2"/>
    <n v="0.1"/>
    <n v="432"/>
    <n v="115.53"/>
    <x v="2"/>
  </r>
  <r>
    <s v="ORD-00305"/>
    <d v="2025-09-16T00:00:00"/>
    <s v="Customer 080"/>
    <x v="6"/>
    <s v="Office Supplies"/>
    <x v="0"/>
    <n v="5"/>
    <n v="0.1"/>
    <n v="81"/>
    <n v="14.39"/>
    <x v="2"/>
  </r>
  <r>
    <s v="ORD-00306"/>
    <d v="2025-03-07T00:00:00"/>
    <s v="Customer 044"/>
    <x v="0"/>
    <s v="Technology"/>
    <x v="2"/>
    <n v="4"/>
    <n v="0.1"/>
    <n v="126"/>
    <n v="23.65"/>
    <x v="0"/>
  </r>
  <r>
    <s v="ORD-00307"/>
    <d v="2025-03-15T00:00:00"/>
    <s v="Customer 006"/>
    <x v="2"/>
    <s v="Furniture"/>
    <x v="0"/>
    <n v="5"/>
    <n v="0.2"/>
    <n v="220"/>
    <n v="69.86"/>
    <x v="1"/>
  </r>
  <r>
    <s v="ORD-00308"/>
    <d v="2025-01-20T00:00:00"/>
    <s v="Customer 020"/>
    <x v="3"/>
    <s v="Furniture"/>
    <x v="1"/>
    <n v="3"/>
    <n v="0.15"/>
    <n v="714"/>
    <n v="198.93"/>
    <x v="1"/>
  </r>
  <r>
    <s v="ORD-00309"/>
    <d v="2025-06-17T00:00:00"/>
    <s v="Customer 079"/>
    <x v="10"/>
    <s v="Office Supplies"/>
    <x v="2"/>
    <n v="3"/>
    <n v="0.05"/>
    <n v="71.25"/>
    <n v="22.82"/>
    <x v="2"/>
  </r>
  <r>
    <s v="ORD-00310"/>
    <d v="2025-10-31T00:00:00"/>
    <s v="Customer 091"/>
    <x v="7"/>
    <s v="Technology"/>
    <x v="2"/>
    <n v="5"/>
    <n v="0.2"/>
    <n v="280"/>
    <n v="76.81"/>
    <x v="0"/>
  </r>
  <r>
    <s v="ORD-00311"/>
    <d v="2025-09-01T00:00:00"/>
    <s v="Customer 054"/>
    <x v="9"/>
    <s v="Technology"/>
    <x v="2"/>
    <n v="3"/>
    <n v="0.1"/>
    <n v="3240"/>
    <n v="737.57"/>
    <x v="0"/>
  </r>
  <r>
    <s v="ORD-00312"/>
    <d v="2025-12-19T00:00:00"/>
    <s v="Customer 084"/>
    <x v="5"/>
    <s v="Technology"/>
    <x v="1"/>
    <n v="1"/>
    <n v="0.2"/>
    <n v="256"/>
    <n v="75.11"/>
    <x v="0"/>
  </r>
  <r>
    <s v="ORD-00313"/>
    <d v="2025-01-27T00:00:00"/>
    <s v="Customer 093"/>
    <x v="10"/>
    <s v="Office Supplies"/>
    <x v="3"/>
    <n v="4"/>
    <n v="0.05"/>
    <n v="95"/>
    <n v="26.32"/>
    <x v="2"/>
  </r>
  <r>
    <s v="ORD-00314"/>
    <d v="2025-03-17T00:00:00"/>
    <s v="Customer 090"/>
    <x v="5"/>
    <s v="Technology"/>
    <x v="0"/>
    <n v="2"/>
    <n v="0"/>
    <n v="640"/>
    <n v="167.07"/>
    <x v="0"/>
  </r>
  <r>
    <s v="ORD-00315"/>
    <d v="2025-04-08T00:00:00"/>
    <s v="Customer 053"/>
    <x v="9"/>
    <s v="Technology"/>
    <x v="1"/>
    <n v="4"/>
    <n v="0.1"/>
    <n v="4320"/>
    <n v="1346.99"/>
    <x v="0"/>
  </r>
  <r>
    <s v="ORD-00316"/>
    <d v="2025-07-30T00:00:00"/>
    <s v="Customer 095"/>
    <x v="8"/>
    <s v="Office Supplies"/>
    <x v="0"/>
    <n v="5"/>
    <n v="0.15"/>
    <n v="1020"/>
    <n v="165.21"/>
    <x v="2"/>
  </r>
  <r>
    <s v="ORD-00317"/>
    <d v="2025-12-28T00:00:00"/>
    <s v="Customer 085"/>
    <x v="3"/>
    <s v="Furniture"/>
    <x v="3"/>
    <n v="5"/>
    <n v="0.05"/>
    <n v="1330"/>
    <n v="352.33"/>
    <x v="1"/>
  </r>
  <r>
    <s v="ORD-00318"/>
    <d v="2025-09-27T00:00:00"/>
    <s v="Customer 069"/>
    <x v="11"/>
    <s v="Furniture"/>
    <x v="2"/>
    <n v="3"/>
    <n v="0.05"/>
    <n v="541.5"/>
    <n v="161.54"/>
    <x v="1"/>
  </r>
  <r>
    <s v="ORD-00319"/>
    <d v="2025-10-07T00:00:00"/>
    <s v="Customer 032"/>
    <x v="7"/>
    <s v="Technology"/>
    <x v="2"/>
    <n v="3"/>
    <n v="0.2"/>
    <n v="168"/>
    <n v="48.76"/>
    <x v="0"/>
  </r>
  <r>
    <s v="ORD-00320"/>
    <d v="2025-10-13T00:00:00"/>
    <s v="Customer 091"/>
    <x v="4"/>
    <s v="Technology"/>
    <x v="1"/>
    <n v="2"/>
    <n v="0.1"/>
    <n v="1530"/>
    <n v="299.13"/>
    <x v="0"/>
  </r>
  <r>
    <s v="ORD-00321"/>
    <d v="2025-12-20T00:00:00"/>
    <s v="Customer 072"/>
    <x v="1"/>
    <s v="Furniture"/>
    <x v="2"/>
    <n v="4"/>
    <n v="0.1"/>
    <n v="756"/>
    <n v="220.5"/>
    <x v="1"/>
  </r>
  <r>
    <s v="ORD-00322"/>
    <d v="2025-05-28T00:00:00"/>
    <s v="Customer 051"/>
    <x v="0"/>
    <s v="Technology"/>
    <x v="2"/>
    <n v="5"/>
    <n v="0.2"/>
    <n v="140"/>
    <n v="45.46"/>
    <x v="0"/>
  </r>
  <r>
    <s v="ORD-00323"/>
    <d v="2025-03-16T00:00:00"/>
    <s v="Customer 011"/>
    <x v="4"/>
    <s v="Technology"/>
    <x v="2"/>
    <n v="1"/>
    <n v="0.1"/>
    <n v="765"/>
    <n v="103.08"/>
    <x v="0"/>
  </r>
  <r>
    <s v="ORD-00324"/>
    <d v="2025-08-15T00:00:00"/>
    <s v="Customer 069"/>
    <x v="5"/>
    <s v="Technology"/>
    <x v="2"/>
    <n v="3"/>
    <n v="0.15"/>
    <n v="816"/>
    <n v="309.58"/>
    <x v="0"/>
  </r>
  <r>
    <s v="ORD-00325"/>
    <d v="2025-10-15T00:00:00"/>
    <s v="Customer 095"/>
    <x v="1"/>
    <s v="Furniture"/>
    <x v="1"/>
    <n v="3"/>
    <n v="0.05"/>
    <n v="598.5"/>
    <n v="247.75"/>
    <x v="1"/>
  </r>
  <r>
    <s v="ORD-00326"/>
    <d v="2025-05-05T00:00:00"/>
    <s v="Customer 007"/>
    <x v="9"/>
    <s v="Technology"/>
    <x v="0"/>
    <n v="5"/>
    <n v="0.05"/>
    <n v="5700"/>
    <n v="1365.03"/>
    <x v="0"/>
  </r>
  <r>
    <s v="ORD-00327"/>
    <d v="2025-07-31T00:00:00"/>
    <s v="Customer 018"/>
    <x v="7"/>
    <s v="Technology"/>
    <x v="0"/>
    <n v="4"/>
    <n v="0"/>
    <n v="280"/>
    <n v="63.06"/>
    <x v="0"/>
  </r>
  <r>
    <s v="ORD-00328"/>
    <d v="2025-10-09T00:00:00"/>
    <s v="Customer 026"/>
    <x v="3"/>
    <s v="Furniture"/>
    <x v="2"/>
    <n v="4"/>
    <n v="0.15"/>
    <n v="952"/>
    <n v="278.39999999999998"/>
    <x v="1"/>
  </r>
  <r>
    <s v="ORD-00329"/>
    <d v="2025-06-14T00:00:00"/>
    <s v="Customer 030"/>
    <x v="4"/>
    <s v="Technology"/>
    <x v="0"/>
    <n v="1"/>
    <n v="0"/>
    <n v="850"/>
    <n v="199.53"/>
    <x v="0"/>
  </r>
  <r>
    <s v="ORD-00330"/>
    <d v="2025-03-31T00:00:00"/>
    <s v="Customer 051"/>
    <x v="11"/>
    <s v="Furniture"/>
    <x v="3"/>
    <n v="2"/>
    <n v="0"/>
    <n v="380"/>
    <n v="45.95"/>
    <x v="1"/>
  </r>
  <r>
    <s v="ORD-00331"/>
    <d v="2025-04-06T00:00:00"/>
    <s v="Customer 073"/>
    <x v="1"/>
    <s v="Furniture"/>
    <x v="0"/>
    <n v="3"/>
    <n v="0"/>
    <n v="630"/>
    <n v="281.57"/>
    <x v="1"/>
  </r>
  <r>
    <s v="ORD-00332"/>
    <d v="2025-06-21T00:00:00"/>
    <s v="Customer 018"/>
    <x v="4"/>
    <s v="Technology"/>
    <x v="3"/>
    <n v="4"/>
    <n v="0.2"/>
    <n v="2720"/>
    <n v="753.37"/>
    <x v="0"/>
  </r>
  <r>
    <s v="ORD-00333"/>
    <d v="2025-05-20T00:00:00"/>
    <s v="Customer 059"/>
    <x v="2"/>
    <s v="Furniture"/>
    <x v="2"/>
    <n v="1"/>
    <n v="0.1"/>
    <n v="49.5"/>
    <n v="19.62"/>
    <x v="1"/>
  </r>
  <r>
    <s v="ORD-00334"/>
    <d v="2025-04-06T00:00:00"/>
    <s v="Customer 097"/>
    <x v="9"/>
    <s v="Technology"/>
    <x v="1"/>
    <n v="3"/>
    <n v="0.1"/>
    <n v="3240"/>
    <n v="850.93"/>
    <x v="0"/>
  </r>
  <r>
    <s v="ORD-00335"/>
    <d v="2025-03-31T00:00:00"/>
    <s v="Customer 012"/>
    <x v="10"/>
    <s v="Office Supplies"/>
    <x v="3"/>
    <n v="4"/>
    <n v="0.15"/>
    <n v="85"/>
    <n v="23.8"/>
    <x v="2"/>
  </r>
  <r>
    <s v="ORD-00336"/>
    <d v="2025-12-09T00:00:00"/>
    <s v="Customer 032"/>
    <x v="0"/>
    <s v="Technology"/>
    <x v="0"/>
    <n v="2"/>
    <n v="0.05"/>
    <n v="66.5"/>
    <n v="19.45"/>
    <x v="0"/>
  </r>
  <r>
    <s v="ORD-00337"/>
    <d v="2025-05-14T00:00:00"/>
    <s v="Customer 043"/>
    <x v="11"/>
    <s v="Furniture"/>
    <x v="2"/>
    <n v="2"/>
    <n v="0.15"/>
    <n v="323"/>
    <n v="65.010000000000005"/>
    <x v="1"/>
  </r>
  <r>
    <s v="ORD-00338"/>
    <d v="2025-10-26T00:00:00"/>
    <s v="Customer 047"/>
    <x v="1"/>
    <s v="Furniture"/>
    <x v="1"/>
    <n v="5"/>
    <n v="0"/>
    <n v="1050"/>
    <n v="381.87"/>
    <x v="1"/>
  </r>
  <r>
    <s v="ORD-00339"/>
    <d v="2025-02-01T00:00:00"/>
    <s v="Customer 052"/>
    <x v="5"/>
    <s v="Technology"/>
    <x v="2"/>
    <n v="1"/>
    <n v="0.15"/>
    <n v="272"/>
    <n v="94.86"/>
    <x v="0"/>
  </r>
  <r>
    <s v="ORD-00340"/>
    <d v="2025-12-20T00:00:00"/>
    <s v="Customer 029"/>
    <x v="0"/>
    <s v="Technology"/>
    <x v="1"/>
    <n v="3"/>
    <n v="0.1"/>
    <n v="94.5"/>
    <n v="23.36"/>
    <x v="0"/>
  </r>
  <r>
    <s v="ORD-00341"/>
    <d v="2025-09-02T00:00:00"/>
    <s v="Customer 090"/>
    <x v="3"/>
    <s v="Furniture"/>
    <x v="3"/>
    <n v="4"/>
    <n v="0.2"/>
    <n v="896"/>
    <n v="292.73"/>
    <x v="1"/>
  </r>
  <r>
    <s v="ORD-00342"/>
    <d v="2025-10-03T00:00:00"/>
    <s v="Customer 077"/>
    <x v="5"/>
    <s v="Technology"/>
    <x v="0"/>
    <n v="2"/>
    <n v="0.05"/>
    <n v="608"/>
    <n v="137.1"/>
    <x v="0"/>
  </r>
  <r>
    <s v="ORD-00343"/>
    <d v="2025-09-27T00:00:00"/>
    <s v="Customer 073"/>
    <x v="6"/>
    <s v="Office Supplies"/>
    <x v="0"/>
    <n v="5"/>
    <n v="0.1"/>
    <n v="81"/>
    <n v="34.36"/>
    <x v="2"/>
  </r>
  <r>
    <s v="ORD-00344"/>
    <d v="2025-02-01T00:00:00"/>
    <s v="Customer 020"/>
    <x v="8"/>
    <s v="Office Supplies"/>
    <x v="1"/>
    <n v="5"/>
    <n v="0.05"/>
    <n v="1140"/>
    <n v="297.55"/>
    <x v="2"/>
  </r>
  <r>
    <s v="ORD-00345"/>
    <d v="2025-06-17T00:00:00"/>
    <s v="Customer 092"/>
    <x v="8"/>
    <s v="Office Supplies"/>
    <x v="3"/>
    <n v="4"/>
    <n v="0"/>
    <n v="960"/>
    <n v="216.48"/>
    <x v="2"/>
  </r>
  <r>
    <s v="ORD-00346"/>
    <d v="2025-02-16T00:00:00"/>
    <s v="Customer 066"/>
    <x v="8"/>
    <s v="Office Supplies"/>
    <x v="3"/>
    <n v="4"/>
    <n v="0"/>
    <n v="960"/>
    <n v="288.35000000000002"/>
    <x v="2"/>
  </r>
  <r>
    <s v="ORD-00347"/>
    <d v="2025-08-22T00:00:00"/>
    <s v="Customer 040"/>
    <x v="10"/>
    <s v="Office Supplies"/>
    <x v="0"/>
    <n v="1"/>
    <n v="0.2"/>
    <n v="20"/>
    <n v="5.95"/>
    <x v="2"/>
  </r>
  <r>
    <s v="ORD-00348"/>
    <d v="2025-07-22T00:00:00"/>
    <s v="Customer 006"/>
    <x v="4"/>
    <s v="Technology"/>
    <x v="3"/>
    <n v="1"/>
    <n v="0.05"/>
    <n v="807.5"/>
    <n v="209.27"/>
    <x v="0"/>
  </r>
  <r>
    <s v="ORD-00349"/>
    <d v="2025-06-26T00:00:00"/>
    <s v="Customer 009"/>
    <x v="1"/>
    <s v="Furniture"/>
    <x v="3"/>
    <n v="1"/>
    <n v="0.2"/>
    <n v="168"/>
    <n v="20.49"/>
    <x v="1"/>
  </r>
  <r>
    <s v="ORD-00350"/>
    <d v="2025-01-17T00:00:00"/>
    <s v="Customer 099"/>
    <x v="4"/>
    <s v="Technology"/>
    <x v="3"/>
    <n v="4"/>
    <n v="0.05"/>
    <n v="3230"/>
    <n v="633.85"/>
    <x v="0"/>
  </r>
  <r>
    <s v="ORD-00351"/>
    <d v="2025-07-11T00:00:00"/>
    <s v="Customer 088"/>
    <x v="11"/>
    <s v="Furniture"/>
    <x v="1"/>
    <n v="4"/>
    <n v="0.15"/>
    <n v="646"/>
    <n v="210.62"/>
    <x v="1"/>
  </r>
  <r>
    <s v="ORD-00352"/>
    <d v="2025-12-01T00:00:00"/>
    <s v="Customer 051"/>
    <x v="7"/>
    <s v="Technology"/>
    <x v="1"/>
    <n v="1"/>
    <n v="0.05"/>
    <n v="66.5"/>
    <n v="8.14"/>
    <x v="0"/>
  </r>
  <r>
    <s v="ORD-00353"/>
    <d v="2025-04-25T00:00:00"/>
    <s v="Customer 093"/>
    <x v="9"/>
    <s v="Technology"/>
    <x v="3"/>
    <n v="1"/>
    <n v="0.1"/>
    <n v="1080"/>
    <n v="320.99"/>
    <x v="0"/>
  </r>
  <r>
    <s v="ORD-00354"/>
    <d v="2025-09-30T00:00:00"/>
    <s v="Customer 020"/>
    <x v="11"/>
    <s v="Furniture"/>
    <x v="2"/>
    <n v="2"/>
    <n v="0.05"/>
    <n v="361"/>
    <n v="107.58"/>
    <x v="1"/>
  </r>
  <r>
    <s v="ORD-00355"/>
    <d v="2025-04-07T00:00:00"/>
    <s v="Customer 054"/>
    <x v="1"/>
    <s v="Furniture"/>
    <x v="0"/>
    <n v="1"/>
    <n v="0"/>
    <n v="210"/>
    <n v="38.4"/>
    <x v="1"/>
  </r>
  <r>
    <s v="ORD-00356"/>
    <d v="2025-05-04T00:00:00"/>
    <s v="Customer 058"/>
    <x v="2"/>
    <s v="Furniture"/>
    <x v="0"/>
    <n v="1"/>
    <n v="0"/>
    <n v="55"/>
    <n v="13.97"/>
    <x v="1"/>
  </r>
  <r>
    <s v="ORD-00357"/>
    <d v="2025-05-06T00:00:00"/>
    <s v="Customer 070"/>
    <x v="1"/>
    <s v="Furniture"/>
    <x v="1"/>
    <n v="1"/>
    <n v="0.15"/>
    <n v="178.5"/>
    <n v="54.47"/>
    <x v="1"/>
  </r>
  <r>
    <s v="ORD-00358"/>
    <d v="2025-01-29T00:00:00"/>
    <s v="Customer 094"/>
    <x v="3"/>
    <s v="Furniture"/>
    <x v="2"/>
    <n v="5"/>
    <n v="0.1"/>
    <n v="1260"/>
    <n v="469.64"/>
    <x v="1"/>
  </r>
  <r>
    <s v="ORD-00359"/>
    <d v="2025-10-23T00:00:00"/>
    <s v="Customer 019"/>
    <x v="10"/>
    <s v="Office Supplies"/>
    <x v="1"/>
    <n v="3"/>
    <n v="0.05"/>
    <n v="71.25"/>
    <n v="24.97"/>
    <x v="2"/>
  </r>
  <r>
    <s v="ORD-00360"/>
    <d v="2025-07-31T00:00:00"/>
    <s v="Customer 076"/>
    <x v="4"/>
    <s v="Technology"/>
    <x v="1"/>
    <n v="3"/>
    <n v="0"/>
    <n v="2550"/>
    <n v="679.02"/>
    <x v="0"/>
  </r>
  <r>
    <s v="ORD-00361"/>
    <d v="2025-11-17T00:00:00"/>
    <s v="Customer 045"/>
    <x v="5"/>
    <s v="Technology"/>
    <x v="3"/>
    <n v="4"/>
    <n v="0.2"/>
    <n v="1024"/>
    <n v="293.32"/>
    <x v="0"/>
  </r>
  <r>
    <s v="ORD-00362"/>
    <d v="2025-09-26T00:00:00"/>
    <s v="Customer 049"/>
    <x v="7"/>
    <s v="Technology"/>
    <x v="1"/>
    <n v="4"/>
    <n v="0.15"/>
    <n v="238"/>
    <n v="95.38"/>
    <x v="0"/>
  </r>
  <r>
    <s v="ORD-00363"/>
    <d v="2025-10-03T00:00:00"/>
    <s v="Customer 091"/>
    <x v="6"/>
    <s v="Office Supplies"/>
    <x v="1"/>
    <n v="2"/>
    <n v="0.05"/>
    <n v="34.200000000000003"/>
    <n v="12"/>
    <x v="2"/>
  </r>
  <r>
    <s v="ORD-00364"/>
    <d v="2025-08-26T00:00:00"/>
    <s v="Customer 072"/>
    <x v="9"/>
    <s v="Technology"/>
    <x v="1"/>
    <n v="5"/>
    <n v="0.15"/>
    <n v="5100"/>
    <n v="666.22"/>
    <x v="0"/>
  </r>
  <r>
    <s v="ORD-00365"/>
    <d v="2025-07-18T00:00:00"/>
    <s v="Customer 011"/>
    <x v="2"/>
    <s v="Furniture"/>
    <x v="3"/>
    <n v="3"/>
    <n v="0.05"/>
    <n v="156.75"/>
    <n v="53.45"/>
    <x v="1"/>
  </r>
  <r>
    <s v="ORD-00366"/>
    <d v="2025-07-09T00:00:00"/>
    <s v="Customer 049"/>
    <x v="0"/>
    <s v="Technology"/>
    <x v="0"/>
    <n v="5"/>
    <n v="0.05"/>
    <n v="166.25"/>
    <n v="71.989999999999995"/>
    <x v="0"/>
  </r>
  <r>
    <s v="ORD-00367"/>
    <d v="2025-02-07T00:00:00"/>
    <s v="Customer 027"/>
    <x v="2"/>
    <s v="Furniture"/>
    <x v="2"/>
    <n v="5"/>
    <n v="0.2"/>
    <n v="220"/>
    <n v="83.24"/>
    <x v="1"/>
  </r>
  <r>
    <s v="ORD-00368"/>
    <d v="2025-06-05T00:00:00"/>
    <s v="Customer 016"/>
    <x v="9"/>
    <s v="Technology"/>
    <x v="3"/>
    <n v="2"/>
    <n v="0.05"/>
    <n v="2280"/>
    <n v="302.13"/>
    <x v="0"/>
  </r>
  <r>
    <s v="ORD-00369"/>
    <d v="2025-05-05T00:00:00"/>
    <s v="Customer 031"/>
    <x v="1"/>
    <s v="Furniture"/>
    <x v="2"/>
    <n v="5"/>
    <n v="0.05"/>
    <n v="997.5"/>
    <n v="318.31"/>
    <x v="1"/>
  </r>
  <r>
    <s v="ORD-00370"/>
    <d v="2025-05-25T00:00:00"/>
    <s v="Customer 040"/>
    <x v="11"/>
    <s v="Furniture"/>
    <x v="2"/>
    <n v="4"/>
    <n v="0.2"/>
    <n v="608"/>
    <n v="143.44"/>
    <x v="1"/>
  </r>
  <r>
    <s v="ORD-00371"/>
    <d v="2025-07-04T00:00:00"/>
    <s v="Customer 093"/>
    <x v="8"/>
    <s v="Office Supplies"/>
    <x v="3"/>
    <n v="4"/>
    <n v="0.15"/>
    <n v="816"/>
    <n v="340.65"/>
    <x v="2"/>
  </r>
  <r>
    <s v="ORD-00372"/>
    <d v="2025-06-13T00:00:00"/>
    <s v="Customer 073"/>
    <x v="2"/>
    <s v="Furniture"/>
    <x v="1"/>
    <n v="3"/>
    <n v="0.1"/>
    <n v="148.5"/>
    <n v="46.54"/>
    <x v="1"/>
  </r>
  <r>
    <s v="ORD-00373"/>
    <d v="2025-03-16T00:00:00"/>
    <s v="Customer 075"/>
    <x v="9"/>
    <s v="Technology"/>
    <x v="3"/>
    <n v="3"/>
    <n v="0.2"/>
    <n v="2880"/>
    <n v="407.61"/>
    <x v="0"/>
  </r>
  <r>
    <s v="ORD-00374"/>
    <d v="2025-06-01T00:00:00"/>
    <s v="Customer 073"/>
    <x v="3"/>
    <s v="Furniture"/>
    <x v="1"/>
    <n v="2"/>
    <n v="0.1"/>
    <n v="504"/>
    <n v="188.54"/>
    <x v="1"/>
  </r>
  <r>
    <s v="ORD-00375"/>
    <d v="2025-09-13T00:00:00"/>
    <s v="Customer 063"/>
    <x v="8"/>
    <s v="Office Supplies"/>
    <x v="3"/>
    <n v="3"/>
    <n v="0.1"/>
    <n v="648"/>
    <n v="128.36000000000001"/>
    <x v="2"/>
  </r>
  <r>
    <s v="ORD-00376"/>
    <d v="2025-08-24T00:00:00"/>
    <s v="Customer 070"/>
    <x v="3"/>
    <s v="Furniture"/>
    <x v="3"/>
    <n v="3"/>
    <n v="0.05"/>
    <n v="798"/>
    <n v="322.24"/>
    <x v="1"/>
  </r>
  <r>
    <s v="ORD-00377"/>
    <d v="2025-04-05T00:00:00"/>
    <s v="Customer 010"/>
    <x v="8"/>
    <s v="Office Supplies"/>
    <x v="0"/>
    <n v="1"/>
    <n v="0.2"/>
    <n v="192"/>
    <n v="84.26"/>
    <x v="2"/>
  </r>
  <r>
    <s v="ORD-00378"/>
    <d v="2025-01-04T00:00:00"/>
    <s v="Customer 020"/>
    <x v="11"/>
    <s v="Furniture"/>
    <x v="0"/>
    <n v="2"/>
    <n v="0.05"/>
    <n v="361"/>
    <n v="154.35"/>
    <x v="1"/>
  </r>
  <r>
    <s v="ORD-00379"/>
    <d v="2025-04-22T00:00:00"/>
    <s v="Customer 082"/>
    <x v="8"/>
    <s v="Office Supplies"/>
    <x v="3"/>
    <n v="4"/>
    <n v="0.1"/>
    <n v="864"/>
    <n v="371.56"/>
    <x v="2"/>
  </r>
  <r>
    <s v="ORD-00380"/>
    <d v="2025-12-04T00:00:00"/>
    <s v="Customer 053"/>
    <x v="6"/>
    <s v="Office Supplies"/>
    <x v="0"/>
    <n v="1"/>
    <n v="0"/>
    <n v="18"/>
    <n v="4.9400000000000004"/>
    <x v="2"/>
  </r>
  <r>
    <s v="ORD-00381"/>
    <d v="2025-01-09T00:00:00"/>
    <s v="Customer 003"/>
    <x v="8"/>
    <s v="Office Supplies"/>
    <x v="3"/>
    <n v="3"/>
    <n v="0.2"/>
    <n v="576"/>
    <n v="73.400000000000006"/>
    <x v="2"/>
  </r>
  <r>
    <s v="ORD-00382"/>
    <d v="2025-04-02T00:00:00"/>
    <s v="Customer 025"/>
    <x v="0"/>
    <s v="Technology"/>
    <x v="2"/>
    <n v="1"/>
    <n v="0.2"/>
    <n v="28"/>
    <n v="11.22"/>
    <x v="0"/>
  </r>
  <r>
    <s v="ORD-00383"/>
    <d v="2025-07-01T00:00:00"/>
    <s v="Customer 052"/>
    <x v="4"/>
    <s v="Technology"/>
    <x v="3"/>
    <n v="4"/>
    <n v="0"/>
    <n v="3400"/>
    <n v="1111.44"/>
    <x v="0"/>
  </r>
  <r>
    <s v="ORD-00384"/>
    <d v="2025-10-17T00:00:00"/>
    <s v="Customer 011"/>
    <x v="2"/>
    <s v="Furniture"/>
    <x v="0"/>
    <n v="2"/>
    <n v="0.1"/>
    <n v="99"/>
    <n v="22.2"/>
    <x v="1"/>
  </r>
  <r>
    <s v="ORD-00385"/>
    <d v="2025-02-17T00:00:00"/>
    <s v="Customer 008"/>
    <x v="11"/>
    <s v="Furniture"/>
    <x v="0"/>
    <n v="4"/>
    <n v="0.15"/>
    <n v="646"/>
    <n v="172.88"/>
    <x v="1"/>
  </r>
  <r>
    <s v="ORD-00386"/>
    <d v="2025-12-26T00:00:00"/>
    <s v="Customer 083"/>
    <x v="3"/>
    <s v="Furniture"/>
    <x v="2"/>
    <n v="1"/>
    <n v="0.15"/>
    <n v="238"/>
    <n v="40.71"/>
    <x v="1"/>
  </r>
  <r>
    <s v="ORD-00387"/>
    <d v="2025-10-17T00:00:00"/>
    <s v="Customer 089"/>
    <x v="0"/>
    <s v="Technology"/>
    <x v="3"/>
    <n v="5"/>
    <n v="0"/>
    <n v="175"/>
    <n v="65.48"/>
    <x v="0"/>
  </r>
  <r>
    <s v="ORD-00388"/>
    <d v="2025-05-19T00:00:00"/>
    <s v="Customer 073"/>
    <x v="9"/>
    <s v="Technology"/>
    <x v="0"/>
    <n v="1"/>
    <n v="0.1"/>
    <n v="1080"/>
    <n v="165.49"/>
    <x v="0"/>
  </r>
  <r>
    <s v="ORD-00389"/>
    <d v="2025-04-02T00:00:00"/>
    <s v="Customer 097"/>
    <x v="7"/>
    <s v="Technology"/>
    <x v="3"/>
    <n v="1"/>
    <n v="0.05"/>
    <n v="66.5"/>
    <n v="17.04"/>
    <x v="0"/>
  </r>
  <r>
    <s v="ORD-00390"/>
    <d v="2025-02-09T00:00:00"/>
    <s v="Customer 050"/>
    <x v="4"/>
    <s v="Technology"/>
    <x v="2"/>
    <n v="2"/>
    <n v="0.2"/>
    <n v="1360"/>
    <n v="504.08"/>
    <x v="0"/>
  </r>
  <r>
    <s v="ORD-00391"/>
    <d v="2025-07-16T00:00:00"/>
    <s v="Customer 045"/>
    <x v="1"/>
    <s v="Furniture"/>
    <x v="0"/>
    <n v="2"/>
    <n v="0"/>
    <n v="420"/>
    <n v="119.59"/>
    <x v="1"/>
  </r>
  <r>
    <s v="ORD-00392"/>
    <d v="2025-02-20T00:00:00"/>
    <s v="Customer 099"/>
    <x v="11"/>
    <s v="Furniture"/>
    <x v="3"/>
    <n v="2"/>
    <n v="0"/>
    <n v="380"/>
    <n v="128.29"/>
    <x v="1"/>
  </r>
  <r>
    <s v="ORD-00393"/>
    <d v="2025-06-17T00:00:00"/>
    <s v="Customer 046"/>
    <x v="9"/>
    <s v="Technology"/>
    <x v="3"/>
    <n v="3"/>
    <n v="0.15"/>
    <n v="3060"/>
    <n v="881.59"/>
    <x v="0"/>
  </r>
  <r>
    <s v="ORD-00394"/>
    <d v="2025-08-10T00:00:00"/>
    <s v="Customer 080"/>
    <x v="3"/>
    <s v="Furniture"/>
    <x v="2"/>
    <n v="5"/>
    <n v="0.15"/>
    <n v="1190"/>
    <n v="501.85"/>
    <x v="1"/>
  </r>
  <r>
    <s v="ORD-00395"/>
    <d v="2025-05-07T00:00:00"/>
    <s v="Customer 049"/>
    <x v="1"/>
    <s v="Furniture"/>
    <x v="1"/>
    <n v="1"/>
    <n v="0"/>
    <n v="210"/>
    <n v="75.930000000000007"/>
    <x v="1"/>
  </r>
  <r>
    <s v="ORD-00396"/>
    <d v="2025-07-19T00:00:00"/>
    <s v="Customer 040"/>
    <x v="7"/>
    <s v="Technology"/>
    <x v="3"/>
    <n v="3"/>
    <n v="0"/>
    <n v="210"/>
    <n v="88.16"/>
    <x v="0"/>
  </r>
  <r>
    <s v="ORD-00397"/>
    <d v="2025-07-04T00:00:00"/>
    <s v="Customer 056"/>
    <x v="4"/>
    <s v="Technology"/>
    <x v="3"/>
    <n v="1"/>
    <n v="0.05"/>
    <n v="807.5"/>
    <n v="340.11"/>
    <x v="0"/>
  </r>
  <r>
    <s v="ORD-00398"/>
    <d v="2025-10-13T00:00:00"/>
    <s v="Customer 012"/>
    <x v="8"/>
    <s v="Office Supplies"/>
    <x v="2"/>
    <n v="5"/>
    <n v="0.15"/>
    <n v="1020"/>
    <n v="424.23"/>
    <x v="2"/>
  </r>
  <r>
    <s v="ORD-00399"/>
    <d v="2025-10-11T00:00:00"/>
    <s v="Customer 050"/>
    <x v="0"/>
    <s v="Technology"/>
    <x v="0"/>
    <n v="5"/>
    <n v="0.2"/>
    <n v="140"/>
    <n v="26.76"/>
    <x v="0"/>
  </r>
  <r>
    <s v="ORD-00400"/>
    <d v="2025-05-30T00:00:00"/>
    <s v="Customer 072"/>
    <x v="11"/>
    <s v="Furniture"/>
    <x v="1"/>
    <n v="4"/>
    <n v="0"/>
    <n v="760"/>
    <n v="160.21"/>
    <x v="1"/>
  </r>
  <r>
    <s v="ORD-00401"/>
    <d v="2025-10-20T00:00:00"/>
    <s v="Customer 035"/>
    <x v="8"/>
    <s v="Office Supplies"/>
    <x v="2"/>
    <n v="2"/>
    <n v="0.15"/>
    <n v="408"/>
    <n v="160.78"/>
    <x v="2"/>
  </r>
  <r>
    <s v="ORD-00402"/>
    <d v="2025-05-18T00:00:00"/>
    <s v="Customer 036"/>
    <x v="6"/>
    <s v="Office Supplies"/>
    <x v="3"/>
    <n v="2"/>
    <n v="0"/>
    <n v="36"/>
    <n v="14.21"/>
    <x v="2"/>
  </r>
  <r>
    <s v="ORD-00403"/>
    <d v="2025-06-03T00:00:00"/>
    <s v="Customer 032"/>
    <x v="6"/>
    <s v="Office Supplies"/>
    <x v="3"/>
    <n v="1"/>
    <n v="0.1"/>
    <n v="16.2"/>
    <n v="5.94"/>
    <x v="2"/>
  </r>
  <r>
    <s v="ORD-00404"/>
    <d v="2025-11-01T00:00:00"/>
    <s v="Customer 039"/>
    <x v="10"/>
    <s v="Office Supplies"/>
    <x v="0"/>
    <n v="2"/>
    <n v="0.15"/>
    <n v="42.5"/>
    <n v="17.62"/>
    <x v="2"/>
  </r>
  <r>
    <s v="ORD-00405"/>
    <d v="2025-07-22T00:00:00"/>
    <s v="Customer 043"/>
    <x v="7"/>
    <s v="Technology"/>
    <x v="3"/>
    <n v="5"/>
    <n v="0.15"/>
    <n v="297.5"/>
    <n v="54.93"/>
    <x v="0"/>
  </r>
  <r>
    <s v="ORD-00406"/>
    <d v="2025-06-21T00:00:00"/>
    <s v="Customer 078"/>
    <x v="11"/>
    <s v="Furniture"/>
    <x v="1"/>
    <n v="5"/>
    <n v="0.05"/>
    <n v="902.5"/>
    <n v="316.64999999999998"/>
    <x v="1"/>
  </r>
  <r>
    <s v="ORD-00407"/>
    <d v="2025-09-03T00:00:00"/>
    <s v="Customer 038"/>
    <x v="7"/>
    <s v="Technology"/>
    <x v="3"/>
    <n v="2"/>
    <n v="0.15"/>
    <n v="119"/>
    <n v="15.51"/>
    <x v="0"/>
  </r>
  <r>
    <s v="ORD-00408"/>
    <d v="2025-10-22T00:00:00"/>
    <s v="Customer 051"/>
    <x v="2"/>
    <s v="Furniture"/>
    <x v="2"/>
    <n v="3"/>
    <n v="0.15"/>
    <n v="140.25"/>
    <n v="50.14"/>
    <x v="1"/>
  </r>
  <r>
    <s v="ORD-00409"/>
    <d v="2025-02-28T00:00:00"/>
    <s v="Customer 024"/>
    <x v="10"/>
    <s v="Office Supplies"/>
    <x v="0"/>
    <n v="2"/>
    <n v="0.2"/>
    <n v="40"/>
    <n v="4.84"/>
    <x v="2"/>
  </r>
  <r>
    <s v="ORD-00410"/>
    <d v="2025-08-25T00:00:00"/>
    <s v="Customer 089"/>
    <x v="1"/>
    <s v="Furniture"/>
    <x v="0"/>
    <n v="2"/>
    <n v="0.15"/>
    <n v="357"/>
    <n v="66.67"/>
    <x v="1"/>
  </r>
  <r>
    <s v="ORD-00411"/>
    <d v="2025-07-29T00:00:00"/>
    <s v="Customer 031"/>
    <x v="5"/>
    <s v="Technology"/>
    <x v="2"/>
    <n v="4"/>
    <n v="0.05"/>
    <n v="1216"/>
    <n v="293.05"/>
    <x v="0"/>
  </r>
  <r>
    <s v="ORD-00412"/>
    <d v="2025-12-04T00:00:00"/>
    <s v="Customer 077"/>
    <x v="3"/>
    <s v="Furniture"/>
    <x v="3"/>
    <n v="4"/>
    <n v="0.15"/>
    <n v="952"/>
    <n v="405.16"/>
    <x v="1"/>
  </r>
  <r>
    <s v="ORD-00413"/>
    <d v="2025-10-26T00:00:00"/>
    <s v="Customer 089"/>
    <x v="11"/>
    <s v="Furniture"/>
    <x v="3"/>
    <n v="5"/>
    <m/>
    <n v="760"/>
    <n v="110.39"/>
    <x v="1"/>
  </r>
  <r>
    <s v="ORD-00414"/>
    <d v="2025-10-06T00:00:00"/>
    <s v="Customer 011"/>
    <x v="9"/>
    <s v="Technology"/>
    <x v="0"/>
    <n v="3"/>
    <n v="0.2"/>
    <n v="2880"/>
    <n v="731.63"/>
    <x v="0"/>
  </r>
  <r>
    <s v="ORD-00415"/>
    <d v="2025-05-08T00:00:00"/>
    <s v="Customer 006"/>
    <x v="5"/>
    <s v="Technology"/>
    <x v="3"/>
    <n v="3"/>
    <n v="0.05"/>
    <n v="912"/>
    <n v="215.68"/>
    <x v="0"/>
  </r>
  <r>
    <s v="ORD-00416"/>
    <d v="2025-06-19T00:00:00"/>
    <s v="Customer 029"/>
    <x v="11"/>
    <s v="Furniture"/>
    <x v="1"/>
    <n v="1"/>
    <n v="0"/>
    <n v="190"/>
    <n v="79.319999999999993"/>
    <x v="1"/>
  </r>
  <r>
    <s v="ORD-00417"/>
    <d v="2025-08-17T00:00:00"/>
    <s v="Customer 076"/>
    <x v="7"/>
    <s v="Technology"/>
    <x v="1"/>
    <n v="4"/>
    <n v="0.15"/>
    <n v="238"/>
    <n v="46.44"/>
    <x v="0"/>
  </r>
  <r>
    <s v="ORD-00418"/>
    <d v="2025-06-26T00:00:00"/>
    <s v="Customer 011"/>
    <x v="9"/>
    <s v="Technology"/>
    <x v="0"/>
    <n v="4"/>
    <n v="0"/>
    <n v="4800"/>
    <n v="1692.04"/>
    <x v="0"/>
  </r>
  <r>
    <s v="ORD-00419"/>
    <d v="2025-03-14T00:00:00"/>
    <s v="Customer 027"/>
    <x v="7"/>
    <s v="Technology"/>
    <x v="3"/>
    <n v="3"/>
    <n v="0.1"/>
    <n v="189"/>
    <n v="56.65"/>
    <x v="0"/>
  </r>
  <r>
    <s v="ORD-00420"/>
    <d v="2025-06-28T00:00:00"/>
    <s v="Customer 058"/>
    <x v="6"/>
    <s v="Office Supplies"/>
    <x v="2"/>
    <n v="1"/>
    <n v="0.15"/>
    <n v="15.3"/>
    <n v="3.24"/>
    <x v="2"/>
  </r>
  <r>
    <s v="ORD-00421"/>
    <d v="2025-02-04T00:00:00"/>
    <s v="Customer 044"/>
    <x v="4"/>
    <s v="Technology"/>
    <x v="0"/>
    <n v="1"/>
    <n v="0"/>
    <n v="850"/>
    <n v="376.16"/>
    <x v="0"/>
  </r>
  <r>
    <s v="ORD-00422"/>
    <d v="2025-12-13T00:00:00"/>
    <s v="Customer 021"/>
    <x v="3"/>
    <s v="Furniture"/>
    <x v="2"/>
    <n v="2"/>
    <n v="0.2"/>
    <n v="448"/>
    <n v="175.81"/>
    <x v="1"/>
  </r>
  <r>
    <s v="ORD-00423"/>
    <d v="2025-10-14T00:00:00"/>
    <s v="Customer 081"/>
    <x v="11"/>
    <s v="Furniture"/>
    <x v="1"/>
    <n v="4"/>
    <n v="0.05"/>
    <n v="722"/>
    <n v="134.83000000000001"/>
    <x v="1"/>
  </r>
  <r>
    <s v="ORD-00424"/>
    <d v="2025-04-06T00:00:00"/>
    <s v="Customer 079"/>
    <x v="5"/>
    <s v="Technology"/>
    <x v="1"/>
    <n v="4"/>
    <n v="0.15"/>
    <n v="1088"/>
    <n v="479.12"/>
    <x v="0"/>
  </r>
  <r>
    <s v="ORD-00425"/>
    <d v="2025-08-19T00:00:00"/>
    <s v="Customer 028"/>
    <x v="10"/>
    <s v="Office Supplies"/>
    <x v="1"/>
    <n v="4"/>
    <n v="0.15"/>
    <n v="85"/>
    <n v="38.130000000000003"/>
    <x v="2"/>
  </r>
  <r>
    <s v="ORD-00426"/>
    <d v="2025-05-23T00:00:00"/>
    <s v="Customer 069"/>
    <x v="1"/>
    <s v="Furniture"/>
    <x v="1"/>
    <n v="1"/>
    <n v="0.2"/>
    <n v="168"/>
    <n v="69.959999999999994"/>
    <x v="1"/>
  </r>
  <r>
    <s v="ORD-00427"/>
    <d v="2025-07-07T00:00:00"/>
    <s v="Customer 086"/>
    <x v="7"/>
    <s v="Technology"/>
    <x v="3"/>
    <n v="2"/>
    <n v="0.15"/>
    <n v="119"/>
    <n v="49.07"/>
    <x v="0"/>
  </r>
  <r>
    <s v="ORD-00428"/>
    <d v="2025-09-28T00:00:00"/>
    <s v="Customer 051"/>
    <x v="5"/>
    <s v="Technology"/>
    <x v="0"/>
    <n v="3"/>
    <n v="0.2"/>
    <n v="768"/>
    <n v="247.1"/>
    <x v="0"/>
  </r>
  <r>
    <s v="ORD-00429"/>
    <d v="2025-06-28T00:00:00"/>
    <s v="Customer 087"/>
    <x v="7"/>
    <s v="Technology"/>
    <x v="2"/>
    <n v="4"/>
    <n v="0.2"/>
    <n v="224"/>
    <n v="88.05"/>
    <x v="0"/>
  </r>
  <r>
    <s v="ORD-00430"/>
    <d v="2025-11-11T00:00:00"/>
    <s v="Customer 031"/>
    <x v="10"/>
    <s v="Office Supplies"/>
    <x v="2"/>
    <n v="1"/>
    <n v="0.05"/>
    <n v="23.75"/>
    <n v="8.23"/>
    <x v="2"/>
  </r>
  <r>
    <s v="ORD-00431"/>
    <d v="2025-03-01T00:00:00"/>
    <s v="Customer 054"/>
    <x v="3"/>
    <s v="Furniture"/>
    <x v="1"/>
    <n v="3"/>
    <n v="0.05"/>
    <n v="798"/>
    <n v="224.58"/>
    <x v="1"/>
  </r>
  <r>
    <s v="ORD-00432"/>
    <d v="2025-10-22T00:00:00"/>
    <s v="Customer 069"/>
    <x v="11"/>
    <s v="Furniture"/>
    <x v="1"/>
    <n v="4"/>
    <n v="0.05"/>
    <n v="722"/>
    <n v="208.95"/>
    <x v="1"/>
  </r>
  <r>
    <s v="ORD-00433"/>
    <d v="2025-10-12T00:00:00"/>
    <s v="Customer 041"/>
    <x v="3"/>
    <s v="Furniture"/>
    <x v="3"/>
    <n v="4"/>
    <n v="0.1"/>
    <n v="1008"/>
    <n v="406.93"/>
    <x v="1"/>
  </r>
  <r>
    <s v="ORD-00434"/>
    <d v="2025-11-14T00:00:00"/>
    <s v="Customer 025"/>
    <x v="9"/>
    <s v="Technology"/>
    <x v="3"/>
    <n v="3"/>
    <n v="0"/>
    <n v="3600"/>
    <n v="1044.28"/>
    <x v="0"/>
  </r>
  <r>
    <s v="ORD-00435"/>
    <d v="2025-10-15T00:00:00"/>
    <s v="Customer 054"/>
    <x v="8"/>
    <s v="Office Supplies"/>
    <x v="3"/>
    <n v="4"/>
    <n v="0.15"/>
    <n v="816"/>
    <n v="182.82"/>
    <x v="2"/>
  </r>
  <r>
    <s v="ORD-00436"/>
    <d v="2025-09-08T00:00:00"/>
    <s v="Customer 098"/>
    <x v="3"/>
    <s v="Furniture"/>
    <x v="1"/>
    <n v="1"/>
    <n v="0.2"/>
    <n v="224"/>
    <n v="98.52"/>
    <x v="1"/>
  </r>
  <r>
    <s v="ORD-00437"/>
    <d v="2025-05-30T00:00:00"/>
    <s v="Customer 022"/>
    <x v="9"/>
    <s v="Technology"/>
    <x v="3"/>
    <n v="3"/>
    <n v="0.05"/>
    <n v="3420"/>
    <n v="932.25"/>
    <x v="0"/>
  </r>
  <r>
    <s v="ORD-00438"/>
    <d v="2025-10-17T00:00:00"/>
    <s v="Customer 074"/>
    <x v="1"/>
    <s v="Furniture"/>
    <x v="0"/>
    <n v="4"/>
    <n v="0.2"/>
    <n v="672"/>
    <n v="189.12"/>
    <x v="1"/>
  </r>
  <r>
    <s v="ORD-00439"/>
    <d v="2025-05-18T00:00:00"/>
    <s v="Customer 006"/>
    <x v="8"/>
    <s v="Office Supplies"/>
    <x v="3"/>
    <n v="3"/>
    <n v="0.2"/>
    <n v="576"/>
    <n v="102.84"/>
    <x v="2"/>
  </r>
  <r>
    <s v="ORD-00440"/>
    <d v="2025-10-07T00:00:00"/>
    <s v="Customer 084"/>
    <x v="2"/>
    <s v="Furniture"/>
    <x v="1"/>
    <n v="4"/>
    <n v="0"/>
    <n v="220"/>
    <n v="45.57"/>
    <x v="1"/>
  </r>
  <r>
    <s v="ORD-00441"/>
    <d v="2025-06-02T00:00:00"/>
    <s v="Customer 012"/>
    <x v="9"/>
    <s v="Technology"/>
    <x v="3"/>
    <n v="4"/>
    <n v="0.1"/>
    <n v="4320"/>
    <n v="1447.07"/>
    <x v="0"/>
  </r>
  <r>
    <s v="ORD-00442"/>
    <d v="2025-03-02T00:00:00"/>
    <s v="Customer 091"/>
    <x v="2"/>
    <s v="Furniture"/>
    <x v="3"/>
    <n v="2"/>
    <n v="0.2"/>
    <n v="88"/>
    <n v="19.59"/>
    <x v="1"/>
  </r>
  <r>
    <s v="ORD-00443"/>
    <d v="2025-03-26T00:00:00"/>
    <s v="Customer 008"/>
    <x v="10"/>
    <s v="Office Supplies"/>
    <x v="2"/>
    <n v="2"/>
    <n v="0.05"/>
    <n v="47.5"/>
    <n v="8.6199999999999992"/>
    <x v="2"/>
  </r>
  <r>
    <s v="ORD-00444"/>
    <d v="2025-09-30T00:00:00"/>
    <s v="Customer 091"/>
    <x v="4"/>
    <s v="Technology"/>
    <x v="2"/>
    <n v="5"/>
    <n v="0.2"/>
    <n v="3400"/>
    <n v="1341.08"/>
    <x v="0"/>
  </r>
  <r>
    <s v="ORD-00445"/>
    <d v="2025-05-29T00:00:00"/>
    <s v="Customer 087"/>
    <x v="10"/>
    <s v="Office Supplies"/>
    <x v="0"/>
    <n v="3"/>
    <n v="0.2"/>
    <n v="60"/>
    <n v="7.49"/>
    <x v="2"/>
  </r>
  <r>
    <s v="ORD-00446"/>
    <d v="2025-03-11T00:00:00"/>
    <s v="Customer 017"/>
    <x v="11"/>
    <s v="Furniture"/>
    <x v="1"/>
    <n v="1"/>
    <n v="0.1"/>
    <n v="171"/>
    <n v="28.02"/>
    <x v="1"/>
  </r>
  <r>
    <s v="ORD-00447"/>
    <d v="2025-05-08T00:00:00"/>
    <s v="Customer 087"/>
    <x v="3"/>
    <s v="Furniture"/>
    <x v="3"/>
    <n v="3"/>
    <n v="0.05"/>
    <n v="798"/>
    <n v="158.57"/>
    <x v="1"/>
  </r>
  <r>
    <s v="ORD-00448"/>
    <d v="2025-09-08T00:00:00"/>
    <s v="Customer 049"/>
    <x v="3"/>
    <s v="Furniture"/>
    <x v="3"/>
    <n v="5"/>
    <n v="0.1"/>
    <n v="1260"/>
    <n v="305.95999999999998"/>
    <x v="1"/>
  </r>
  <r>
    <s v="ORD-00449"/>
    <d v="2025-02-08T00:00:00"/>
    <s v="Customer 036"/>
    <x v="5"/>
    <s v="Technology"/>
    <x v="2"/>
    <n v="1"/>
    <n v="0.15"/>
    <n v="272"/>
    <n v="76.12"/>
    <x v="0"/>
  </r>
  <r>
    <s v="ORD-00450"/>
    <d v="2025-08-21T00:00:00"/>
    <s v="Customer 100"/>
    <x v="6"/>
    <s v="Office Supplies"/>
    <x v="0"/>
    <n v="3"/>
    <n v="0.2"/>
    <n v="43.2"/>
    <n v="19.399999999999999"/>
    <x v="2"/>
  </r>
  <r>
    <s v="ORD-00451"/>
    <d v="2025-08-23T00:00:00"/>
    <s v="Customer 051"/>
    <x v="5"/>
    <s v="Technology"/>
    <x v="1"/>
    <n v="3"/>
    <n v="0"/>
    <n v="960"/>
    <n v="179.93"/>
    <x v="0"/>
  </r>
  <r>
    <s v="ORD-00452"/>
    <d v="2025-08-08T00:00:00"/>
    <s v="Customer 037"/>
    <x v="2"/>
    <s v="Furniture"/>
    <x v="2"/>
    <n v="4"/>
    <n v="0.1"/>
    <n v="198"/>
    <n v="68"/>
    <x v="1"/>
  </r>
  <r>
    <s v="ORD-00453"/>
    <d v="2025-10-08T00:00:00"/>
    <s v="Customer 044"/>
    <x v="10"/>
    <s v="Office Supplies"/>
    <x v="0"/>
    <n v="2"/>
    <n v="0.2"/>
    <n v="40"/>
    <n v="6.75"/>
    <x v="2"/>
  </r>
  <r>
    <s v="ORD-00454"/>
    <d v="2025-01-24T00:00:00"/>
    <s v="Customer 021"/>
    <x v="0"/>
    <s v="Technology"/>
    <x v="3"/>
    <n v="4"/>
    <n v="0"/>
    <n v="140"/>
    <n v="57.26"/>
    <x v="0"/>
  </r>
  <r>
    <s v="ORD-00455"/>
    <d v="2025-08-22T00:00:00"/>
    <s v="Customer 017"/>
    <x v="9"/>
    <s v="Technology"/>
    <x v="2"/>
    <n v="4"/>
    <n v="0.05"/>
    <n v="4560"/>
    <n v="553.67999999999995"/>
    <x v="0"/>
  </r>
  <r>
    <s v="ORD-00456"/>
    <d v="2025-03-23T00:00:00"/>
    <s v="Customer 048"/>
    <x v="4"/>
    <s v="Technology"/>
    <x v="1"/>
    <n v="1"/>
    <n v="0.1"/>
    <n v="765"/>
    <n v="281.04000000000002"/>
    <x v="0"/>
  </r>
  <r>
    <s v="ORD-00457"/>
    <d v="2025-01-27T00:00:00"/>
    <s v="Customer 012"/>
    <x v="11"/>
    <s v="Furniture"/>
    <x v="0"/>
    <n v="3"/>
    <n v="0.05"/>
    <n v="541.5"/>
    <n v="166.97"/>
    <x v="1"/>
  </r>
  <r>
    <s v="ORD-00458"/>
    <d v="2025-01-01T00:00:00"/>
    <s v="Customer 029"/>
    <x v="2"/>
    <s v="Furniture"/>
    <x v="3"/>
    <n v="4"/>
    <n v="0"/>
    <n v="220"/>
    <n v="89.37"/>
    <x v="1"/>
  </r>
  <r>
    <s v="ORD-00459"/>
    <d v="2025-01-05T00:00:00"/>
    <s v="Customer 055"/>
    <x v="9"/>
    <s v="Technology"/>
    <x v="1"/>
    <n v="3"/>
    <n v="0"/>
    <n v="3600"/>
    <n v="446.07"/>
    <x v="0"/>
  </r>
  <r>
    <s v="ORD-00460"/>
    <d v="2025-09-02T00:00:00"/>
    <s v="Customer 014"/>
    <x v="0"/>
    <s v="Technology"/>
    <x v="0"/>
    <n v="2"/>
    <n v="0.15"/>
    <n v="59.5"/>
    <n v="25.02"/>
    <x v="0"/>
  </r>
  <r>
    <s v="ORD-00461"/>
    <d v="2025-06-10T00:00:00"/>
    <s v="Customer 097"/>
    <x v="7"/>
    <s v="Technology"/>
    <x v="1"/>
    <n v="3"/>
    <n v="0.05"/>
    <n v="199.5"/>
    <n v="64.58"/>
    <x v="0"/>
  </r>
  <r>
    <s v="ORD-00462"/>
    <d v="2025-11-25T00:00:00"/>
    <s v="Customer 002"/>
    <x v="5"/>
    <s v="Technology"/>
    <x v="1"/>
    <n v="2"/>
    <n v="0"/>
    <n v="640"/>
    <n v="175.96"/>
    <x v="0"/>
  </r>
  <r>
    <s v="ORD-00463"/>
    <d v="2025-08-14T00:00:00"/>
    <s v="Customer 079"/>
    <x v="7"/>
    <s v="Technology"/>
    <x v="3"/>
    <n v="2"/>
    <n v="0.05"/>
    <n v="133"/>
    <n v="19.48"/>
    <x v="0"/>
  </r>
  <r>
    <s v="ORD-00464"/>
    <d v="2025-04-22T00:00:00"/>
    <s v="Customer 076"/>
    <x v="0"/>
    <s v="Technology"/>
    <x v="3"/>
    <n v="1"/>
    <n v="0.05"/>
    <n v="33.25"/>
    <n v="6.71"/>
    <x v="0"/>
  </r>
  <r>
    <s v="ORD-00465"/>
    <d v="2025-06-29T00:00:00"/>
    <s v="Customer 083"/>
    <x v="11"/>
    <s v="Furniture"/>
    <x v="0"/>
    <n v="3"/>
    <n v="0.05"/>
    <n v="541.5"/>
    <n v="199.4"/>
    <x v="1"/>
  </r>
  <r>
    <s v="ORD-00466"/>
    <d v="2025-05-08T00:00:00"/>
    <s v="Customer 037"/>
    <x v="8"/>
    <s v="Office Supplies"/>
    <x v="0"/>
    <n v="5"/>
    <n v="0.2"/>
    <n v="960"/>
    <n v="203.53"/>
    <x v="2"/>
  </r>
  <r>
    <s v="ORD-00467"/>
    <d v="2025-12-04T00:00:00"/>
    <s v="Customer 025"/>
    <x v="4"/>
    <s v="Technology"/>
    <x v="3"/>
    <n v="2"/>
    <n v="0.2"/>
    <n v="1360"/>
    <n v="339.61"/>
    <x v="0"/>
  </r>
  <r>
    <s v="ORD-00468"/>
    <d v="2025-06-01T00:00:00"/>
    <s v="Customer 015"/>
    <x v="5"/>
    <s v="Technology"/>
    <x v="1"/>
    <n v="1"/>
    <n v="0.05"/>
    <n v="304"/>
    <n v="87.15"/>
    <x v="0"/>
  </r>
  <r>
    <s v="ORD-00469"/>
    <d v="2025-09-13T00:00:00"/>
    <s v="Customer 002"/>
    <x v="5"/>
    <s v="Technology"/>
    <x v="2"/>
    <n v="5"/>
    <n v="0"/>
    <n v="1600"/>
    <n v="441.06"/>
    <x v="0"/>
  </r>
  <r>
    <s v="ORD-00470"/>
    <d v="2025-06-12T00:00:00"/>
    <s v="Customer 070"/>
    <x v="3"/>
    <s v="Furniture"/>
    <x v="1"/>
    <n v="4"/>
    <n v="0.2"/>
    <n v="896"/>
    <n v="278.76"/>
    <x v="1"/>
  </r>
  <r>
    <s v="ORD-00471"/>
    <d v="2025-08-30T00:00:00"/>
    <s v="Customer 034"/>
    <x v="0"/>
    <s v="Technology"/>
    <x v="1"/>
    <n v="1"/>
    <n v="0.2"/>
    <n v="28"/>
    <n v="11.98"/>
    <x v="0"/>
  </r>
  <r>
    <s v="ORD-00472"/>
    <d v="2025-01-21T00:00:00"/>
    <s v="Customer 092"/>
    <x v="9"/>
    <s v="Technology"/>
    <x v="3"/>
    <n v="4"/>
    <n v="0.2"/>
    <n v="3840"/>
    <n v="1364.96"/>
    <x v="0"/>
  </r>
  <r>
    <s v="ORD-00473"/>
    <d v="2025-08-05T00:00:00"/>
    <s v="Customer 069"/>
    <x v="1"/>
    <s v="Furniture"/>
    <x v="1"/>
    <n v="4"/>
    <n v="0"/>
    <n v="840"/>
    <n v="200.44"/>
    <x v="1"/>
  </r>
  <r>
    <s v="ORD-00474"/>
    <d v="2025-05-23T00:00:00"/>
    <s v="Customer 027"/>
    <x v="0"/>
    <s v="Technology"/>
    <x v="1"/>
    <n v="3"/>
    <n v="0"/>
    <n v="105"/>
    <n v="29.53"/>
    <x v="0"/>
  </r>
  <r>
    <s v="ORD-00475"/>
    <d v="2025-10-02T00:00:00"/>
    <s v="Customer 084"/>
    <x v="7"/>
    <s v="Technology"/>
    <x v="0"/>
    <n v="4"/>
    <n v="0.2"/>
    <n v="224"/>
    <n v="53.91"/>
    <x v="0"/>
  </r>
  <r>
    <s v="ORD-00476"/>
    <d v="2025-06-08T00:00:00"/>
    <s v="Customer 012"/>
    <x v="1"/>
    <s v="Furniture"/>
    <x v="3"/>
    <n v="4"/>
    <n v="0.05"/>
    <n v="798"/>
    <n v="343.85"/>
    <x v="1"/>
  </r>
  <r>
    <s v="ORD-00477"/>
    <d v="2025-03-01T00:00:00"/>
    <s v="Customer 086"/>
    <x v="6"/>
    <s v="Office Supplies"/>
    <x v="1"/>
    <n v="5"/>
    <n v="0.2"/>
    <n v="72"/>
    <n v="31.09"/>
    <x v="2"/>
  </r>
  <r>
    <s v="ORD-00478"/>
    <d v="2025-03-03T00:00:00"/>
    <s v="Customer 045"/>
    <x v="9"/>
    <s v="Technology"/>
    <x v="2"/>
    <n v="2"/>
    <n v="0"/>
    <n v="2400"/>
    <n v="950.24"/>
    <x v="0"/>
  </r>
  <r>
    <s v="ORD-00479"/>
    <d v="2025-03-27T00:00:00"/>
    <s v="Customer 016"/>
    <x v="7"/>
    <s v="Technology"/>
    <x v="0"/>
    <n v="2"/>
    <n v="0.1"/>
    <n v="126"/>
    <n v="26.22"/>
    <x v="0"/>
  </r>
  <r>
    <s v="ORD-00480"/>
    <d v="2025-06-21T00:00:00"/>
    <s v="Customer 092"/>
    <x v="11"/>
    <s v="Furniture"/>
    <x v="0"/>
    <n v="3"/>
    <n v="0.2"/>
    <n v="456"/>
    <n v="195.59"/>
    <x v="1"/>
  </r>
  <r>
    <s v="ORD-00481"/>
    <d v="2025-09-12T00:00:00"/>
    <s v="Customer 073"/>
    <x v="6"/>
    <s v="Office Supplies"/>
    <x v="1"/>
    <n v="5"/>
    <n v="0.1"/>
    <n v="81"/>
    <n v="34.97"/>
    <x v="2"/>
  </r>
  <r>
    <s v="ORD-00482"/>
    <d v="2025-07-08T00:00:00"/>
    <s v="Customer 087"/>
    <x v="3"/>
    <s v="Furniture"/>
    <x v="0"/>
    <n v="3"/>
    <n v="0"/>
    <n v="840"/>
    <n v="130.11000000000001"/>
    <x v="1"/>
  </r>
  <r>
    <s v="ORD-00483"/>
    <d v="2025-04-27T00:00:00"/>
    <s v="Customer 002"/>
    <x v="1"/>
    <s v="Furniture"/>
    <x v="1"/>
    <n v="5"/>
    <n v="0"/>
    <n v="1050"/>
    <n v="457.24"/>
    <x v="1"/>
  </r>
  <r>
    <s v="ORD-00484"/>
    <d v="2025-01-24T00:00:00"/>
    <s v="Customer 023"/>
    <x v="6"/>
    <s v="Office Supplies"/>
    <x v="0"/>
    <n v="3"/>
    <n v="0.15"/>
    <n v="45.9"/>
    <n v="6.72"/>
    <x v="2"/>
  </r>
  <r>
    <s v="ORD-00485"/>
    <d v="2025-10-11T00:00:00"/>
    <s v="Customer 054"/>
    <x v="1"/>
    <s v="Furniture"/>
    <x v="2"/>
    <n v="4"/>
    <n v="0.05"/>
    <n v="798"/>
    <n v="274.36"/>
    <x v="1"/>
  </r>
  <r>
    <s v="ORD-00486"/>
    <d v="2025-05-19T00:00:00"/>
    <s v="Customer 087"/>
    <x v="0"/>
    <s v="Technology"/>
    <x v="0"/>
    <n v="5"/>
    <n v="0.1"/>
    <n v="157.5"/>
    <n v="64.67"/>
    <x v="0"/>
  </r>
  <r>
    <s v="ORD-00487"/>
    <d v="2025-04-02T00:00:00"/>
    <s v="Customer 009"/>
    <x v="2"/>
    <s v="Furniture"/>
    <x v="3"/>
    <n v="5"/>
    <n v="0"/>
    <n v="275"/>
    <n v="37.17"/>
    <x v="1"/>
  </r>
  <r>
    <s v="ORD-00488"/>
    <d v="2025-05-25T00:00:00"/>
    <s v="Customer 002"/>
    <x v="4"/>
    <s v="Technology"/>
    <x v="2"/>
    <n v="3"/>
    <n v="0"/>
    <n v="2550"/>
    <n v="682.07"/>
    <x v="0"/>
  </r>
  <r>
    <s v="ORD-00489"/>
    <d v="2025-04-13T00:00:00"/>
    <s v="Customer 032"/>
    <x v="4"/>
    <s v="Technology"/>
    <x v="3"/>
    <n v="5"/>
    <n v="0.1"/>
    <n v="3825"/>
    <n v="787.72"/>
    <x v="0"/>
  </r>
  <r>
    <s v="ORD-00490"/>
    <d v="2025-07-08T00:00:00"/>
    <s v="Customer 070"/>
    <x v="10"/>
    <s v="Office Supplies"/>
    <x v="1"/>
    <n v="4"/>
    <n v="0.05"/>
    <n v="95"/>
    <n v="19.79"/>
    <x v="2"/>
  </r>
  <r>
    <s v="ORD-00491"/>
    <d v="2025-03-19T00:00:00"/>
    <s v="Customer 045"/>
    <x v="9"/>
    <s v="Technology"/>
    <x v="0"/>
    <n v="4"/>
    <n v="0"/>
    <n v="4800"/>
    <n v="1790.93"/>
    <x v="0"/>
  </r>
  <r>
    <s v="ORD-00492"/>
    <d v="2025-06-21T00:00:00"/>
    <s v="Customer 068"/>
    <x v="9"/>
    <s v="Technology"/>
    <x v="1"/>
    <n v="4"/>
    <n v="0.1"/>
    <n v="4320"/>
    <n v="1795.81"/>
    <x v="0"/>
  </r>
  <r>
    <s v="ORD-00493"/>
    <d v="2025-08-03T00:00:00"/>
    <s v="Customer 012"/>
    <x v="6"/>
    <s v="Office Supplies"/>
    <x v="0"/>
    <n v="1"/>
    <n v="0.05"/>
    <n v="17.100000000000001"/>
    <n v="3.68"/>
    <x v="2"/>
  </r>
  <r>
    <s v="ORD-00494"/>
    <d v="2025-04-29T00:00:00"/>
    <s v="Customer 096"/>
    <x v="8"/>
    <s v="Office Supplies"/>
    <x v="0"/>
    <n v="4"/>
    <n v="0.1"/>
    <n v="864"/>
    <n v="258.08"/>
    <x v="2"/>
  </r>
  <r>
    <s v="ORD-00495"/>
    <d v="2025-10-25T00:00:00"/>
    <s v="Customer 051"/>
    <x v="0"/>
    <s v="Technology"/>
    <x v="0"/>
    <n v="5"/>
    <n v="0.05"/>
    <n v="166.25"/>
    <n v="39.85"/>
    <x v="0"/>
  </r>
  <r>
    <s v="ORD-00496"/>
    <d v="2025-10-31T00:00:00"/>
    <s v="Customer 017"/>
    <x v="10"/>
    <s v="Office Supplies"/>
    <x v="1"/>
    <n v="1"/>
    <n v="0.15"/>
    <n v="21.25"/>
    <n v="4.92"/>
    <x v="2"/>
  </r>
  <r>
    <s v="ORD-00497"/>
    <d v="2025-05-30T00:00:00"/>
    <s v="Customer 095"/>
    <x v="4"/>
    <s v="Technology"/>
    <x v="2"/>
    <n v="3"/>
    <n v="0.15"/>
    <n v="2167.5"/>
    <n v="474.16"/>
    <x v="0"/>
  </r>
  <r>
    <s v="ORD-00498"/>
    <d v="2025-06-12T00:00:00"/>
    <s v="Customer 026"/>
    <x v="6"/>
    <s v="Office Supplies"/>
    <x v="1"/>
    <n v="3"/>
    <n v="0.05"/>
    <n v="51.3"/>
    <n v="21.82"/>
    <x v="2"/>
  </r>
  <r>
    <s v="ORD-00499"/>
    <d v="2025-10-27T00:00:00"/>
    <s v="Customer 060"/>
    <x v="0"/>
    <s v="Technology"/>
    <x v="2"/>
    <n v="2"/>
    <n v="0"/>
    <n v="70"/>
    <n v="27.7"/>
    <x v="0"/>
  </r>
  <r>
    <s v="ORD-00500"/>
    <d v="2025-07-28T00:00:00"/>
    <s v="Customer 027"/>
    <x v="0"/>
    <s v="Technology"/>
    <x v="3"/>
    <n v="5"/>
    <n v="0.1"/>
    <n v="157.5"/>
    <n v="20.74"/>
    <x v="0"/>
  </r>
  <r>
    <s v="ORD-00501"/>
    <d v="2025-06-07T00:00:00"/>
    <s v="Customer 088"/>
    <x v="6"/>
    <s v="Office Supplies"/>
    <x v="2"/>
    <n v="3"/>
    <n v="0"/>
    <n v="54"/>
    <n v="22.69"/>
    <x v="2"/>
  </r>
  <r>
    <s v="ORD-00502"/>
    <d v="2025-12-27T00:00:00"/>
    <s v="Customer 042"/>
    <x v="1"/>
    <s v="Furniture"/>
    <x v="1"/>
    <n v="5"/>
    <n v="0"/>
    <n v="1050"/>
    <n v="398"/>
    <x v="1"/>
  </r>
  <r>
    <s v="ORD-00503"/>
    <d v="2025-02-16T00:00:00"/>
    <s v="Customer 007"/>
    <x v="1"/>
    <s v="Furniture"/>
    <x v="2"/>
    <n v="2"/>
    <n v="0.1"/>
    <n v="378"/>
    <n v="120.67"/>
    <x v="1"/>
  </r>
  <r>
    <s v="ORD-00504"/>
    <d v="2025-05-14T00:00:00"/>
    <s v="Customer 072"/>
    <x v="3"/>
    <s v="Furniture"/>
    <x v="1"/>
    <n v="1"/>
    <n v="0.15"/>
    <n v="238"/>
    <n v="39.979999999999997"/>
    <x v="1"/>
  </r>
  <r>
    <s v="ORD-00505"/>
    <d v="2025-02-18T00:00:00"/>
    <s v="Customer 008"/>
    <x v="6"/>
    <s v="Office Supplies"/>
    <x v="1"/>
    <n v="1"/>
    <n v="0.05"/>
    <n v="17.100000000000001"/>
    <n v="7.01"/>
    <x v="2"/>
  </r>
  <r>
    <s v="ORD-00506"/>
    <d v="2025-03-08T00:00:00"/>
    <s v="Customer 083"/>
    <x v="2"/>
    <s v="Furniture"/>
    <x v="0"/>
    <n v="4"/>
    <n v="0.1"/>
    <n v="198"/>
    <n v="44.26"/>
    <x v="1"/>
  </r>
  <r>
    <s v="ORD-00507"/>
    <d v="2025-10-26T00:00:00"/>
    <s v="Customer 009"/>
    <x v="10"/>
    <s v="Office Supplies"/>
    <x v="1"/>
    <n v="3"/>
    <n v="0"/>
    <n v="75"/>
    <n v="33.21"/>
    <x v="2"/>
  </r>
  <r>
    <s v="ORD-00508"/>
    <d v="2025-11-27T00:00:00"/>
    <s v="Customer 043"/>
    <x v="6"/>
    <s v="Office Supplies"/>
    <x v="0"/>
    <n v="2"/>
    <n v="0"/>
    <n v="36"/>
    <n v="5.45"/>
    <x v="2"/>
  </r>
  <r>
    <s v="ORD-00509"/>
    <d v="2025-01-22T00:00:00"/>
    <s v="Customer 056"/>
    <x v="6"/>
    <s v="Office Supplies"/>
    <x v="3"/>
    <n v="1"/>
    <n v="0.05"/>
    <n v="17.100000000000001"/>
    <n v="2.48"/>
    <x v="2"/>
  </r>
  <r>
    <s v="ORD-00510"/>
    <d v="2025-09-12T00:00:00"/>
    <s v="Customer 028"/>
    <x v="9"/>
    <s v="Technology"/>
    <x v="1"/>
    <n v="4"/>
    <n v="0.15"/>
    <n v="4080"/>
    <n v="1603.33"/>
    <x v="0"/>
  </r>
  <r>
    <s v="ORD-00511"/>
    <d v="2025-05-21T00:00:00"/>
    <s v="Customer 080"/>
    <x v="4"/>
    <s v="Technology"/>
    <x v="1"/>
    <n v="4"/>
    <n v="0.05"/>
    <n v="3230"/>
    <n v="1416.57"/>
    <x v="0"/>
  </r>
  <r>
    <s v="ORD-00512"/>
    <d v="2025-11-28T00:00:00"/>
    <s v="Customer 062"/>
    <x v="4"/>
    <s v="Technology"/>
    <x v="0"/>
    <n v="4"/>
    <n v="0.15"/>
    <n v="2890"/>
    <n v="458.59"/>
    <x v="0"/>
  </r>
  <r>
    <s v="ORD-00513"/>
    <d v="2025-02-14T00:00:00"/>
    <s v="Customer 083"/>
    <x v="4"/>
    <s v="Technology"/>
    <x v="1"/>
    <n v="4"/>
    <n v="0.05"/>
    <n v="3230"/>
    <n v="1006.64"/>
    <x v="0"/>
  </r>
  <r>
    <s v="ORD-00514"/>
    <d v="2025-11-19T00:00:00"/>
    <s v="Customer 046"/>
    <x v="8"/>
    <s v="Office Supplies"/>
    <x v="3"/>
    <n v="1"/>
    <n v="0.15"/>
    <n v="204"/>
    <n v="39.159999999999997"/>
    <x v="2"/>
  </r>
  <r>
    <s v="ORD-00515"/>
    <d v="2025-10-06T00:00:00"/>
    <s v="Customer 050"/>
    <x v="6"/>
    <s v="Office Supplies"/>
    <x v="2"/>
    <n v="3"/>
    <n v="0.2"/>
    <n v="43.2"/>
    <n v="12.28"/>
    <x v="2"/>
  </r>
  <r>
    <s v="ORD-00516"/>
    <d v="2025-04-03T00:00:00"/>
    <s v="Customer 100"/>
    <x v="9"/>
    <s v="Technology"/>
    <x v="2"/>
    <n v="3"/>
    <n v="0.2"/>
    <n v="2880"/>
    <n v="1087.8399999999999"/>
    <x v="0"/>
  </r>
  <r>
    <s v="ORD-00517"/>
    <d v="2025-01-30T00:00:00"/>
    <s v="Customer 030"/>
    <x v="6"/>
    <s v="Office Supplies"/>
    <x v="1"/>
    <n v="5"/>
    <n v="0.1"/>
    <n v="81"/>
    <n v="15.95"/>
    <x v="2"/>
  </r>
  <r>
    <s v="ORD-00518"/>
    <d v="2025-02-21T00:00:00"/>
    <s v="Customer 095"/>
    <x v="2"/>
    <s v="Furniture"/>
    <x v="0"/>
    <n v="2"/>
    <n v="0.1"/>
    <n v="99"/>
    <n v="27.11"/>
    <x v="1"/>
  </r>
  <r>
    <s v="ORD-00519"/>
    <d v="2025-04-23T00:00:00"/>
    <s v="Customer 023"/>
    <x v="10"/>
    <s v="Office Supplies"/>
    <x v="1"/>
    <n v="4"/>
    <n v="0.1"/>
    <n v="90"/>
    <n v="12.72"/>
    <x v="2"/>
  </r>
  <r>
    <s v="ORD-00520"/>
    <d v="2025-05-02T00:00:00"/>
    <s v="Customer 004"/>
    <x v="10"/>
    <s v="Office Supplies"/>
    <x v="2"/>
    <n v="3"/>
    <n v="0.1"/>
    <n v="67.5"/>
    <n v="10.02"/>
    <x v="2"/>
  </r>
  <r>
    <s v="ORD-00521"/>
    <d v="2025-10-18T00:00:00"/>
    <s v="Customer 064"/>
    <x v="10"/>
    <s v="Office Supplies"/>
    <x v="2"/>
    <n v="2"/>
    <n v="0.2"/>
    <n v="40"/>
    <n v="5.48"/>
    <x v="2"/>
  </r>
  <r>
    <s v="ORD-00522"/>
    <d v="2025-03-31T00:00:00"/>
    <s v="Customer 078"/>
    <x v="6"/>
    <s v="Office Supplies"/>
    <x v="1"/>
    <n v="1"/>
    <n v="0"/>
    <n v="18"/>
    <n v="7.77"/>
    <x v="2"/>
  </r>
  <r>
    <s v="ORD-00523"/>
    <d v="2025-01-11T00:00:00"/>
    <s v="Customer 079"/>
    <x v="8"/>
    <s v="Office Supplies"/>
    <x v="1"/>
    <n v="4"/>
    <n v="0"/>
    <n v="960"/>
    <n v="326.91000000000003"/>
    <x v="2"/>
  </r>
  <r>
    <s v="ORD-00524"/>
    <d v="2025-03-08T00:00:00"/>
    <s v="Customer 019"/>
    <x v="7"/>
    <s v="Technology"/>
    <x v="1"/>
    <n v="2"/>
    <n v="0.1"/>
    <n v="126"/>
    <n v="54.22"/>
    <x v="0"/>
  </r>
  <r>
    <s v="ORD-00525"/>
    <d v="2025-02-26T00:00:00"/>
    <s v="Customer 085"/>
    <x v="8"/>
    <s v="Office Supplies"/>
    <x v="3"/>
    <n v="3"/>
    <n v="0"/>
    <n v="720"/>
    <n v="235.23"/>
    <x v="2"/>
  </r>
  <r>
    <s v="ORD-00526"/>
    <d v="2025-10-28T00:00:00"/>
    <s v="Customer 021"/>
    <x v="0"/>
    <s v="Technology"/>
    <x v="3"/>
    <n v="3"/>
    <n v="0.1"/>
    <n v="94.5"/>
    <n v="32.46"/>
    <x v="0"/>
  </r>
  <r>
    <s v="ORD-00527"/>
    <d v="2025-11-24T00:00:00"/>
    <s v="Customer 072"/>
    <x v="6"/>
    <s v="Office Supplies"/>
    <x v="2"/>
    <n v="3"/>
    <n v="0.05"/>
    <n v="51.3"/>
    <n v="11.11"/>
    <x v="2"/>
  </r>
  <r>
    <s v="ORD-00528"/>
    <d v="2025-04-25T00:00:00"/>
    <s v="Customer 094"/>
    <x v="5"/>
    <s v="Technology"/>
    <x v="2"/>
    <n v="5"/>
    <n v="0.05"/>
    <n v="1520"/>
    <n v="494.2"/>
    <x v="0"/>
  </r>
  <r>
    <s v="ORD-00529"/>
    <d v="2025-03-07T00:00:00"/>
    <s v="Customer 099"/>
    <x v="3"/>
    <s v="Furniture"/>
    <x v="0"/>
    <n v="1"/>
    <n v="0.2"/>
    <n v="224"/>
    <n v="71.849999999999994"/>
    <x v="1"/>
  </r>
  <r>
    <s v="ORD-00530"/>
    <d v="2025-04-04T00:00:00"/>
    <s v="Customer 073"/>
    <x v="10"/>
    <s v="Office Supplies"/>
    <x v="0"/>
    <n v="3"/>
    <n v="0.2"/>
    <n v="60"/>
    <n v="22.63"/>
    <x v="2"/>
  </r>
  <r>
    <s v="ORD-00531"/>
    <d v="2025-09-12T00:00:00"/>
    <s v="Customer 041"/>
    <x v="3"/>
    <s v="Furniture"/>
    <x v="1"/>
    <n v="3"/>
    <n v="0"/>
    <n v="840"/>
    <n v="312.02999999999997"/>
    <x v="1"/>
  </r>
  <r>
    <s v="ORD-00532"/>
    <d v="2025-11-22T00:00:00"/>
    <s v="Customer 027"/>
    <x v="0"/>
    <s v="Technology"/>
    <x v="1"/>
    <n v="3"/>
    <n v="0.15"/>
    <n v="89.25"/>
    <n v="39.83"/>
    <x v="0"/>
  </r>
  <r>
    <s v="ORD-00533"/>
    <d v="2025-12-21T00:00:00"/>
    <s v="Customer 093"/>
    <x v="0"/>
    <s v="Technology"/>
    <x v="0"/>
    <n v="3"/>
    <n v="0.1"/>
    <n v="94.5"/>
    <n v="17.98"/>
    <x v="0"/>
  </r>
  <r>
    <s v="ORD-00534"/>
    <d v="2025-01-25T00:00:00"/>
    <s v="Customer 053"/>
    <x v="11"/>
    <s v="Furniture"/>
    <x v="3"/>
    <n v="4"/>
    <n v="0.15"/>
    <n v="646"/>
    <n v="84.11"/>
    <x v="1"/>
  </r>
  <r>
    <s v="ORD-00535"/>
    <d v="2025-07-13T00:00:00"/>
    <s v="Customer 062"/>
    <x v="7"/>
    <s v="Technology"/>
    <x v="1"/>
    <n v="5"/>
    <n v="0.15"/>
    <n v="297.5"/>
    <n v="123.92"/>
    <x v="0"/>
  </r>
  <r>
    <s v="ORD-00536"/>
    <d v="2025-03-25T00:00:00"/>
    <s v="Customer 041"/>
    <x v="6"/>
    <s v="Office Supplies"/>
    <x v="2"/>
    <n v="1"/>
    <n v="0"/>
    <n v="18"/>
    <n v="6.35"/>
    <x v="2"/>
  </r>
  <r>
    <s v="ORD-00537"/>
    <d v="2025-02-23T00:00:00"/>
    <s v="Customer 021"/>
    <x v="0"/>
    <s v="Technology"/>
    <x v="0"/>
    <n v="3"/>
    <n v="0.05"/>
    <n v="99.75"/>
    <n v="15.66"/>
    <x v="0"/>
  </r>
  <r>
    <s v="ORD-00538"/>
    <d v="2025-10-08T00:00:00"/>
    <s v="Customer 062"/>
    <x v="0"/>
    <s v="Technology"/>
    <x v="0"/>
    <n v="3"/>
    <n v="0.2"/>
    <n v="84"/>
    <n v="10.49"/>
    <x v="0"/>
  </r>
  <r>
    <s v="ORD-00539"/>
    <d v="2025-08-09T00:00:00"/>
    <s v="Customer 021"/>
    <x v="5"/>
    <s v="Technology"/>
    <x v="0"/>
    <n v="2"/>
    <n v="0.2"/>
    <n v="512"/>
    <n v="80.069999999999993"/>
    <x v="0"/>
  </r>
  <r>
    <s v="ORD-00540"/>
    <d v="2025-02-21T00:00:00"/>
    <s v="Customer 071"/>
    <x v="7"/>
    <s v="Technology"/>
    <x v="2"/>
    <n v="2"/>
    <n v="0.05"/>
    <n v="133"/>
    <n v="41.89"/>
    <x v="0"/>
  </r>
  <r>
    <s v="ORD-00541"/>
    <d v="2025-12-05T00:00:00"/>
    <s v="Customer 051"/>
    <x v="4"/>
    <s v="Technology"/>
    <x v="3"/>
    <n v="3"/>
    <n v="0.05"/>
    <n v="2422.5"/>
    <n v="1013.45"/>
    <x v="0"/>
  </r>
  <r>
    <s v="ORD-00542"/>
    <d v="2025-03-20T00:00:00"/>
    <s v="Customer 038"/>
    <x v="9"/>
    <s v="Technology"/>
    <x v="3"/>
    <n v="3"/>
    <n v="0"/>
    <n v="3600"/>
    <n v="1112"/>
    <x v="0"/>
  </r>
  <r>
    <s v="ORD-00543"/>
    <d v="2025-04-13T00:00:00"/>
    <s v="Customer 038"/>
    <x v="0"/>
    <s v="Technology"/>
    <x v="0"/>
    <n v="1"/>
    <n v="0.05"/>
    <n v="33.25"/>
    <n v="13.09"/>
    <x v="0"/>
  </r>
  <r>
    <s v="ORD-00544"/>
    <d v="2025-08-31T00:00:00"/>
    <s v="Customer 085"/>
    <x v="0"/>
    <s v="Technology"/>
    <x v="2"/>
    <n v="3"/>
    <n v="0.15"/>
    <n v="89.25"/>
    <n v="26.29"/>
    <x v="0"/>
  </r>
  <r>
    <s v="ORD-00545"/>
    <d v="2025-02-16T00:00:00"/>
    <s v="Customer 049"/>
    <x v="5"/>
    <s v="Technology"/>
    <x v="2"/>
    <n v="5"/>
    <n v="0.15"/>
    <n v="1360"/>
    <n v="529.03"/>
    <x v="0"/>
  </r>
  <r>
    <s v="ORD-00546"/>
    <d v="2025-04-06T00:00:00"/>
    <s v="Customer 034"/>
    <x v="6"/>
    <s v="Office Supplies"/>
    <x v="1"/>
    <n v="1"/>
    <n v="0.1"/>
    <n v="16.2"/>
    <n v="4.9400000000000004"/>
    <x v="2"/>
  </r>
  <r>
    <s v="ORD-00547"/>
    <d v="2025-05-18T00:00:00"/>
    <s v="Customer 086"/>
    <x v="10"/>
    <s v="Office Supplies"/>
    <x v="0"/>
    <n v="1"/>
    <n v="0.05"/>
    <n v="23.75"/>
    <n v="4.79"/>
    <x v="2"/>
  </r>
  <r>
    <s v="ORD-00548"/>
    <d v="2025-02-13T00:00:00"/>
    <s v="Customer 097"/>
    <x v="5"/>
    <s v="Technology"/>
    <x v="1"/>
    <n v="3"/>
    <n v="0.2"/>
    <n v="768"/>
    <n v="240.68"/>
    <x v="0"/>
  </r>
  <r>
    <s v="ORD-00549"/>
    <d v="2025-10-11T00:00:00"/>
    <s v="Customer 069"/>
    <x v="9"/>
    <s v="Technology"/>
    <x v="3"/>
    <n v="4"/>
    <n v="0.2"/>
    <n v="3840"/>
    <n v="1197.51"/>
    <x v="0"/>
  </r>
  <r>
    <s v="ORD-00550"/>
    <d v="2025-10-21T00:00:00"/>
    <s v="Customer 092"/>
    <x v="2"/>
    <s v="Furniture"/>
    <x v="0"/>
    <n v="4"/>
    <n v="0.1"/>
    <n v="198"/>
    <n v="83.94"/>
    <x v="1"/>
  </r>
  <r>
    <s v="ORD-00551"/>
    <d v="2025-09-15T00:00:00"/>
    <s v="Customer 080"/>
    <x v="10"/>
    <s v="Office Supplies"/>
    <x v="1"/>
    <n v="5"/>
    <n v="0.2"/>
    <n v="100"/>
    <n v="22.64"/>
    <x v="2"/>
  </r>
  <r>
    <s v="ORD-00552"/>
    <d v="2025-03-03T00:00:00"/>
    <s v="Customer 025"/>
    <x v="6"/>
    <s v="Office Supplies"/>
    <x v="1"/>
    <n v="2"/>
    <n v="0.05"/>
    <n v="34.200000000000003"/>
    <n v="4.42"/>
    <x v="2"/>
  </r>
  <r>
    <s v="ORD-00553"/>
    <d v="2025-01-22T00:00:00"/>
    <s v="Customer 081"/>
    <x v="11"/>
    <s v="Furniture"/>
    <x v="1"/>
    <n v="1"/>
    <n v="0.15"/>
    <n v="161.5"/>
    <n v="61.91"/>
    <x v="1"/>
  </r>
  <r>
    <s v="ORD-00554"/>
    <d v="2025-11-01T00:00:00"/>
    <s v="Customer 072"/>
    <x v="4"/>
    <s v="Technology"/>
    <x v="3"/>
    <n v="3"/>
    <n v="0"/>
    <n v="2550"/>
    <n v="1074.27"/>
    <x v="0"/>
  </r>
  <r>
    <s v="ORD-00555"/>
    <d v="2025-10-10T00:00:00"/>
    <s v="Customer 002"/>
    <x v="7"/>
    <s v="Technology"/>
    <x v="3"/>
    <n v="3"/>
    <n v="0.2"/>
    <n v="168"/>
    <n v="50.2"/>
    <x v="0"/>
  </r>
  <r>
    <s v="ORD-00556"/>
    <d v="2025-02-27T00:00:00"/>
    <s v="Customer 075"/>
    <x v="11"/>
    <s v="Furniture"/>
    <x v="0"/>
    <n v="2"/>
    <n v="0.05"/>
    <n v="361"/>
    <n v="94.95"/>
    <x v="1"/>
  </r>
  <r>
    <s v="ORD-00557"/>
    <d v="2025-02-24T00:00:00"/>
    <s v="Customer 045"/>
    <x v="10"/>
    <s v="Office Supplies"/>
    <x v="3"/>
    <n v="1"/>
    <n v="0.1"/>
    <n v="22.5"/>
    <n v="3.68"/>
    <x v="2"/>
  </r>
  <r>
    <s v="ORD-00558"/>
    <d v="2025-05-16T00:00:00"/>
    <s v="Customer 005"/>
    <x v="11"/>
    <s v="Furniture"/>
    <x v="1"/>
    <n v="4"/>
    <n v="0.2"/>
    <n v="608"/>
    <n v="151.41999999999999"/>
    <x v="1"/>
  </r>
  <r>
    <s v="ORD-00559"/>
    <d v="2025-05-22T00:00:00"/>
    <s v="Customer 089"/>
    <x v="11"/>
    <s v="Furniture"/>
    <x v="3"/>
    <n v="2"/>
    <n v="0.2"/>
    <n v="304"/>
    <n v="75.739999999999995"/>
    <x v="1"/>
  </r>
  <r>
    <s v="ORD-00560"/>
    <d v="2025-01-20T00:00:00"/>
    <s v="Customer 061"/>
    <x v="11"/>
    <s v="Furniture"/>
    <x v="2"/>
    <n v="3"/>
    <n v="0.05"/>
    <n v="541.5"/>
    <n v="234.87"/>
    <x v="1"/>
  </r>
  <r>
    <s v="ORD-00561"/>
    <d v="2025-07-10T00:00:00"/>
    <s v="Customer 063"/>
    <x v="9"/>
    <s v="Technology"/>
    <x v="0"/>
    <n v="3"/>
    <n v="0.1"/>
    <n v="3240"/>
    <n v="1125.53"/>
    <x v="0"/>
  </r>
  <r>
    <s v="ORD-00562"/>
    <d v="2025-04-27T00:00:00"/>
    <s v="Customer 042"/>
    <x v="3"/>
    <s v="Furniture"/>
    <x v="2"/>
    <n v="3"/>
    <n v="0.15"/>
    <n v="714"/>
    <n v="138.91999999999999"/>
    <x v="1"/>
  </r>
  <r>
    <s v="ORD-00563"/>
    <d v="2025-08-02T00:00:00"/>
    <s v="Customer 053"/>
    <x v="10"/>
    <s v="Office Supplies"/>
    <x v="3"/>
    <n v="1"/>
    <n v="0.05"/>
    <n v="23.75"/>
    <n v="7.23"/>
    <x v="2"/>
  </r>
  <r>
    <s v="ORD-00564"/>
    <d v="2025-09-22T00:00:00"/>
    <s v="Customer 009"/>
    <x v="7"/>
    <s v="Technology"/>
    <x v="2"/>
    <n v="1"/>
    <n v="0.2"/>
    <n v="56"/>
    <n v="10.57"/>
    <x v="0"/>
  </r>
  <r>
    <s v="ORD-00565"/>
    <d v="2025-12-30T00:00:00"/>
    <s v="Customer 068"/>
    <x v="8"/>
    <s v="Office Supplies"/>
    <x v="0"/>
    <n v="4"/>
    <n v="0.05"/>
    <n v="912"/>
    <n v="175.5"/>
    <x v="2"/>
  </r>
  <r>
    <s v="ORD-00566"/>
    <d v="2025-03-30T00:00:00"/>
    <s v="Customer 059"/>
    <x v="2"/>
    <s v="Furniture"/>
    <x v="0"/>
    <n v="2"/>
    <n v="0"/>
    <n v="110"/>
    <n v="40.44"/>
    <x v="1"/>
  </r>
  <r>
    <s v="ORD-00567"/>
    <d v="2025-07-04T00:00:00"/>
    <s v="Customer 060"/>
    <x v="1"/>
    <s v="Furniture"/>
    <x v="3"/>
    <n v="2"/>
    <n v="0.1"/>
    <n v="378"/>
    <n v="124.15"/>
    <x v="1"/>
  </r>
  <r>
    <s v="ORD-00568"/>
    <d v="2025-11-22T00:00:00"/>
    <s v="Customer 077"/>
    <x v="0"/>
    <s v="Technology"/>
    <x v="3"/>
    <n v="1"/>
    <n v="0.05"/>
    <n v="33.25"/>
    <n v="10.88"/>
    <x v="0"/>
  </r>
  <r>
    <s v="ORD-00569"/>
    <d v="2025-04-01T00:00:00"/>
    <s v="Customer 021"/>
    <x v="6"/>
    <s v="Office Supplies"/>
    <x v="2"/>
    <n v="5"/>
    <n v="0.2"/>
    <n v="72"/>
    <n v="24.09"/>
    <x v="2"/>
  </r>
  <r>
    <s v="ORD-00570"/>
    <d v="2025-12-19T00:00:00"/>
    <s v="Customer 021"/>
    <x v="0"/>
    <s v="Technology"/>
    <x v="1"/>
    <n v="3"/>
    <n v="0"/>
    <n v="105"/>
    <n v="33.86"/>
    <x v="0"/>
  </r>
  <r>
    <s v="ORD-00571"/>
    <d v="2025-04-24T00:00:00"/>
    <s v="Customer 053"/>
    <x v="5"/>
    <s v="Technology"/>
    <x v="0"/>
    <n v="2"/>
    <n v="0.05"/>
    <n v="608"/>
    <n v="219.61"/>
    <x v="0"/>
  </r>
  <r>
    <s v="ORD-00572"/>
    <d v="2025-12-16T00:00:00"/>
    <s v="Customer 077"/>
    <x v="9"/>
    <s v="Technology"/>
    <x v="0"/>
    <n v="4"/>
    <n v="0.05"/>
    <n v="4560"/>
    <n v="1077.8399999999999"/>
    <x v="0"/>
  </r>
  <r>
    <s v="ORD-00573"/>
    <d v="2025-04-25T00:00:00"/>
    <s v="Customer 091"/>
    <x v="4"/>
    <s v="Technology"/>
    <x v="2"/>
    <n v="5"/>
    <n v="0.1"/>
    <n v="3825"/>
    <n v="821.59"/>
    <x v="0"/>
  </r>
  <r>
    <s v="ORD-00574"/>
    <d v="2025-08-05T00:00:00"/>
    <s v="Customer 060"/>
    <x v="11"/>
    <s v="Furniture"/>
    <x v="2"/>
    <n v="3"/>
    <n v="0.15"/>
    <n v="484.5"/>
    <n v="177.73"/>
    <x v="1"/>
  </r>
  <r>
    <s v="ORD-00575"/>
    <d v="2025-12-13T00:00:00"/>
    <s v="Customer 001"/>
    <x v="8"/>
    <s v="Office Supplies"/>
    <x v="2"/>
    <n v="5"/>
    <n v="0.15"/>
    <n v="1020"/>
    <n v="262.26"/>
    <x v="2"/>
  </r>
  <r>
    <s v="ORD-00576"/>
    <d v="2025-10-15T00:00:00"/>
    <s v="Customer 088"/>
    <x v="5"/>
    <s v="Technology"/>
    <x v="0"/>
    <n v="5"/>
    <n v="0.2"/>
    <n v="1280"/>
    <n v="456.6"/>
    <x v="0"/>
  </r>
  <r>
    <s v="ORD-00577"/>
    <d v="2025-09-04T00:00:00"/>
    <s v="Customer 036"/>
    <x v="0"/>
    <s v="Technology"/>
    <x v="2"/>
    <n v="3"/>
    <n v="0.1"/>
    <n v="94.5"/>
    <n v="22.55"/>
    <x v="0"/>
  </r>
  <r>
    <s v="ORD-00578"/>
    <d v="2025-12-02T00:00:00"/>
    <s v="Customer 098"/>
    <x v="1"/>
    <s v="Furniture"/>
    <x v="1"/>
    <n v="3"/>
    <n v="0.05"/>
    <n v="598.5"/>
    <n v="239.71"/>
    <x v="1"/>
  </r>
  <r>
    <s v="ORD-00579"/>
    <d v="2025-01-30T00:00:00"/>
    <s v="Customer 093"/>
    <x v="10"/>
    <s v="Office Supplies"/>
    <x v="0"/>
    <n v="4"/>
    <n v="0.1"/>
    <n v="90"/>
    <n v="20.28"/>
    <x v="2"/>
  </r>
  <r>
    <s v="ORD-00580"/>
    <d v="2025-12-02T00:00:00"/>
    <s v="Customer 052"/>
    <x v="6"/>
    <s v="Office Supplies"/>
    <x v="3"/>
    <n v="3"/>
    <n v="0.1"/>
    <n v="48.6"/>
    <n v="7.32"/>
    <x v="2"/>
  </r>
  <r>
    <s v="ORD-00581"/>
    <d v="2025-01-19T00:00:00"/>
    <s v="Customer 092"/>
    <x v="10"/>
    <s v="Office Supplies"/>
    <x v="1"/>
    <n v="5"/>
    <n v="0.05"/>
    <n v="118.75"/>
    <n v="39.99"/>
    <x v="2"/>
  </r>
  <r>
    <s v="ORD-00582"/>
    <d v="2025-12-18T00:00:00"/>
    <s v="Customer 022"/>
    <x v="8"/>
    <s v="Office Supplies"/>
    <x v="1"/>
    <n v="4"/>
    <n v="0.1"/>
    <n v="864"/>
    <n v="244.15"/>
    <x v="2"/>
  </r>
  <r>
    <s v="ORD-00583"/>
    <d v="2025-05-31T00:00:00"/>
    <s v="Customer 093"/>
    <x v="0"/>
    <s v="Technology"/>
    <x v="1"/>
    <n v="4"/>
    <n v="0.05"/>
    <n v="133"/>
    <n v="27.33"/>
    <x v="0"/>
  </r>
  <r>
    <s v="ORD-00584"/>
    <d v="2025-12-15T00:00:00"/>
    <s v="Customer 096"/>
    <x v="7"/>
    <s v="Technology"/>
    <x v="2"/>
    <n v="1"/>
    <n v="0.05"/>
    <n v="66.5"/>
    <n v="22.13"/>
    <x v="0"/>
  </r>
  <r>
    <s v="ORD-00585"/>
    <d v="2025-08-04T00:00:00"/>
    <s v="Customer 060"/>
    <x v="7"/>
    <s v="Technology"/>
    <x v="0"/>
    <n v="3"/>
    <n v="0.1"/>
    <n v="189"/>
    <n v="48.53"/>
    <x v="0"/>
  </r>
  <r>
    <s v="ORD-00586"/>
    <d v="2025-08-29T00:00:00"/>
    <s v="Customer 010"/>
    <x v="9"/>
    <s v="Technology"/>
    <x v="3"/>
    <n v="5"/>
    <n v="0.2"/>
    <n v="4800"/>
    <n v="664.23"/>
    <x v="0"/>
  </r>
  <r>
    <s v="ORD-00587"/>
    <d v="2025-04-10T00:00:00"/>
    <s v="Customer 053"/>
    <x v="8"/>
    <s v="Office Supplies"/>
    <x v="0"/>
    <n v="1"/>
    <n v="0.15"/>
    <n v="204"/>
    <n v="56.13"/>
    <x v="2"/>
  </r>
  <r>
    <s v="ORD-00588"/>
    <d v="2025-03-19T00:00:00"/>
    <s v="Customer 073"/>
    <x v="3"/>
    <s v="Furniture"/>
    <x v="3"/>
    <n v="2"/>
    <n v="0.1"/>
    <n v="504"/>
    <n v="158.74"/>
    <x v="1"/>
  </r>
  <r>
    <s v="ORD-00589"/>
    <d v="2025-03-15T00:00:00"/>
    <s v="Customer 081"/>
    <x v="7"/>
    <s v="Technology"/>
    <x v="1"/>
    <n v="2"/>
    <n v="0"/>
    <n v="140"/>
    <n v="40.47"/>
    <x v="0"/>
  </r>
  <r>
    <s v="ORD-00590"/>
    <d v="2025-06-10T00:00:00"/>
    <s v="Customer 027"/>
    <x v="5"/>
    <s v="Technology"/>
    <x v="1"/>
    <n v="1"/>
    <n v="0"/>
    <n v="320"/>
    <n v="96.26"/>
    <x v="0"/>
  </r>
  <r>
    <s v="ORD-00591"/>
    <d v="2025-10-23T00:00:00"/>
    <s v="Customer 056"/>
    <x v="3"/>
    <s v="Furniture"/>
    <x v="3"/>
    <n v="4"/>
    <n v="0"/>
    <n v="1120"/>
    <n v="456.17"/>
    <x v="1"/>
  </r>
  <r>
    <s v="ORD-00592"/>
    <d v="2025-07-26T00:00:00"/>
    <s v="Customer 069"/>
    <x v="11"/>
    <s v="Furniture"/>
    <x v="1"/>
    <n v="4"/>
    <n v="0.15"/>
    <n v="646"/>
    <n v="289.7"/>
    <x v="1"/>
  </r>
  <r>
    <s v="ORD-00593"/>
    <d v="2025-07-11T00:00:00"/>
    <s v="Customer 087"/>
    <x v="9"/>
    <s v="Technology"/>
    <x v="0"/>
    <n v="3"/>
    <n v="0.2"/>
    <n v="2880"/>
    <n v="1114.8800000000001"/>
    <x v="0"/>
  </r>
  <r>
    <s v="ORD-00594"/>
    <d v="2025-11-17T00:00:00"/>
    <s v="Customer 045"/>
    <x v="1"/>
    <s v="Furniture"/>
    <x v="2"/>
    <n v="2"/>
    <n v="0.05"/>
    <n v="399"/>
    <n v="88.23"/>
    <x v="1"/>
  </r>
  <r>
    <s v="ORD-00595"/>
    <d v="2025-03-08T00:00:00"/>
    <s v="Customer 022"/>
    <x v="0"/>
    <s v="Technology"/>
    <x v="0"/>
    <n v="4"/>
    <n v="0.2"/>
    <n v="112"/>
    <n v="28.64"/>
    <x v="0"/>
  </r>
  <r>
    <s v="ORD-00596"/>
    <d v="2025-01-24T00:00:00"/>
    <s v="Customer 077"/>
    <x v="4"/>
    <s v="Technology"/>
    <x v="2"/>
    <n v="3"/>
    <n v="0.15"/>
    <n v="2167.5"/>
    <n v="454.78"/>
    <x v="0"/>
  </r>
  <r>
    <s v="ORD-00597"/>
    <d v="2025-08-11T00:00:00"/>
    <s v="Customer 063"/>
    <x v="5"/>
    <s v="Technology"/>
    <x v="2"/>
    <n v="2"/>
    <n v="0.1"/>
    <n v="576"/>
    <n v="69.849999999999994"/>
    <x v="0"/>
  </r>
  <r>
    <s v="ORD-00598"/>
    <d v="2025-04-07T00:00:00"/>
    <s v="Customer 094"/>
    <x v="3"/>
    <s v="Furniture"/>
    <x v="1"/>
    <n v="4"/>
    <n v="0"/>
    <n v="1120"/>
    <n v="419.58"/>
    <x v="1"/>
  </r>
  <r>
    <s v="ORD-00599"/>
    <d v="2025-04-19T00:00:00"/>
    <s v="Customer 016"/>
    <x v="1"/>
    <s v="Furniture"/>
    <x v="2"/>
    <n v="1"/>
    <n v="0.2"/>
    <n v="168"/>
    <n v="47.62"/>
    <x v="1"/>
  </r>
  <r>
    <s v="ORD-00600"/>
    <d v="2025-12-31T00:00:00"/>
    <s v="Customer 033"/>
    <x v="5"/>
    <s v="Technology"/>
    <x v="0"/>
    <n v="1"/>
    <n v="0.15"/>
    <n v="272"/>
    <n v="43.72"/>
    <x v="0"/>
  </r>
  <r>
    <s v="ORD-00601"/>
    <d v="2025-11-01T00:00:00"/>
    <s v="Customer 015"/>
    <x v="9"/>
    <s v="Technology"/>
    <x v="3"/>
    <n v="1"/>
    <n v="0"/>
    <n v="1200"/>
    <n v="520.9"/>
    <x v="0"/>
  </r>
  <r>
    <s v="ORD-00602"/>
    <d v="2025-08-16T00:00:00"/>
    <s v="Customer 090"/>
    <x v="11"/>
    <s v="Furniture"/>
    <x v="1"/>
    <n v="1"/>
    <n v="0.2"/>
    <n v="152"/>
    <n v="55.72"/>
    <x v="1"/>
  </r>
  <r>
    <s v="ORD-00603"/>
    <d v="2025-04-16T00:00:00"/>
    <s v="Customer 013"/>
    <x v="1"/>
    <s v="Furniture"/>
    <x v="2"/>
    <n v="1"/>
    <n v="0.1"/>
    <n v="189"/>
    <n v="58.8"/>
    <x v="1"/>
  </r>
  <r>
    <s v="ORD-00604"/>
    <d v="2025-11-15T00:00:00"/>
    <s v="Customer 014"/>
    <x v="10"/>
    <s v="Office Supplies"/>
    <x v="0"/>
    <n v="2"/>
    <n v="0.15"/>
    <n v="42.5"/>
    <n v="7.48"/>
    <x v="2"/>
  </r>
  <r>
    <s v="ORD-00605"/>
    <d v="2025-05-25T00:00:00"/>
    <s v="Customer 026"/>
    <x v="0"/>
    <s v="Technology"/>
    <x v="2"/>
    <n v="1"/>
    <n v="0.15"/>
    <n v="29.75"/>
    <n v="11.44"/>
    <x v="0"/>
  </r>
  <r>
    <s v="ORD-00606"/>
    <d v="2025-09-25T00:00:00"/>
    <s v="Customer 006"/>
    <x v="2"/>
    <s v="Furniture"/>
    <x v="3"/>
    <n v="3"/>
    <n v="0.15"/>
    <n v="140.25"/>
    <n v="49.44"/>
    <x v="1"/>
  </r>
  <r>
    <s v="ORD-00607"/>
    <d v="2025-04-17T00:00:00"/>
    <s v="Customer 002"/>
    <x v="1"/>
    <s v="Furniture"/>
    <x v="0"/>
    <n v="4"/>
    <n v="0.1"/>
    <n v="756"/>
    <n v="281.7"/>
    <x v="1"/>
  </r>
  <r>
    <s v="ORD-00608"/>
    <d v="2025-02-26T00:00:00"/>
    <s v="Customer 100"/>
    <x v="10"/>
    <s v="Office Supplies"/>
    <x v="0"/>
    <n v="4"/>
    <n v="0.05"/>
    <n v="95"/>
    <n v="12.98"/>
    <x v="2"/>
  </r>
  <r>
    <s v="ORD-00609"/>
    <d v="2025-02-21T00:00:00"/>
    <s v="Customer 038"/>
    <x v="4"/>
    <s v="Technology"/>
    <x v="2"/>
    <n v="2"/>
    <n v="0.15"/>
    <n v="1445"/>
    <n v="178.8"/>
    <x v="0"/>
  </r>
  <r>
    <s v="ORD-00610"/>
    <d v="2025-08-26T00:00:00"/>
    <s v="Customer 038"/>
    <x v="9"/>
    <s v="Technology"/>
    <x v="2"/>
    <n v="1"/>
    <n v="0.05"/>
    <n v="1140"/>
    <n v="184.15"/>
    <x v="0"/>
  </r>
  <r>
    <s v="ORD-00611"/>
    <d v="2025-12-13T00:00:00"/>
    <s v="Customer 098"/>
    <x v="7"/>
    <s v="Technology"/>
    <x v="0"/>
    <n v="4"/>
    <n v="0"/>
    <n v="280"/>
    <n v="117.22"/>
    <x v="0"/>
  </r>
  <r>
    <s v="ORD-00612"/>
    <d v="2025-01-05T00:00:00"/>
    <s v="Customer 057"/>
    <x v="3"/>
    <s v="Furniture"/>
    <x v="2"/>
    <n v="2"/>
    <n v="0.1"/>
    <n v="504"/>
    <n v="167.34"/>
    <x v="1"/>
  </r>
  <r>
    <s v="ORD-00613"/>
    <d v="2025-02-17T00:00:00"/>
    <s v="Customer 052"/>
    <x v="7"/>
    <s v="Technology"/>
    <x v="3"/>
    <n v="3"/>
    <n v="0.05"/>
    <n v="199.5"/>
    <n v="82.28"/>
    <x v="0"/>
  </r>
  <r>
    <s v="ORD-00614"/>
    <d v="2025-05-20T00:00:00"/>
    <s v="Customer 022"/>
    <x v="11"/>
    <s v="Furniture"/>
    <x v="0"/>
    <n v="4"/>
    <n v="0.15"/>
    <n v="646"/>
    <n v="152.38"/>
    <x v="1"/>
  </r>
  <r>
    <s v="ORD-00615"/>
    <d v="2025-03-09T00:00:00"/>
    <s v="Customer 076"/>
    <x v="1"/>
    <s v="Furniture"/>
    <x v="3"/>
    <n v="1"/>
    <n v="0.05"/>
    <n v="199.5"/>
    <n v="82.95"/>
    <x v="1"/>
  </r>
  <r>
    <s v="ORD-00616"/>
    <d v="2025-10-19T00:00:00"/>
    <s v="Customer 100"/>
    <x v="5"/>
    <s v="Technology"/>
    <x v="2"/>
    <n v="4"/>
    <n v="0.05"/>
    <n v="1216"/>
    <n v="301.89"/>
    <x v="0"/>
  </r>
  <r>
    <s v="ORD-00617"/>
    <d v="2025-11-10T00:00:00"/>
    <s v="Customer 015"/>
    <x v="9"/>
    <s v="Technology"/>
    <x v="3"/>
    <n v="2"/>
    <n v="0.15"/>
    <n v="2040"/>
    <n v="298.39"/>
    <x v="0"/>
  </r>
  <r>
    <s v="ORD-00618"/>
    <d v="2025-08-14T00:00:00"/>
    <s v="Customer 002"/>
    <x v="9"/>
    <s v="Technology"/>
    <x v="1"/>
    <n v="1"/>
    <n v="0.1"/>
    <n v="1080"/>
    <n v="252.57"/>
    <x v="0"/>
  </r>
  <r>
    <s v="ORD-00619"/>
    <d v="2025-12-09T00:00:00"/>
    <s v="Customer 080"/>
    <x v="7"/>
    <s v="Technology"/>
    <x v="0"/>
    <n v="5"/>
    <n v="0.2"/>
    <n v="280"/>
    <n v="62.41"/>
    <x v="0"/>
  </r>
  <r>
    <s v="ORD-00620"/>
    <d v="2025-08-10T00:00:00"/>
    <s v="Customer 087"/>
    <x v="5"/>
    <s v="Technology"/>
    <x v="3"/>
    <n v="2"/>
    <n v="0.15"/>
    <n v="544"/>
    <n v="182.73"/>
    <x v="0"/>
  </r>
  <r>
    <s v="ORD-00621"/>
    <d v="2025-03-18T00:00:00"/>
    <s v="Customer 021"/>
    <x v="8"/>
    <s v="Office Supplies"/>
    <x v="3"/>
    <n v="5"/>
    <n v="0"/>
    <n v="1200"/>
    <n v="535.39"/>
    <x v="2"/>
  </r>
  <r>
    <s v="ORD-00622"/>
    <d v="2025-09-11T00:00:00"/>
    <s v="Customer 043"/>
    <x v="3"/>
    <s v="Furniture"/>
    <x v="2"/>
    <n v="1"/>
    <n v="0.15"/>
    <n v="238"/>
    <n v="81.92"/>
    <x v="1"/>
  </r>
  <r>
    <s v="ORD-00623"/>
    <d v="2025-01-26T00:00:00"/>
    <s v="Customer 052"/>
    <x v="8"/>
    <s v="Office Supplies"/>
    <x v="1"/>
    <n v="2"/>
    <n v="0.2"/>
    <n v="384"/>
    <n v="91.28"/>
    <x v="2"/>
  </r>
  <r>
    <s v="ORD-00624"/>
    <d v="2025-02-10T00:00:00"/>
    <s v="Customer 064"/>
    <x v="6"/>
    <s v="Office Supplies"/>
    <x v="3"/>
    <n v="4"/>
    <n v="0.2"/>
    <n v="57.6"/>
    <n v="17.399999999999999"/>
    <x v="2"/>
  </r>
  <r>
    <s v="ORD-00625"/>
    <d v="2025-06-11T00:00:00"/>
    <s v="Customer 053"/>
    <x v="0"/>
    <s v="Technology"/>
    <x v="0"/>
    <n v="4"/>
    <n v="0"/>
    <n v="140"/>
    <n v="58.26"/>
    <x v="0"/>
  </r>
  <r>
    <s v="ORD-00626"/>
    <d v="2025-10-13T00:00:00"/>
    <s v="Customer 080"/>
    <x v="8"/>
    <s v="Office Supplies"/>
    <x v="2"/>
    <n v="1"/>
    <n v="0"/>
    <n v="240"/>
    <n v="45.29"/>
    <x v="2"/>
  </r>
  <r>
    <s v="ORD-00627"/>
    <d v="2025-09-18T00:00:00"/>
    <s v="Customer 047"/>
    <x v="8"/>
    <s v="Office Supplies"/>
    <x v="0"/>
    <n v="2"/>
    <n v="0.15"/>
    <n v="408"/>
    <n v="55.64"/>
    <x v="2"/>
  </r>
  <r>
    <s v="ORD-00628"/>
    <d v="2025-04-25T00:00:00"/>
    <s v="Customer 077"/>
    <x v="6"/>
    <s v="Office Supplies"/>
    <x v="3"/>
    <n v="3"/>
    <n v="0.2"/>
    <n v="43.2"/>
    <n v="8.5"/>
    <x v="2"/>
  </r>
  <r>
    <s v="ORD-00629"/>
    <d v="2025-12-03T00:00:00"/>
    <s v="Customer 085"/>
    <x v="7"/>
    <s v="Technology"/>
    <x v="1"/>
    <n v="4"/>
    <n v="0"/>
    <n v="280"/>
    <n v="117"/>
    <x v="0"/>
  </r>
  <r>
    <s v="ORD-00630"/>
    <d v="2025-01-02T00:00:00"/>
    <s v="Customer 048"/>
    <x v="7"/>
    <s v="Technology"/>
    <x v="0"/>
    <n v="3"/>
    <n v="0.1"/>
    <n v="189"/>
    <n v="50.89"/>
    <x v="0"/>
  </r>
  <r>
    <s v="ORD-00631"/>
    <d v="2025-01-24T00:00:00"/>
    <s v="Customer 096"/>
    <x v="3"/>
    <s v="Furniture"/>
    <x v="3"/>
    <n v="4"/>
    <n v="0.05"/>
    <n v="1064"/>
    <n v="190.24"/>
    <x v="1"/>
  </r>
  <r>
    <s v="ORD-00632"/>
    <d v="2025-02-24T00:00:00"/>
    <s v="Customer 051"/>
    <x v="4"/>
    <s v="Technology"/>
    <x v="1"/>
    <n v="5"/>
    <n v="0.05"/>
    <n v="4037.5"/>
    <n v="1567"/>
    <x v="0"/>
  </r>
  <r>
    <s v="ORD-00633"/>
    <d v="2025-08-23T00:00:00"/>
    <s v="Customer 006"/>
    <x v="2"/>
    <s v="Furniture"/>
    <x v="0"/>
    <n v="3"/>
    <n v="0"/>
    <n v="165"/>
    <n v="33.020000000000003"/>
    <x v="1"/>
  </r>
  <r>
    <s v="ORD-00634"/>
    <d v="2025-08-19T00:00:00"/>
    <s v="Customer 064"/>
    <x v="6"/>
    <s v="Office Supplies"/>
    <x v="0"/>
    <n v="5"/>
    <n v="0.2"/>
    <n v="72"/>
    <n v="29.2"/>
    <x v="2"/>
  </r>
  <r>
    <s v="ORD-00635"/>
    <d v="2025-09-29T00:00:00"/>
    <s v="Customer 075"/>
    <x v="1"/>
    <s v="Furniture"/>
    <x v="3"/>
    <n v="1"/>
    <n v="0.2"/>
    <n v="168"/>
    <n v="23.75"/>
    <x v="1"/>
  </r>
  <r>
    <s v="ORD-00636"/>
    <d v="2025-09-18T00:00:00"/>
    <s v="Customer 017"/>
    <x v="3"/>
    <s v="Furniture"/>
    <x v="0"/>
    <n v="5"/>
    <n v="0.05"/>
    <n v="1330"/>
    <n v="277.89"/>
    <x v="1"/>
  </r>
  <r>
    <s v="ORD-00637"/>
    <d v="2025-07-18T00:00:00"/>
    <s v="Customer 065"/>
    <x v="5"/>
    <s v="Technology"/>
    <x v="3"/>
    <n v="5"/>
    <n v="0.2"/>
    <n v="1280"/>
    <n v="203.15"/>
    <x v="0"/>
  </r>
  <r>
    <s v="ORD-00638"/>
    <d v="2025-08-03T00:00:00"/>
    <s v="Customer 044"/>
    <x v="10"/>
    <s v="Office Supplies"/>
    <x v="2"/>
    <n v="2"/>
    <n v="0.1"/>
    <n v="45"/>
    <n v="14.34"/>
    <x v="2"/>
  </r>
  <r>
    <s v="ORD-00639"/>
    <d v="2025-08-20T00:00:00"/>
    <s v="Customer 096"/>
    <x v="3"/>
    <s v="Furniture"/>
    <x v="2"/>
    <n v="2"/>
    <n v="0.15"/>
    <n v="476"/>
    <n v="119.56"/>
    <x v="1"/>
  </r>
  <r>
    <s v="ORD-00640"/>
    <d v="2025-12-26T00:00:00"/>
    <s v="Customer 026"/>
    <x v="8"/>
    <s v="Office Supplies"/>
    <x v="1"/>
    <n v="3"/>
    <n v="0.2"/>
    <n v="576"/>
    <n v="138.96"/>
    <x v="2"/>
  </r>
  <r>
    <s v="ORD-00641"/>
    <d v="2025-11-16T00:00:00"/>
    <s v="Customer 017"/>
    <x v="1"/>
    <s v="Furniture"/>
    <x v="1"/>
    <n v="3"/>
    <n v="0.1"/>
    <n v="567"/>
    <n v="82.79"/>
    <x v="1"/>
  </r>
  <r>
    <s v="ORD-00642"/>
    <d v="2025-09-15T00:00:00"/>
    <s v="Customer 072"/>
    <x v="8"/>
    <s v="Office Supplies"/>
    <x v="3"/>
    <n v="3"/>
    <n v="0"/>
    <n v="720"/>
    <n v="143.24"/>
    <x v="2"/>
  </r>
  <r>
    <s v="ORD-00643"/>
    <d v="2025-10-26T00:00:00"/>
    <s v="Customer 055"/>
    <x v="10"/>
    <s v="Office Supplies"/>
    <x v="0"/>
    <n v="4"/>
    <n v="0.2"/>
    <n v="80"/>
    <n v="28.45"/>
    <x v="2"/>
  </r>
  <r>
    <s v="ORD-00644"/>
    <d v="2025-09-25T00:00:00"/>
    <s v="Customer 086"/>
    <x v="0"/>
    <s v="Technology"/>
    <x v="0"/>
    <n v="1"/>
    <n v="0.15"/>
    <n v="29.75"/>
    <n v="11.96"/>
    <x v="0"/>
  </r>
  <r>
    <s v="ORD-00645"/>
    <d v="2025-04-13T00:00:00"/>
    <s v="Customer 019"/>
    <x v="4"/>
    <s v="Technology"/>
    <x v="0"/>
    <n v="2"/>
    <n v="0.1"/>
    <n v="1530"/>
    <n v="343.46"/>
    <x v="0"/>
  </r>
  <r>
    <s v="ORD-00646"/>
    <d v="2025-12-20T00:00:00"/>
    <s v="Customer 058"/>
    <x v="4"/>
    <s v="Technology"/>
    <x v="0"/>
    <n v="2"/>
    <n v="0.2"/>
    <n v="1360"/>
    <n v="597.5"/>
    <x v="0"/>
  </r>
  <r>
    <s v="ORD-00647"/>
    <d v="2025-11-12T00:00:00"/>
    <s v="Customer 072"/>
    <x v="5"/>
    <s v="Technology"/>
    <x v="3"/>
    <n v="5"/>
    <n v="0.05"/>
    <n v="1520"/>
    <n v="311.61"/>
    <x v="0"/>
  </r>
  <r>
    <s v="ORD-00648"/>
    <d v="2025-05-02T00:00:00"/>
    <s v="Customer 050"/>
    <x v="8"/>
    <s v="Office Supplies"/>
    <x v="3"/>
    <n v="3"/>
    <n v="0"/>
    <n v="720"/>
    <n v="103.87"/>
    <x v="2"/>
  </r>
  <r>
    <s v="ORD-00649"/>
    <d v="2025-12-17T00:00:00"/>
    <s v="Customer 033"/>
    <x v="7"/>
    <s v="Technology"/>
    <x v="1"/>
    <n v="5"/>
    <n v="0"/>
    <n v="350"/>
    <n v="156"/>
    <x v="0"/>
  </r>
  <r>
    <s v="ORD-00650"/>
    <d v="2025-11-14T00:00:00"/>
    <s v="Customer 070"/>
    <x v="6"/>
    <s v="Office Supplies"/>
    <x v="1"/>
    <n v="2"/>
    <n v="0.1"/>
    <n v="32.4"/>
    <n v="6.51"/>
    <x v="2"/>
  </r>
  <r>
    <s v="ORD-00651"/>
    <d v="2025-04-10T00:00:00"/>
    <s v="Customer 010"/>
    <x v="4"/>
    <s v="Technology"/>
    <x v="1"/>
    <n v="4"/>
    <n v="0.05"/>
    <m/>
    <n v="405.24"/>
    <x v="0"/>
  </r>
  <r>
    <s v="ORD-00652"/>
    <d v="2025-03-30T00:00:00"/>
    <s v="Customer 055"/>
    <x v="1"/>
    <s v="Furniture"/>
    <x v="2"/>
    <n v="5"/>
    <n v="0"/>
    <n v="1050"/>
    <n v="341.8"/>
    <x v="1"/>
  </r>
  <r>
    <s v="ORD-00653"/>
    <d v="2025-10-12T00:00:00"/>
    <s v="Customer 033"/>
    <x v="4"/>
    <s v="Technology"/>
    <x v="0"/>
    <n v="2"/>
    <n v="0.05"/>
    <n v="1615"/>
    <n v="415.51"/>
    <x v="0"/>
  </r>
  <r>
    <s v="ORD-00654"/>
    <d v="2025-06-19T00:00:00"/>
    <s v="Customer 042"/>
    <x v="6"/>
    <s v="Office Supplies"/>
    <x v="0"/>
    <n v="2"/>
    <n v="0"/>
    <n v="36"/>
    <n v="14.37"/>
    <x v="2"/>
  </r>
  <r>
    <s v="ORD-00655"/>
    <d v="2025-11-17T00:00:00"/>
    <s v="Customer 071"/>
    <x v="10"/>
    <s v="Office Supplies"/>
    <x v="2"/>
    <n v="3"/>
    <n v="0.15"/>
    <n v="63.75"/>
    <n v="12.07"/>
    <x v="2"/>
  </r>
  <r>
    <s v="ORD-00656"/>
    <d v="2025-02-07T00:00:00"/>
    <s v="Customer 024"/>
    <x v="1"/>
    <s v="Furniture"/>
    <x v="0"/>
    <n v="3"/>
    <n v="0.2"/>
    <n v="504"/>
    <n v="190.22"/>
    <x v="1"/>
  </r>
  <r>
    <s v="ORD-00657"/>
    <d v="2025-09-16T00:00:00"/>
    <s v="Customer 012"/>
    <x v="3"/>
    <s v="Furniture"/>
    <x v="2"/>
    <n v="4"/>
    <n v="0.2"/>
    <n v="896"/>
    <n v="244.41"/>
    <x v="1"/>
  </r>
  <r>
    <s v="ORD-00658"/>
    <d v="2025-04-24T00:00:00"/>
    <s v="Customer 028"/>
    <x v="2"/>
    <s v="Furniture"/>
    <x v="3"/>
    <n v="3"/>
    <n v="0.1"/>
    <n v="148.5"/>
    <n v="49.14"/>
    <x v="1"/>
  </r>
  <r>
    <s v="ORD-00659"/>
    <d v="2025-10-15T00:00:00"/>
    <s v="Customer 058"/>
    <x v="5"/>
    <s v="Technology"/>
    <x v="1"/>
    <n v="1"/>
    <n v="0"/>
    <n v="320"/>
    <n v="73.36"/>
    <x v="0"/>
  </r>
  <r>
    <s v="ORD-00660"/>
    <d v="2025-11-25T00:00:00"/>
    <s v="Customer 088"/>
    <x v="10"/>
    <s v="Office Supplies"/>
    <x v="2"/>
    <n v="5"/>
    <n v="0.05"/>
    <n v="118.75"/>
    <n v="15.86"/>
    <x v="2"/>
  </r>
  <r>
    <s v="ORD-00661"/>
    <d v="2025-07-15T00:00:00"/>
    <s v="Customer 037"/>
    <x v="0"/>
    <s v="Technology"/>
    <x v="0"/>
    <n v="4"/>
    <n v="0.1"/>
    <n v="126"/>
    <n v="34.24"/>
    <x v="0"/>
  </r>
  <r>
    <s v="ORD-00662"/>
    <d v="2025-09-22T00:00:00"/>
    <s v="Customer 006"/>
    <x v="7"/>
    <s v="Technology"/>
    <x v="2"/>
    <n v="5"/>
    <n v="0.2"/>
    <n v="280"/>
    <n v="84.83"/>
    <x v="0"/>
  </r>
  <r>
    <s v="ORD-00663"/>
    <d v="2025-11-30T00:00:00"/>
    <s v="Customer 013"/>
    <x v="2"/>
    <s v="Furniture"/>
    <x v="1"/>
    <n v="3"/>
    <n v="0.2"/>
    <n v="132"/>
    <n v="55.81"/>
    <x v="1"/>
  </r>
  <r>
    <s v="ORD-00664"/>
    <d v="2025-10-03T00:00:00"/>
    <s v="Customer 081"/>
    <x v="8"/>
    <s v="Office Supplies"/>
    <x v="1"/>
    <n v="1"/>
    <n v="0"/>
    <n v="240"/>
    <n v="91.31"/>
    <x v="2"/>
  </r>
  <r>
    <s v="ORD-00665"/>
    <d v="2025-12-17T00:00:00"/>
    <s v="Customer 090"/>
    <x v="11"/>
    <s v="Furniture"/>
    <x v="3"/>
    <n v="1"/>
    <n v="0.05"/>
    <n v="180.5"/>
    <n v="49.19"/>
    <x v="1"/>
  </r>
  <r>
    <s v="ORD-00666"/>
    <d v="2025-11-28T00:00:00"/>
    <s v="Customer 043"/>
    <x v="0"/>
    <s v="Technology"/>
    <x v="0"/>
    <n v="2"/>
    <n v="0"/>
    <n v="70"/>
    <n v="20.89"/>
    <x v="0"/>
  </r>
  <r>
    <s v="ORD-00667"/>
    <d v="2025-02-14T00:00:00"/>
    <s v="Customer 072"/>
    <x v="0"/>
    <s v="Technology"/>
    <x v="0"/>
    <n v="1"/>
    <n v="0.05"/>
    <n v="33.25"/>
    <n v="6.25"/>
    <x v="0"/>
  </r>
  <r>
    <s v="ORD-00668"/>
    <d v="2025-10-22T00:00:00"/>
    <s v="Customer 081"/>
    <x v="2"/>
    <s v="Furniture"/>
    <x v="3"/>
    <n v="3"/>
    <n v="0.15"/>
    <n v="140.25"/>
    <n v="45.15"/>
    <x v="1"/>
  </r>
  <r>
    <s v="ORD-00669"/>
    <d v="2025-08-10T00:00:00"/>
    <s v="Customer 069"/>
    <x v="7"/>
    <s v="Technology"/>
    <x v="0"/>
    <n v="1"/>
    <n v="0.15"/>
    <n v="59.5"/>
    <n v="13.55"/>
    <x v="0"/>
  </r>
  <r>
    <s v="ORD-00670"/>
    <d v="2025-11-25T00:00:00"/>
    <s v="Customer 075"/>
    <x v="1"/>
    <s v="Furniture"/>
    <x v="0"/>
    <n v="5"/>
    <n v="0"/>
    <n v="1050"/>
    <n v="210.56"/>
    <x v="1"/>
  </r>
  <r>
    <s v="ORD-00671"/>
    <d v="2025-12-25T00:00:00"/>
    <s v="Customer 088"/>
    <x v="0"/>
    <s v="Technology"/>
    <x v="2"/>
    <n v="3"/>
    <n v="0.2"/>
    <n v="84"/>
    <n v="34.86"/>
    <x v="0"/>
  </r>
  <r>
    <s v="ORD-00672"/>
    <d v="2025-11-07T00:00:00"/>
    <s v="Customer 085"/>
    <x v="0"/>
    <s v="Technology"/>
    <x v="0"/>
    <n v="3"/>
    <n v="0.15"/>
    <n v="89.25"/>
    <n v="28.93"/>
    <x v="0"/>
  </r>
  <r>
    <s v="ORD-00673"/>
    <d v="2025-08-31T00:00:00"/>
    <s v="Customer 051"/>
    <x v="3"/>
    <s v="Furniture"/>
    <x v="2"/>
    <n v="5"/>
    <n v="0.05"/>
    <n v="1330"/>
    <n v="538.64"/>
    <x v="1"/>
  </r>
  <r>
    <s v="ORD-00674"/>
    <d v="2025-11-21T00:00:00"/>
    <s v="Customer 002"/>
    <x v="3"/>
    <s v="Furniture"/>
    <x v="1"/>
    <n v="3"/>
    <n v="0.1"/>
    <n v="756"/>
    <n v="101.35"/>
    <x v="1"/>
  </r>
  <r>
    <s v="ORD-00675"/>
    <d v="2025-03-05T00:00:00"/>
    <s v="Customer 069"/>
    <x v="9"/>
    <s v="Technology"/>
    <x v="0"/>
    <n v="1"/>
    <n v="0.2"/>
    <n v="960"/>
    <n v="242.98"/>
    <x v="0"/>
  </r>
  <r>
    <s v="ORD-00676"/>
    <d v="2025-06-06T00:00:00"/>
    <s v="Customer 083"/>
    <x v="2"/>
    <s v="Furniture"/>
    <x v="1"/>
    <n v="3"/>
    <n v="0.05"/>
    <n v="156.75"/>
    <n v="49.19"/>
    <x v="1"/>
  </r>
  <r>
    <s v="ORD-00677"/>
    <d v="2025-03-24T00:00:00"/>
    <s v="Customer 025"/>
    <x v="3"/>
    <s v="Furniture"/>
    <x v="0"/>
    <n v="2"/>
    <n v="0.2"/>
    <n v="448"/>
    <n v="78.19"/>
    <x v="1"/>
  </r>
  <r>
    <s v="ORD-00678"/>
    <d v="2025-04-03T00:00:00"/>
    <s v="Customer 071"/>
    <x v="5"/>
    <s v="Technology"/>
    <x v="3"/>
    <n v="5"/>
    <n v="0"/>
    <n v="1600"/>
    <n v="270.47000000000003"/>
    <x v="0"/>
  </r>
  <r>
    <s v="ORD-00679"/>
    <d v="2025-11-27T00:00:00"/>
    <s v="Customer 033"/>
    <x v="8"/>
    <s v="Office Supplies"/>
    <x v="0"/>
    <n v="1"/>
    <n v="0.1"/>
    <n v="216"/>
    <n v="49.32"/>
    <x v="2"/>
  </r>
  <r>
    <s v="ORD-00680"/>
    <d v="2025-04-12T00:00:00"/>
    <s v="Customer 046"/>
    <x v="1"/>
    <s v="Furniture"/>
    <x v="1"/>
    <n v="5"/>
    <n v="0.15"/>
    <n v="892.5"/>
    <n v="121.37"/>
    <x v="1"/>
  </r>
  <r>
    <s v="ORD-00681"/>
    <d v="2025-12-10T00:00:00"/>
    <s v="Customer 009"/>
    <x v="5"/>
    <s v="Technology"/>
    <x v="1"/>
    <n v="2"/>
    <n v="0"/>
    <n v="640"/>
    <n v="227.78"/>
    <x v="0"/>
  </r>
  <r>
    <s v="ORD-00682"/>
    <d v="2025-06-12T00:00:00"/>
    <s v="Customer 040"/>
    <x v="6"/>
    <s v="Office Supplies"/>
    <x v="1"/>
    <n v="4"/>
    <n v="0.1"/>
    <n v="64.8"/>
    <n v="15.98"/>
    <x v="2"/>
  </r>
  <r>
    <s v="ORD-00683"/>
    <d v="2025-10-17T00:00:00"/>
    <s v="Customer 022"/>
    <x v="10"/>
    <s v="Office Supplies"/>
    <x v="0"/>
    <n v="3"/>
    <n v="0.1"/>
    <n v="67.5"/>
    <n v="9.02"/>
    <x v="2"/>
  </r>
  <r>
    <s v="ORD-00684"/>
    <d v="2025-06-10T00:00:00"/>
    <s v="Customer 047"/>
    <x v="2"/>
    <s v="Furniture"/>
    <x v="1"/>
    <n v="2"/>
    <n v="0.15"/>
    <n v="93.5"/>
    <n v="33.54"/>
    <x v="1"/>
  </r>
  <r>
    <s v="ORD-00685"/>
    <d v="2025-12-14T00:00:00"/>
    <s v="Customer 046"/>
    <x v="1"/>
    <s v="Furniture"/>
    <x v="2"/>
    <n v="3"/>
    <n v="0.15"/>
    <n v="535.5"/>
    <n v="159.18"/>
    <x v="1"/>
  </r>
  <r>
    <s v="ORD-00686"/>
    <d v="2025-09-07T00:00:00"/>
    <s v="Customer 011"/>
    <x v="8"/>
    <s v="Office Supplies"/>
    <x v="2"/>
    <n v="1"/>
    <n v="0.05"/>
    <n v="228"/>
    <n v="54.03"/>
    <x v="2"/>
  </r>
  <r>
    <s v="ORD-00687"/>
    <d v="2025-03-13T00:00:00"/>
    <s v="Customer 081"/>
    <x v="8"/>
    <s v="Office Supplies"/>
    <x v="0"/>
    <n v="2"/>
    <n v="0.1"/>
    <n v="432"/>
    <n v="89.83"/>
    <x v="2"/>
  </r>
  <r>
    <s v="ORD-00688"/>
    <d v="2025-02-08T00:00:00"/>
    <s v="Customer 075"/>
    <x v="9"/>
    <s v="Technology"/>
    <x v="3"/>
    <n v="5"/>
    <n v="0"/>
    <n v="6000"/>
    <n v="1090.97"/>
    <x v="0"/>
  </r>
  <r>
    <s v="ORD-00689"/>
    <d v="2025-10-30T00:00:00"/>
    <s v="Customer 070"/>
    <x v="2"/>
    <s v="Furniture"/>
    <x v="3"/>
    <n v="1"/>
    <n v="0.2"/>
    <n v="44"/>
    <n v="16.02"/>
    <x v="1"/>
  </r>
  <r>
    <s v="ORD-00690"/>
    <d v="2025-12-01T00:00:00"/>
    <s v="Customer 099"/>
    <x v="3"/>
    <s v="Furniture"/>
    <x v="2"/>
    <n v="3"/>
    <n v="0.15"/>
    <n v="714"/>
    <n v="268.68"/>
    <x v="1"/>
  </r>
  <r>
    <s v="ORD-00691"/>
    <d v="2025-03-10T00:00:00"/>
    <s v="Customer 047"/>
    <x v="6"/>
    <s v="Office Supplies"/>
    <x v="0"/>
    <n v="5"/>
    <n v="0.2"/>
    <n v="72"/>
    <n v="30.25"/>
    <x v="2"/>
  </r>
  <r>
    <s v="ORD-00692"/>
    <d v="2025-12-06T00:00:00"/>
    <s v="Customer 018"/>
    <x v="2"/>
    <s v="Furniture"/>
    <x v="3"/>
    <n v="5"/>
    <n v="0.05"/>
    <n v="261.25"/>
    <n v="52.28"/>
    <x v="1"/>
  </r>
  <r>
    <s v="ORD-00693"/>
    <d v="2025-03-23T00:00:00"/>
    <s v="Customer 019"/>
    <x v="3"/>
    <s v="Furniture"/>
    <x v="3"/>
    <n v="5"/>
    <n v="0.2"/>
    <n v="1120"/>
    <n v="260.27999999999997"/>
    <x v="1"/>
  </r>
  <r>
    <s v="ORD-00694"/>
    <d v="2025-07-03T00:00:00"/>
    <s v="Customer 034"/>
    <x v="9"/>
    <s v="Technology"/>
    <x v="2"/>
    <n v="2"/>
    <n v="0.15"/>
    <n v="2040"/>
    <n v="761.99"/>
    <x v="0"/>
  </r>
  <r>
    <s v="ORD-00695"/>
    <d v="2025-04-30T00:00:00"/>
    <s v="Customer 047"/>
    <x v="9"/>
    <s v="Technology"/>
    <x v="3"/>
    <n v="2"/>
    <n v="0.2"/>
    <n v="1920"/>
    <n v="288.86"/>
    <x v="0"/>
  </r>
  <r>
    <s v="ORD-00696"/>
    <d v="2025-08-29T00:00:00"/>
    <s v="Customer 042"/>
    <x v="6"/>
    <s v="Office Supplies"/>
    <x v="0"/>
    <n v="1"/>
    <n v="0"/>
    <n v="18"/>
    <n v="2.2799999999999998"/>
    <x v="2"/>
  </r>
  <r>
    <s v="ORD-00697"/>
    <d v="2025-12-27T00:00:00"/>
    <s v="Customer 073"/>
    <x v="8"/>
    <s v="Office Supplies"/>
    <x v="1"/>
    <n v="3"/>
    <n v="0.1"/>
    <n v="648"/>
    <n v="167.87"/>
    <x v="2"/>
  </r>
  <r>
    <s v="ORD-00698"/>
    <d v="2025-07-12T00:00:00"/>
    <s v="Customer 010"/>
    <x v="5"/>
    <s v="Technology"/>
    <x v="2"/>
    <n v="4"/>
    <n v="0.1"/>
    <n v="1152"/>
    <n v="294.99"/>
    <x v="0"/>
  </r>
  <r>
    <s v="ORD-00699"/>
    <d v="2025-07-12T00:00:00"/>
    <s v="Customer 045"/>
    <x v="2"/>
    <s v="Furniture"/>
    <x v="3"/>
    <n v="5"/>
    <n v="0.15"/>
    <n v="233.75"/>
    <n v="77.97"/>
    <x v="1"/>
  </r>
  <r>
    <s v="ORD-00700"/>
    <d v="2025-09-04T00:00:00"/>
    <s v="Customer 057"/>
    <x v="10"/>
    <s v="Office Supplies"/>
    <x v="1"/>
    <n v="1"/>
    <n v="0.2"/>
    <n v="20"/>
    <n v="3.18"/>
    <x v="2"/>
  </r>
  <r>
    <s v="ORD-00701"/>
    <d v="2025-04-28T00:00:00"/>
    <s v="Customer 024"/>
    <x v="0"/>
    <s v="Technology"/>
    <x v="1"/>
    <n v="5"/>
    <n v="0.1"/>
    <n v="157.5"/>
    <n v="59.88"/>
    <x v="0"/>
  </r>
  <r>
    <s v="ORD-00702"/>
    <d v="2025-07-05T00:00:00"/>
    <s v="Customer 043"/>
    <x v="10"/>
    <s v="Office Supplies"/>
    <x v="0"/>
    <n v="1"/>
    <n v="0.05"/>
    <n v="23.75"/>
    <n v="7.44"/>
    <x v="2"/>
  </r>
  <r>
    <s v="ORD-00703"/>
    <d v="2025-09-04T00:00:00"/>
    <s v="Customer 021"/>
    <x v="5"/>
    <s v="Technology"/>
    <x v="3"/>
    <n v="4"/>
    <n v="0.15"/>
    <n v="1088"/>
    <n v="413.95"/>
    <x v="0"/>
  </r>
  <r>
    <s v="ORD-00704"/>
    <d v="2025-01-12T00:00:00"/>
    <s v="Customer 021"/>
    <x v="2"/>
    <s v="Furniture"/>
    <x v="1"/>
    <n v="1"/>
    <n v="0.05"/>
    <n v="52.25"/>
    <n v="13.62"/>
    <x v="1"/>
  </r>
  <r>
    <s v="ORD-00705"/>
    <d v="2025-11-19T00:00:00"/>
    <s v="Customer 022"/>
    <x v="8"/>
    <s v="Office Supplies"/>
    <x v="2"/>
    <n v="1"/>
    <n v="0.2"/>
    <n v="192"/>
    <n v="77.09"/>
    <x v="2"/>
  </r>
  <r>
    <s v="ORD-00706"/>
    <d v="2025-04-03T00:00:00"/>
    <s v="Customer 082"/>
    <x v="8"/>
    <s v="Office Supplies"/>
    <x v="0"/>
    <n v="4"/>
    <n v="0.2"/>
    <n v="768"/>
    <n v="99.95"/>
    <x v="2"/>
  </r>
  <r>
    <s v="ORD-00707"/>
    <d v="2025-12-05T00:00:00"/>
    <s v="Customer 061"/>
    <x v="4"/>
    <s v="Technology"/>
    <x v="3"/>
    <n v="1"/>
    <n v="0.05"/>
    <n v="807.5"/>
    <n v="243.67"/>
    <x v="0"/>
  </r>
  <r>
    <s v="ORD-00708"/>
    <d v="2025-03-29T00:00:00"/>
    <s v="Customer 075"/>
    <x v="2"/>
    <s v="Furniture"/>
    <x v="1"/>
    <n v="4"/>
    <n v="0.2"/>
    <n v="176"/>
    <n v="70.91"/>
    <x v="1"/>
  </r>
  <r>
    <s v="ORD-00709"/>
    <d v="2025-11-16T00:00:00"/>
    <s v="Customer 088"/>
    <x v="5"/>
    <s v="Technology"/>
    <x v="2"/>
    <n v="5"/>
    <n v="0.1"/>
    <n v="1440"/>
    <n v="568.29999999999995"/>
    <x v="0"/>
  </r>
  <r>
    <s v="ORD-00710"/>
    <d v="2025-08-21T00:00:00"/>
    <s v="Customer 050"/>
    <x v="10"/>
    <s v="Office Supplies"/>
    <x v="1"/>
    <n v="5"/>
    <n v="0"/>
    <n v="125"/>
    <n v="46.77"/>
    <x v="2"/>
  </r>
  <r>
    <s v="ORD-00711"/>
    <d v="2025-02-25T00:00:00"/>
    <s v="Customer 065"/>
    <x v="9"/>
    <s v="Technology"/>
    <x v="3"/>
    <n v="2"/>
    <n v="0.2"/>
    <n v="1920"/>
    <n v="319.36"/>
    <x v="0"/>
  </r>
  <r>
    <s v="ORD-00712"/>
    <d v="2025-03-18T00:00:00"/>
    <s v="Customer 079"/>
    <x v="10"/>
    <s v="Office Supplies"/>
    <x v="0"/>
    <n v="1"/>
    <n v="0.05"/>
    <n v="23.75"/>
    <n v="6.96"/>
    <x v="2"/>
  </r>
  <r>
    <s v="ORD-00713"/>
    <d v="2025-09-30T00:00:00"/>
    <s v="Customer 017"/>
    <x v="8"/>
    <s v="Office Supplies"/>
    <x v="0"/>
    <n v="1"/>
    <n v="0"/>
    <n v="240"/>
    <n v="69.81"/>
    <x v="2"/>
  </r>
  <r>
    <s v="ORD-00714"/>
    <d v="2025-12-14T00:00:00"/>
    <s v="Customer 006"/>
    <x v="5"/>
    <s v="Technology"/>
    <x v="3"/>
    <n v="4"/>
    <n v="0.2"/>
    <n v="1024"/>
    <n v="318.64"/>
    <x v="0"/>
  </r>
  <r>
    <s v="ORD-00715"/>
    <d v="2025-04-28T00:00:00"/>
    <s v="Customer 095"/>
    <x v="6"/>
    <s v="Office Supplies"/>
    <x v="0"/>
    <n v="4"/>
    <n v="0.1"/>
    <n v="64.8"/>
    <n v="16.559999999999999"/>
    <x v="2"/>
  </r>
  <r>
    <s v="ORD-00716"/>
    <d v="2025-08-06T00:00:00"/>
    <s v="Customer 011"/>
    <x v="3"/>
    <s v="Furniture"/>
    <x v="2"/>
    <n v="3"/>
    <n v="0.15"/>
    <n v="714"/>
    <n v="140.85"/>
    <x v="1"/>
  </r>
  <r>
    <s v="ORD-00717"/>
    <d v="2025-11-03T00:00:00"/>
    <s v="Customer 091"/>
    <x v="8"/>
    <s v="Office Supplies"/>
    <x v="0"/>
    <n v="4"/>
    <n v="0.1"/>
    <n v="864"/>
    <n v="334.91"/>
    <x v="2"/>
  </r>
  <r>
    <s v="ORD-00718"/>
    <d v="2025-10-23T00:00:00"/>
    <s v="Customer 084"/>
    <x v="8"/>
    <s v="Office Supplies"/>
    <x v="1"/>
    <n v="1"/>
    <n v="0.2"/>
    <n v="192"/>
    <n v="85.94"/>
    <x v="2"/>
  </r>
  <r>
    <s v="ORD-00719"/>
    <d v="2025-12-19T00:00:00"/>
    <s v="Customer 055"/>
    <x v="7"/>
    <s v="Technology"/>
    <x v="2"/>
    <n v="4"/>
    <n v="0.1"/>
    <n v="252"/>
    <n v="104.54"/>
    <x v="0"/>
  </r>
  <r>
    <s v="ORD-00720"/>
    <d v="2025-05-14T00:00:00"/>
    <s v="Customer 036"/>
    <x v="8"/>
    <s v="Office Supplies"/>
    <x v="3"/>
    <n v="4"/>
    <n v="0.2"/>
    <n v="768"/>
    <n v="252.93"/>
    <x v="2"/>
  </r>
  <r>
    <s v="ORD-00721"/>
    <d v="2025-04-15T00:00:00"/>
    <s v="Customer 048"/>
    <x v="11"/>
    <s v="Furniture"/>
    <x v="3"/>
    <n v="5"/>
    <n v="0.2"/>
    <n v="760"/>
    <n v="221"/>
    <x v="1"/>
  </r>
  <r>
    <s v="ORD-00722"/>
    <d v="2025-05-10T00:00:00"/>
    <s v="Customer 051"/>
    <x v="4"/>
    <s v="Technology"/>
    <x v="1"/>
    <n v="5"/>
    <n v="0.1"/>
    <n v="3825"/>
    <n v="744.02"/>
    <x v="0"/>
  </r>
  <r>
    <s v="ORD-00723"/>
    <d v="2025-12-04T00:00:00"/>
    <s v="Customer 021"/>
    <x v="0"/>
    <s v="Technology"/>
    <x v="0"/>
    <n v="2"/>
    <n v="0.15"/>
    <n v="59.5"/>
    <n v="11.4"/>
    <x v="0"/>
  </r>
  <r>
    <s v="ORD-00724"/>
    <d v="2025-04-20T00:00:00"/>
    <s v="Customer 079"/>
    <x v="8"/>
    <s v="Office Supplies"/>
    <x v="0"/>
    <n v="4"/>
    <n v="0.1"/>
    <n v="864"/>
    <n v="160.46"/>
    <x v="2"/>
  </r>
  <r>
    <s v="ORD-00725"/>
    <d v="2025-03-24T00:00:00"/>
    <s v="Customer 061"/>
    <x v="11"/>
    <s v="Furniture"/>
    <x v="3"/>
    <n v="1"/>
    <n v="0"/>
    <n v="190"/>
    <n v="33.880000000000003"/>
    <x v="1"/>
  </r>
  <r>
    <s v="ORD-00726"/>
    <d v="2025-02-15T00:00:00"/>
    <s v="Customer 078"/>
    <x v="0"/>
    <s v="Technology"/>
    <x v="0"/>
    <n v="3"/>
    <n v="0.05"/>
    <n v="99.75"/>
    <n v="32.68"/>
    <x v="0"/>
  </r>
  <r>
    <s v="ORD-00727"/>
    <d v="2025-07-16T00:00:00"/>
    <s v="Customer 077"/>
    <x v="11"/>
    <s v="Furniture"/>
    <x v="0"/>
    <n v="5"/>
    <n v="0.2"/>
    <n v="760"/>
    <n v="270.14999999999998"/>
    <x v="1"/>
  </r>
  <r>
    <s v="ORD-00728"/>
    <d v="2025-03-31T00:00:00"/>
    <s v="Customer 085"/>
    <x v="5"/>
    <s v="Technology"/>
    <x v="2"/>
    <n v="4"/>
    <n v="0.15"/>
    <n v="1088"/>
    <n v="485.75"/>
    <x v="0"/>
  </r>
  <r>
    <s v="ORD-00729"/>
    <d v="2025-04-10T00:00:00"/>
    <s v="Customer 030"/>
    <x v="9"/>
    <s v="Technology"/>
    <x v="1"/>
    <n v="5"/>
    <n v="0.2"/>
    <n v="4800"/>
    <n v="1342.95"/>
    <x v="0"/>
  </r>
  <r>
    <s v="ORD-00730"/>
    <d v="2025-12-12T00:00:00"/>
    <s v="Customer 021"/>
    <x v="9"/>
    <s v="Technology"/>
    <x v="0"/>
    <n v="3"/>
    <n v="0.05"/>
    <n v="3420"/>
    <n v="799.75"/>
    <x v="0"/>
  </r>
  <r>
    <s v="ORD-00731"/>
    <d v="2025-05-22T00:00:00"/>
    <s v="Customer 026"/>
    <x v="11"/>
    <s v="Furniture"/>
    <x v="0"/>
    <n v="3"/>
    <n v="0.15"/>
    <n v="484.5"/>
    <n v="153.19999999999999"/>
    <x v="1"/>
  </r>
  <r>
    <s v="ORD-00732"/>
    <d v="2025-12-27T00:00:00"/>
    <s v="Customer 072"/>
    <x v="0"/>
    <s v="Technology"/>
    <x v="2"/>
    <n v="1"/>
    <n v="0.2"/>
    <n v="28"/>
    <n v="9.9700000000000006"/>
    <x v="0"/>
  </r>
  <r>
    <s v="ORD-00733"/>
    <d v="2025-06-27T00:00:00"/>
    <s v="Customer 059"/>
    <x v="4"/>
    <s v="Technology"/>
    <x v="3"/>
    <n v="2"/>
    <n v="0.2"/>
    <n v="1360"/>
    <n v="179.78"/>
    <x v="0"/>
  </r>
  <r>
    <s v="ORD-00734"/>
    <d v="2025-10-22T00:00:00"/>
    <s v="Customer 014"/>
    <x v="9"/>
    <s v="Technology"/>
    <x v="0"/>
    <n v="3"/>
    <n v="0.05"/>
    <n v="3420"/>
    <n v="1079.51"/>
    <x v="0"/>
  </r>
  <r>
    <s v="ORD-00735"/>
    <d v="2025-09-15T00:00:00"/>
    <s v="Customer 033"/>
    <x v="4"/>
    <s v="Technology"/>
    <x v="2"/>
    <n v="3"/>
    <n v="0"/>
    <n v="2550"/>
    <n v="471.82"/>
    <x v="0"/>
  </r>
  <r>
    <s v="ORD-00736"/>
    <d v="2025-12-22T00:00:00"/>
    <s v="Customer 032"/>
    <x v="6"/>
    <s v="Office Supplies"/>
    <x v="2"/>
    <n v="4"/>
    <n v="0.2"/>
    <n v="57.6"/>
    <n v="16.73"/>
    <x v="2"/>
  </r>
  <r>
    <s v="ORD-00737"/>
    <d v="2025-08-23T00:00:00"/>
    <s v="Customer 062"/>
    <x v="5"/>
    <s v="Technology"/>
    <x v="0"/>
    <n v="4"/>
    <n v="0.2"/>
    <n v="1024"/>
    <n v="169.51"/>
    <x v="0"/>
  </r>
  <r>
    <s v="ORD-00738"/>
    <d v="2025-05-13T00:00:00"/>
    <s v="Customer 030"/>
    <x v="0"/>
    <s v="Technology"/>
    <x v="2"/>
    <n v="4"/>
    <n v="0.05"/>
    <n v="133"/>
    <n v="30.14"/>
    <x v="0"/>
  </r>
  <r>
    <s v="ORD-00739"/>
    <d v="2025-07-31T00:00:00"/>
    <s v="Customer 034"/>
    <x v="7"/>
    <s v="Technology"/>
    <x v="1"/>
    <n v="5"/>
    <n v="0.2"/>
    <n v="280"/>
    <n v="125.1"/>
    <x v="0"/>
  </r>
  <r>
    <s v="ORD-00740"/>
    <d v="2025-05-28T00:00:00"/>
    <s v="Customer 023"/>
    <x v="0"/>
    <s v="Technology"/>
    <x v="3"/>
    <n v="4"/>
    <n v="0.1"/>
    <n v="126"/>
    <n v="53.54"/>
    <x v="0"/>
  </r>
  <r>
    <s v="ORD-00741"/>
    <d v="2025-06-10T00:00:00"/>
    <s v="Customer 096"/>
    <x v="7"/>
    <s v="Technology"/>
    <x v="1"/>
    <n v="2"/>
    <n v="0.2"/>
    <n v="112"/>
    <n v="40.450000000000003"/>
    <x v="0"/>
  </r>
  <r>
    <s v="ORD-00742"/>
    <d v="2025-09-13T00:00:00"/>
    <s v="Customer 034"/>
    <x v="1"/>
    <s v="Furniture"/>
    <x v="1"/>
    <n v="2"/>
    <n v="0.05"/>
    <n v="399"/>
    <n v="82.72"/>
    <x v="1"/>
  </r>
  <r>
    <s v="ORD-00743"/>
    <d v="2025-04-28T00:00:00"/>
    <s v="Customer 100"/>
    <x v="2"/>
    <s v="Furniture"/>
    <x v="0"/>
    <n v="2"/>
    <n v="0.2"/>
    <n v="88"/>
    <n v="29.26"/>
    <x v="1"/>
  </r>
  <r>
    <s v="ORD-00744"/>
    <d v="2025-03-03T00:00:00"/>
    <s v="Customer 070"/>
    <x v="0"/>
    <s v="Technology"/>
    <x v="0"/>
    <n v="4"/>
    <n v="0.2"/>
    <n v="112"/>
    <n v="50.16"/>
    <x v="0"/>
  </r>
  <r>
    <s v="ORD-00745"/>
    <d v="2025-09-04T00:00:00"/>
    <s v="Customer 074"/>
    <x v="7"/>
    <s v="Technology"/>
    <x v="2"/>
    <n v="5"/>
    <n v="0.1"/>
    <n v="315"/>
    <n v="90.57"/>
    <x v="0"/>
  </r>
  <r>
    <s v="ORD-00746"/>
    <d v="2025-09-09T00:00:00"/>
    <s v="Customer 097"/>
    <x v="3"/>
    <s v="Furniture"/>
    <x v="1"/>
    <n v="5"/>
    <n v="0.1"/>
    <n v="1260"/>
    <n v="401.56"/>
    <x v="1"/>
  </r>
  <r>
    <s v="ORD-00747"/>
    <d v="2025-01-28T00:00:00"/>
    <s v="Customer 005"/>
    <x v="8"/>
    <s v="Office Supplies"/>
    <x v="2"/>
    <n v="4"/>
    <n v="0.15"/>
    <n v="816"/>
    <n v="114.17"/>
    <x v="2"/>
  </r>
  <r>
    <s v="ORD-00748"/>
    <d v="2025-07-21T00:00:00"/>
    <s v="Customer 090"/>
    <x v="5"/>
    <s v="Technology"/>
    <x v="3"/>
    <n v="2"/>
    <n v="0.15"/>
    <n v="544"/>
    <n v="69.5"/>
    <x v="0"/>
  </r>
  <r>
    <s v="ORD-00749"/>
    <d v="2025-06-11T00:00:00"/>
    <s v="Customer 049"/>
    <x v="1"/>
    <s v="Furniture"/>
    <x v="0"/>
    <n v="1"/>
    <n v="0"/>
    <n v="210"/>
    <n v="47.78"/>
    <x v="1"/>
  </r>
  <r>
    <s v="ORD-00750"/>
    <d v="2025-06-16T00:00:00"/>
    <s v="Customer 034"/>
    <x v="7"/>
    <s v="Technology"/>
    <x v="1"/>
    <n v="5"/>
    <n v="0.1"/>
    <n v="315"/>
    <n v="122.3"/>
    <x v="0"/>
  </r>
  <r>
    <s v="ORD-00751"/>
    <d v="2025-05-18T00:00:00"/>
    <s v="Customer 064"/>
    <x v="6"/>
    <s v="Office Supplies"/>
    <x v="3"/>
    <n v="5"/>
    <n v="0.1"/>
    <n v="81"/>
    <n v="26.67"/>
    <x v="2"/>
  </r>
  <r>
    <s v="ORD-00752"/>
    <d v="2025-04-18T00:00:00"/>
    <s v="Customer 036"/>
    <x v="11"/>
    <s v="Furniture"/>
    <x v="3"/>
    <n v="3"/>
    <n v="0.1"/>
    <n v="513"/>
    <n v="86.22"/>
    <x v="1"/>
  </r>
  <r>
    <s v="ORD-00753"/>
    <d v="2025-04-03T00:00:00"/>
    <s v="Customer 013"/>
    <x v="10"/>
    <s v="Office Supplies"/>
    <x v="2"/>
    <n v="2"/>
    <n v="0.2"/>
    <n v="40"/>
    <n v="8.94"/>
    <x v="2"/>
  </r>
  <r>
    <s v="ORD-00754"/>
    <d v="2025-05-01T00:00:00"/>
    <s v="Customer 095"/>
    <x v="8"/>
    <s v="Office Supplies"/>
    <x v="1"/>
    <n v="4"/>
    <n v="0.15"/>
    <n v="816"/>
    <n v="314.39999999999998"/>
    <x v="2"/>
  </r>
  <r>
    <s v="ORD-00755"/>
    <d v="2025-08-31T00:00:00"/>
    <s v="Customer 081"/>
    <x v="9"/>
    <s v="Technology"/>
    <x v="2"/>
    <n v="2"/>
    <n v="0.15"/>
    <n v="2040"/>
    <n v="581.66999999999996"/>
    <x v="0"/>
  </r>
  <r>
    <s v="ORD-00756"/>
    <d v="2025-09-07T00:00:00"/>
    <s v="Customer 007"/>
    <x v="4"/>
    <s v="Technology"/>
    <x v="3"/>
    <n v="3"/>
    <n v="0.2"/>
    <n v="2040"/>
    <n v="340.06"/>
    <x v="0"/>
  </r>
  <r>
    <s v="ORD-00757"/>
    <d v="2025-02-20T00:00:00"/>
    <s v="Customer 033"/>
    <x v="1"/>
    <s v="Furniture"/>
    <x v="3"/>
    <n v="2"/>
    <n v="0"/>
    <n v="420"/>
    <n v="159.13999999999999"/>
    <x v="1"/>
  </r>
  <r>
    <s v="ORD-00758"/>
    <d v="2025-11-19T00:00:00"/>
    <s v="Customer 047"/>
    <x v="0"/>
    <s v="Technology"/>
    <x v="2"/>
    <n v="4"/>
    <n v="0.1"/>
    <n v="126"/>
    <n v="45.9"/>
    <x v="0"/>
  </r>
  <r>
    <s v="ORD-00759"/>
    <d v="2025-06-26T00:00:00"/>
    <s v="Customer 087"/>
    <x v="9"/>
    <s v="Technology"/>
    <x v="1"/>
    <n v="4"/>
    <n v="0"/>
    <n v="4800"/>
    <n v="1603.87"/>
    <x v="0"/>
  </r>
  <r>
    <s v="ORD-00760"/>
    <d v="2025-10-23T00:00:00"/>
    <s v="Customer 037"/>
    <x v="10"/>
    <s v="Office Supplies"/>
    <x v="2"/>
    <n v="5"/>
    <n v="0.05"/>
    <n v="118.75"/>
    <n v="15.06"/>
    <x v="2"/>
  </r>
  <r>
    <s v="ORD-00761"/>
    <d v="2025-06-16T00:00:00"/>
    <s v="Customer 058"/>
    <x v="5"/>
    <s v="Technology"/>
    <x v="0"/>
    <n v="5"/>
    <n v="0.15"/>
    <n v="1360"/>
    <n v="264.29000000000002"/>
    <x v="0"/>
  </r>
  <r>
    <s v="ORD-00762"/>
    <d v="2025-07-15T00:00:00"/>
    <s v="Customer 019"/>
    <x v="10"/>
    <s v="Office Supplies"/>
    <x v="1"/>
    <n v="3"/>
    <n v="0.15"/>
    <n v="63.75"/>
    <n v="15.4"/>
    <x v="2"/>
  </r>
  <r>
    <s v="ORD-00763"/>
    <d v="2025-11-24T00:00:00"/>
    <s v="Customer 010"/>
    <x v="7"/>
    <s v="Technology"/>
    <x v="0"/>
    <n v="4"/>
    <n v="0.2"/>
    <n v="224"/>
    <n v="58.54"/>
    <x v="0"/>
  </r>
  <r>
    <s v="ORD-00764"/>
    <d v="2025-03-24T00:00:00"/>
    <s v="Customer 038"/>
    <x v="7"/>
    <s v="Technology"/>
    <x v="2"/>
    <n v="2"/>
    <n v="0.1"/>
    <n v="126"/>
    <n v="43.52"/>
    <x v="0"/>
  </r>
  <r>
    <s v="ORD-00765"/>
    <d v="2025-11-06T00:00:00"/>
    <s v="Customer 100"/>
    <x v="5"/>
    <s v="Technology"/>
    <x v="2"/>
    <n v="4"/>
    <n v="0.1"/>
    <n v="1152"/>
    <n v="180.94"/>
    <x v="0"/>
  </r>
  <r>
    <s v="ORD-00766"/>
    <d v="2025-10-28T00:00:00"/>
    <s v="Customer 003"/>
    <x v="8"/>
    <s v="Office Supplies"/>
    <x v="1"/>
    <n v="4"/>
    <n v="0.15"/>
    <n v="816"/>
    <n v="322.14"/>
    <x v="2"/>
  </r>
  <r>
    <s v="ORD-00767"/>
    <d v="2025-05-01T00:00:00"/>
    <s v="Customer 051"/>
    <x v="5"/>
    <s v="Technology"/>
    <x v="0"/>
    <n v="3"/>
    <n v="0"/>
    <n v="960"/>
    <n v="365.29"/>
    <x v="0"/>
  </r>
  <r>
    <s v="ORD-00768"/>
    <d v="2025-02-18T00:00:00"/>
    <s v="Customer 099"/>
    <x v="0"/>
    <s v="Technology"/>
    <x v="3"/>
    <n v="4"/>
    <n v="0.2"/>
    <n v="112"/>
    <n v="48.41"/>
    <x v="0"/>
  </r>
  <r>
    <s v="ORD-00769"/>
    <d v="2025-09-26T00:00:00"/>
    <s v="Customer 011"/>
    <x v="0"/>
    <s v="Technology"/>
    <x v="3"/>
    <n v="1"/>
    <n v="0.1"/>
    <n v="31.5"/>
    <n v="7.75"/>
    <x v="0"/>
  </r>
  <r>
    <s v="ORD-00770"/>
    <d v="2025-06-08T00:00:00"/>
    <s v="Customer 017"/>
    <x v="2"/>
    <s v="Furniture"/>
    <x v="1"/>
    <n v="2"/>
    <n v="0.1"/>
    <n v="99"/>
    <n v="30.07"/>
    <x v="1"/>
  </r>
  <r>
    <s v="ORD-00771"/>
    <d v="2025-09-27T00:00:00"/>
    <s v="Customer 042"/>
    <x v="3"/>
    <s v="Furniture"/>
    <x v="3"/>
    <n v="1"/>
    <n v="0"/>
    <n v="280"/>
    <n v="64.69"/>
    <x v="1"/>
  </r>
  <r>
    <s v="ORD-00772"/>
    <d v="2025-08-28T00:00:00"/>
    <s v="Customer 090"/>
    <x v="8"/>
    <s v="Office Supplies"/>
    <x v="1"/>
    <n v="3"/>
    <n v="0.2"/>
    <n v="576"/>
    <n v="174.64"/>
    <x v="2"/>
  </r>
  <r>
    <s v="ORD-00773"/>
    <d v="2025-10-30T00:00:00"/>
    <s v="Customer 082"/>
    <x v="10"/>
    <s v="Office Supplies"/>
    <x v="2"/>
    <n v="4"/>
    <n v="0.2"/>
    <n v="80"/>
    <n v="24.52"/>
    <x v="2"/>
  </r>
  <r>
    <s v="ORD-00774"/>
    <d v="2025-06-27T00:00:00"/>
    <s v="Customer 057"/>
    <x v="6"/>
    <s v="Office Supplies"/>
    <x v="2"/>
    <n v="5"/>
    <n v="0.05"/>
    <n v="85.5"/>
    <n v="15.77"/>
    <x v="2"/>
  </r>
  <r>
    <s v="ORD-00775"/>
    <d v="2025-07-07T00:00:00"/>
    <s v="Customer 001"/>
    <x v="11"/>
    <s v="Furniture"/>
    <x v="1"/>
    <n v="3"/>
    <n v="0.05"/>
    <n v="541.5"/>
    <n v="189.43"/>
    <x v="1"/>
  </r>
  <r>
    <s v="ORD-00776"/>
    <d v="2025-06-26T00:00:00"/>
    <s v="Customer 063"/>
    <x v="4"/>
    <s v="Technology"/>
    <x v="3"/>
    <n v="4"/>
    <n v="0.2"/>
    <n v="2720"/>
    <n v="1216.53"/>
    <x v="0"/>
  </r>
  <r>
    <s v="ORD-00777"/>
    <d v="2025-06-03T00:00:00"/>
    <s v="Customer 001"/>
    <x v="9"/>
    <s v="Technology"/>
    <x v="2"/>
    <n v="4"/>
    <n v="0.1"/>
    <n v="4320"/>
    <n v="1092.9100000000001"/>
    <x v="0"/>
  </r>
  <r>
    <s v="ORD-00778"/>
    <d v="2025-04-07T00:00:00"/>
    <s v="Customer 021"/>
    <x v="11"/>
    <s v="Furniture"/>
    <x v="3"/>
    <n v="5"/>
    <n v="0.15"/>
    <n v="807.5"/>
    <n v="258.18"/>
    <x v="1"/>
  </r>
  <r>
    <s v="ORD-00779"/>
    <d v="2025-07-13T00:00:00"/>
    <s v="Customer 031"/>
    <x v="2"/>
    <s v="Furniture"/>
    <x v="2"/>
    <n v="3"/>
    <n v="0"/>
    <n v="165"/>
    <n v="51.26"/>
    <x v="1"/>
  </r>
  <r>
    <s v="ORD-00780"/>
    <d v="2025-05-26T00:00:00"/>
    <s v="Customer 009"/>
    <x v="5"/>
    <s v="Technology"/>
    <x v="1"/>
    <n v="5"/>
    <n v="0.1"/>
    <n v="1440"/>
    <n v="451.79"/>
    <x v="0"/>
  </r>
  <r>
    <s v="ORD-00781"/>
    <d v="2025-03-11T00:00:00"/>
    <s v="Customer 035"/>
    <x v="4"/>
    <s v="Technology"/>
    <x v="3"/>
    <n v="1"/>
    <n v="0.15"/>
    <n v="722.5"/>
    <n v="177.84"/>
    <x v="0"/>
  </r>
  <r>
    <s v="ORD-00782"/>
    <d v="2025-04-07T00:00:00"/>
    <s v="Customer 069"/>
    <x v="7"/>
    <s v="Technology"/>
    <x v="0"/>
    <n v="1"/>
    <n v="0.05"/>
    <n v="66.5"/>
    <n v="28.84"/>
    <x v="0"/>
  </r>
  <r>
    <s v="ORD-00783"/>
    <d v="2025-04-06T00:00:00"/>
    <s v="Customer 057"/>
    <x v="0"/>
    <s v="Technology"/>
    <x v="0"/>
    <n v="3"/>
    <n v="0.1"/>
    <n v="94.5"/>
    <n v="38.630000000000003"/>
    <x v="0"/>
  </r>
  <r>
    <s v="ORD-00784"/>
    <d v="2025-04-30T00:00:00"/>
    <s v="Customer 044"/>
    <x v="0"/>
    <s v="Technology"/>
    <x v="3"/>
    <n v="2"/>
    <n v="0"/>
    <n v="70"/>
    <n v="20.100000000000001"/>
    <x v="0"/>
  </r>
  <r>
    <s v="ORD-00785"/>
    <d v="2025-06-09T00:00:00"/>
    <s v="Customer 005"/>
    <x v="6"/>
    <s v="Office Supplies"/>
    <x v="2"/>
    <n v="3"/>
    <n v="0.15"/>
    <n v="45.9"/>
    <n v="10.1"/>
    <x v="2"/>
  </r>
  <r>
    <s v="ORD-00786"/>
    <d v="2025-02-11T00:00:00"/>
    <s v="Customer 010"/>
    <x v="3"/>
    <s v="Furniture"/>
    <x v="3"/>
    <n v="1"/>
    <n v="0.1"/>
    <n v="252"/>
    <n v="48.9"/>
    <x v="1"/>
  </r>
  <r>
    <s v="ORD-00787"/>
    <d v="2025-04-03T00:00:00"/>
    <s v="Customer 016"/>
    <x v="2"/>
    <s v="Furniture"/>
    <x v="1"/>
    <n v="3"/>
    <n v="0.15"/>
    <n v="140.25"/>
    <n v="24.78"/>
    <x v="1"/>
  </r>
  <r>
    <s v="ORD-00788"/>
    <d v="2025-07-17T00:00:00"/>
    <s v="Customer 095"/>
    <x v="6"/>
    <s v="Office Supplies"/>
    <x v="0"/>
    <n v="2"/>
    <n v="0"/>
    <n v="36"/>
    <n v="13.83"/>
    <x v="2"/>
  </r>
  <r>
    <s v="ORD-00789"/>
    <d v="2025-09-24T00:00:00"/>
    <s v="Customer 040"/>
    <x v="5"/>
    <s v="Technology"/>
    <x v="2"/>
    <n v="2"/>
    <n v="0.15"/>
    <n v="544"/>
    <n v="174.94"/>
    <x v="0"/>
  </r>
  <r>
    <s v="ORD-00790"/>
    <d v="2025-03-23T00:00:00"/>
    <s v="Customer 033"/>
    <x v="5"/>
    <s v="Technology"/>
    <x v="3"/>
    <n v="1"/>
    <n v="0.2"/>
    <n v="256"/>
    <n v="71.19"/>
    <x v="0"/>
  </r>
  <r>
    <s v="ORD-00791"/>
    <d v="2025-11-23T00:00:00"/>
    <s v="Customer 086"/>
    <x v="4"/>
    <s v="Technology"/>
    <x v="1"/>
    <n v="2"/>
    <n v="0.1"/>
    <n v="1530"/>
    <n v="240.39"/>
    <x v="0"/>
  </r>
  <r>
    <s v="ORD-00792"/>
    <d v="2025-02-27T00:00:00"/>
    <s v="Customer 036"/>
    <x v="2"/>
    <s v="Furniture"/>
    <x v="0"/>
    <n v="4"/>
    <n v="0.1"/>
    <n v="198"/>
    <n v="88.12"/>
    <x v="1"/>
  </r>
  <r>
    <s v="ORD-00793"/>
    <d v="2025-07-22T00:00:00"/>
    <s v="Customer 089"/>
    <x v="2"/>
    <s v="Furniture"/>
    <x v="3"/>
    <n v="1"/>
    <n v="0"/>
    <n v="55"/>
    <n v="14.2"/>
    <x v="1"/>
  </r>
  <r>
    <s v="ORD-00794"/>
    <d v="2025-12-19T00:00:00"/>
    <s v="Customer 032"/>
    <x v="10"/>
    <s v="Office Supplies"/>
    <x v="1"/>
    <n v="2"/>
    <n v="0.1"/>
    <n v="45"/>
    <n v="8.8000000000000007"/>
    <x v="2"/>
  </r>
  <r>
    <s v="ORD-00795"/>
    <d v="2025-09-13T00:00:00"/>
    <s v="Customer 098"/>
    <x v="0"/>
    <s v="Technology"/>
    <x v="0"/>
    <n v="5"/>
    <n v="0.1"/>
    <n v="157.5"/>
    <n v="22.49"/>
    <x v="0"/>
  </r>
  <r>
    <s v="ORD-00796"/>
    <d v="2025-01-31T00:00:00"/>
    <s v="Customer 017"/>
    <x v="7"/>
    <s v="Technology"/>
    <x v="3"/>
    <n v="2"/>
    <n v="0.2"/>
    <n v="112"/>
    <n v="21.15"/>
    <x v="0"/>
  </r>
  <r>
    <s v="ORD-00797"/>
    <d v="2025-04-30T00:00:00"/>
    <s v="Customer 057"/>
    <x v="7"/>
    <s v="Technology"/>
    <x v="1"/>
    <n v="5"/>
    <n v="0.1"/>
    <n v="315"/>
    <n v="58.02"/>
    <x v="0"/>
  </r>
  <r>
    <s v="ORD-00798"/>
    <d v="2025-01-11T00:00:00"/>
    <s v="Customer 033"/>
    <x v="1"/>
    <s v="Furniture"/>
    <x v="0"/>
    <n v="4"/>
    <n v="0.1"/>
    <n v="756"/>
    <n v="159.47999999999999"/>
    <x v="1"/>
  </r>
  <r>
    <s v="ORD-00799"/>
    <d v="2025-09-06T00:00:00"/>
    <s v="Customer 090"/>
    <x v="1"/>
    <s v="Furniture"/>
    <x v="3"/>
    <n v="4"/>
    <n v="0.2"/>
    <n v="672"/>
    <n v="237.04"/>
    <x v="1"/>
  </r>
  <r>
    <s v="ORD-00800"/>
    <d v="2025-04-08T00:00:00"/>
    <s v="Customer 094"/>
    <x v="10"/>
    <s v="Office Supplies"/>
    <x v="3"/>
    <n v="2"/>
    <n v="0.2"/>
    <n v="40"/>
    <n v="13.41"/>
    <x v="2"/>
  </r>
  <r>
    <s v="ORD-00801"/>
    <d v="2025-05-21T00:00:00"/>
    <s v="Customer 020"/>
    <x v="10"/>
    <s v="Office Supplies"/>
    <x v="3"/>
    <n v="5"/>
    <n v="0.05"/>
    <n v="118.75"/>
    <n v="50.74"/>
    <x v="2"/>
  </r>
  <r>
    <s v="ORD-00802"/>
    <d v="2025-06-01T00:00:00"/>
    <s v="Customer 100"/>
    <x v="4"/>
    <s v="Technology"/>
    <x v="3"/>
    <n v="5"/>
    <n v="0.1"/>
    <n v="3825"/>
    <n v="1148.0899999999999"/>
    <x v="0"/>
  </r>
  <r>
    <s v="ORD-00803"/>
    <d v="2025-04-05T00:00:00"/>
    <s v="Customer 031"/>
    <x v="9"/>
    <s v="Technology"/>
    <x v="2"/>
    <n v="5"/>
    <n v="0.1"/>
    <n v="5400"/>
    <n v="1047.1400000000001"/>
    <x v="0"/>
  </r>
  <r>
    <s v="ORD-00804"/>
    <d v="2025-02-02T00:00:00"/>
    <s v="Customer 088"/>
    <x v="5"/>
    <s v="Technology"/>
    <x v="3"/>
    <n v="5"/>
    <n v="0.15"/>
    <n v="1360"/>
    <n v="526.79"/>
    <x v="0"/>
  </r>
  <r>
    <s v="ORD-00805"/>
    <d v="2025-10-10T00:00:00"/>
    <s v="Customer 083"/>
    <x v="3"/>
    <s v="Furniture"/>
    <x v="2"/>
    <n v="5"/>
    <n v="0.1"/>
    <n v="1260"/>
    <n v="432.86"/>
    <x v="1"/>
  </r>
  <r>
    <s v="ORD-00806"/>
    <d v="2025-02-26T00:00:00"/>
    <s v="Customer 017"/>
    <x v="0"/>
    <s v="Technology"/>
    <x v="1"/>
    <n v="5"/>
    <n v="0"/>
    <n v="175"/>
    <n v="76.22"/>
    <x v="0"/>
  </r>
  <r>
    <s v="ORD-00807"/>
    <d v="2025-01-17T00:00:00"/>
    <s v="Customer 005"/>
    <x v="2"/>
    <s v="Furniture"/>
    <x v="3"/>
    <n v="1"/>
    <n v="0.15"/>
    <n v="46.75"/>
    <n v="18.079999999999998"/>
    <x v="1"/>
  </r>
  <r>
    <s v="ORD-00808"/>
    <d v="2025-12-03T00:00:00"/>
    <s v="Customer 033"/>
    <x v="6"/>
    <s v="Office Supplies"/>
    <x v="0"/>
    <n v="5"/>
    <n v="0.2"/>
    <n v="72"/>
    <n v="15.74"/>
    <x v="2"/>
  </r>
  <r>
    <s v="ORD-00809"/>
    <d v="2025-07-07T00:00:00"/>
    <s v="Customer 027"/>
    <x v="2"/>
    <s v="Furniture"/>
    <x v="3"/>
    <n v="5"/>
    <n v="0"/>
    <n v="275"/>
    <n v="122.56"/>
    <x v="1"/>
  </r>
  <r>
    <s v="ORD-00810"/>
    <d v="2025-02-10T00:00:00"/>
    <s v="Customer 054"/>
    <x v="6"/>
    <s v="Office Supplies"/>
    <x v="2"/>
    <n v="1"/>
    <n v="0.1"/>
    <n v="16.2"/>
    <n v="4.3099999999999996"/>
    <x v="2"/>
  </r>
  <r>
    <s v="ORD-00811"/>
    <d v="2025-12-29T00:00:00"/>
    <s v="Customer 094"/>
    <x v="9"/>
    <s v="Technology"/>
    <x v="0"/>
    <n v="5"/>
    <n v="0.1"/>
    <n v="5400"/>
    <n v="1487.28"/>
    <x v="0"/>
  </r>
  <r>
    <s v="ORD-00812"/>
    <d v="2025-06-05T00:00:00"/>
    <s v="Customer 093"/>
    <x v="0"/>
    <s v="Technology"/>
    <x v="1"/>
    <n v="2"/>
    <n v="0.2"/>
    <n v="56"/>
    <n v="23.41"/>
    <x v="0"/>
  </r>
  <r>
    <s v="ORD-00813"/>
    <d v="2025-09-30T00:00:00"/>
    <s v="Customer 032"/>
    <x v="11"/>
    <s v="Furniture"/>
    <x v="1"/>
    <n v="2"/>
    <n v="0.05"/>
    <n v="361"/>
    <n v="99.76"/>
    <x v="1"/>
  </r>
  <r>
    <s v="ORD-00814"/>
    <d v="2025-10-13T00:00:00"/>
    <s v="Customer 099"/>
    <x v="1"/>
    <s v="Furniture"/>
    <x v="2"/>
    <n v="5"/>
    <n v="0.15"/>
    <n v="892.5"/>
    <n v="181.88"/>
    <x v="1"/>
  </r>
  <r>
    <s v="ORD-00815"/>
    <d v="2025-12-12T00:00:00"/>
    <s v="Customer 024"/>
    <x v="6"/>
    <s v="Office Supplies"/>
    <x v="3"/>
    <n v="4"/>
    <n v="0"/>
    <n v="72"/>
    <n v="28.44"/>
    <x v="2"/>
  </r>
  <r>
    <s v="ORD-00816"/>
    <d v="2025-09-16T00:00:00"/>
    <s v="Customer 057"/>
    <x v="7"/>
    <s v="Technology"/>
    <x v="2"/>
    <n v="2"/>
    <n v="0.2"/>
    <n v="112"/>
    <n v="13.5"/>
    <x v="0"/>
  </r>
  <r>
    <s v="ORD-00817"/>
    <d v="2025-06-11T00:00:00"/>
    <s v="Customer 082"/>
    <x v="8"/>
    <s v="Office Supplies"/>
    <x v="3"/>
    <n v="3"/>
    <n v="0.1"/>
    <n v="648"/>
    <n v="203.42"/>
    <x v="2"/>
  </r>
  <r>
    <s v="ORD-00818"/>
    <d v="2025-06-15T00:00:00"/>
    <s v="Customer 049"/>
    <x v="10"/>
    <s v="Office Supplies"/>
    <x v="2"/>
    <n v="2"/>
    <n v="0.2"/>
    <n v="40"/>
    <n v="10.8"/>
    <x v="2"/>
  </r>
  <r>
    <s v="ORD-00819"/>
    <d v="2025-07-04T00:00:00"/>
    <s v="Customer 005"/>
    <x v="6"/>
    <s v="Office Supplies"/>
    <x v="2"/>
    <n v="4"/>
    <n v="0.15"/>
    <n v="61.2"/>
    <n v="27.54"/>
    <x v="2"/>
  </r>
  <r>
    <s v="ORD-00820"/>
    <d v="2025-11-02T00:00:00"/>
    <s v="Customer 039"/>
    <x v="9"/>
    <s v="Technology"/>
    <x v="0"/>
    <n v="5"/>
    <n v="0.05"/>
    <n v="5700"/>
    <n v="696.39"/>
    <x v="0"/>
  </r>
  <r>
    <s v="ORD-00821"/>
    <d v="2025-06-03T00:00:00"/>
    <s v="Customer 089"/>
    <x v="2"/>
    <s v="Furniture"/>
    <x v="2"/>
    <n v="2"/>
    <n v="0.1"/>
    <n v="99"/>
    <n v="43.84"/>
    <x v="1"/>
  </r>
  <r>
    <s v="ORD-00822"/>
    <d v="2025-10-11T00:00:00"/>
    <s v="Customer 020"/>
    <x v="8"/>
    <s v="Office Supplies"/>
    <x v="0"/>
    <n v="5"/>
    <n v="0.2"/>
    <n v="960"/>
    <n v="138.66999999999999"/>
    <x v="2"/>
  </r>
  <r>
    <s v="ORD-00823"/>
    <d v="2025-01-20T00:00:00"/>
    <s v="Customer 047"/>
    <x v="6"/>
    <s v="Office Supplies"/>
    <x v="1"/>
    <n v="3"/>
    <n v="0.05"/>
    <n v="51.3"/>
    <n v="20.74"/>
    <x v="2"/>
  </r>
  <r>
    <s v="ORD-00824"/>
    <d v="2025-04-30T00:00:00"/>
    <s v="Customer 073"/>
    <x v="4"/>
    <s v="Technology"/>
    <x v="1"/>
    <n v="3"/>
    <n v="0"/>
    <n v="2550"/>
    <n v="667.44"/>
    <x v="0"/>
  </r>
  <r>
    <s v="ORD-00825"/>
    <d v="2025-02-09T00:00:00"/>
    <s v="Customer 089"/>
    <x v="1"/>
    <s v="Furniture"/>
    <x v="0"/>
    <n v="3"/>
    <n v="0.15"/>
    <n v="535.5"/>
    <n v="210.42"/>
    <x v="1"/>
  </r>
  <r>
    <s v="ORD-00826"/>
    <d v="2025-11-01T00:00:00"/>
    <s v="Customer 074"/>
    <x v="5"/>
    <s v="Technology"/>
    <x v="3"/>
    <n v="3"/>
    <n v="0"/>
    <n v="960"/>
    <n v="200.49"/>
    <x v="0"/>
  </r>
  <r>
    <s v="ORD-00827"/>
    <d v="2025-02-10T00:00:00"/>
    <s v="Customer 056"/>
    <x v="9"/>
    <s v="Technology"/>
    <x v="3"/>
    <n v="3"/>
    <n v="0.1"/>
    <n v="3240"/>
    <n v="517.33000000000004"/>
    <x v="0"/>
  </r>
  <r>
    <s v="ORD-00828"/>
    <d v="2025-03-03T00:00:00"/>
    <s v="Customer 081"/>
    <x v="2"/>
    <s v="Furniture"/>
    <x v="3"/>
    <n v="5"/>
    <n v="0"/>
    <n v="275"/>
    <n v="66.22"/>
    <x v="1"/>
  </r>
  <r>
    <s v="ORD-00829"/>
    <d v="2025-01-28T00:00:00"/>
    <s v="Customer 073"/>
    <x v="4"/>
    <s v="Technology"/>
    <x v="1"/>
    <n v="5"/>
    <n v="0"/>
    <n v="4250"/>
    <n v="1464.66"/>
    <x v="0"/>
  </r>
  <r>
    <s v="ORD-00830"/>
    <d v="2025-06-17T00:00:00"/>
    <s v="Customer 094"/>
    <x v="8"/>
    <s v="Office Supplies"/>
    <x v="3"/>
    <n v="2"/>
    <n v="0.05"/>
    <n v="456"/>
    <n v="197.6"/>
    <x v="2"/>
  </r>
  <r>
    <s v="ORD-00831"/>
    <d v="2025-08-17T00:00:00"/>
    <s v="Customer 056"/>
    <x v="10"/>
    <s v="Office Supplies"/>
    <x v="2"/>
    <n v="5"/>
    <n v="0.2"/>
    <n v="100"/>
    <n v="42.03"/>
    <x v="2"/>
  </r>
  <r>
    <s v="ORD-00832"/>
    <d v="2025-07-21T00:00:00"/>
    <s v="Customer 074"/>
    <x v="3"/>
    <s v="Furniture"/>
    <x v="0"/>
    <n v="2"/>
    <n v="0.1"/>
    <n v="504"/>
    <n v="213.07"/>
    <x v="1"/>
  </r>
  <r>
    <s v="ORD-00833"/>
    <d v="2025-10-08T00:00:00"/>
    <s v="Customer 056"/>
    <x v="11"/>
    <s v="Furniture"/>
    <x v="1"/>
    <n v="3"/>
    <n v="0"/>
    <n v="570"/>
    <n v="181.54"/>
    <x v="1"/>
  </r>
  <r>
    <s v="ORD-00834"/>
    <d v="2025-03-11T00:00:00"/>
    <s v="Customer 084"/>
    <x v="6"/>
    <s v="Office Supplies"/>
    <x v="1"/>
    <n v="5"/>
    <n v="0.05"/>
    <n v="85.5"/>
    <n v="24.71"/>
    <x v="2"/>
  </r>
  <r>
    <s v="ORD-00835"/>
    <d v="2025-10-15T00:00:00"/>
    <s v="Customer 035"/>
    <x v="10"/>
    <s v="Office Supplies"/>
    <x v="3"/>
    <n v="5"/>
    <n v="0.05"/>
    <n v="118.75"/>
    <n v="43.94"/>
    <x v="2"/>
  </r>
  <r>
    <s v="ORD-00836"/>
    <d v="2025-06-15T00:00:00"/>
    <s v="Customer 053"/>
    <x v="5"/>
    <s v="Technology"/>
    <x v="3"/>
    <n v="5"/>
    <n v="0"/>
    <n v="1600"/>
    <n v="660.58"/>
    <x v="0"/>
  </r>
  <r>
    <s v="ORD-00837"/>
    <d v="2025-07-07T00:00:00"/>
    <s v="Customer 084"/>
    <x v="7"/>
    <s v="Technology"/>
    <x v="0"/>
    <n v="2"/>
    <n v="0.1"/>
    <n v="126"/>
    <n v="42.37"/>
    <x v="0"/>
  </r>
  <r>
    <s v="ORD-00838"/>
    <d v="2025-06-06T00:00:00"/>
    <s v="Customer 057"/>
    <x v="3"/>
    <s v="Furniture"/>
    <x v="1"/>
    <n v="3"/>
    <n v="0.2"/>
    <n v="672"/>
    <n v="120.21"/>
    <x v="1"/>
  </r>
  <r>
    <s v="ORD-00839"/>
    <d v="2025-08-14T00:00:00"/>
    <s v="Customer 020"/>
    <x v="9"/>
    <s v="Technology"/>
    <x v="0"/>
    <n v="2"/>
    <n v="0.05"/>
    <n v="2280"/>
    <n v="510.34"/>
    <x v="0"/>
  </r>
  <r>
    <s v="ORD-00840"/>
    <d v="2025-02-27T00:00:00"/>
    <s v="Customer 019"/>
    <x v="1"/>
    <s v="Furniture"/>
    <x v="2"/>
    <n v="1"/>
    <n v="0.05"/>
    <n v="199.5"/>
    <n v="27.3"/>
    <x v="1"/>
  </r>
  <r>
    <s v="ORD-00841"/>
    <d v="2025-01-08T00:00:00"/>
    <s v="Customer 003"/>
    <x v="7"/>
    <s v="Technology"/>
    <x v="2"/>
    <n v="1"/>
    <n v="0.1"/>
    <n v="63"/>
    <n v="18.989999999999998"/>
    <x v="0"/>
  </r>
  <r>
    <s v="ORD-00842"/>
    <d v="2025-04-18T00:00:00"/>
    <s v="Customer 067"/>
    <x v="1"/>
    <s v="Furniture"/>
    <x v="2"/>
    <n v="5"/>
    <n v="0.05"/>
    <n v="997.5"/>
    <n v="381.79"/>
    <x v="1"/>
  </r>
  <r>
    <s v="ORD-00843"/>
    <d v="2025-10-08T00:00:00"/>
    <s v="Customer 086"/>
    <x v="6"/>
    <s v="Office Supplies"/>
    <x v="0"/>
    <n v="5"/>
    <n v="0.05"/>
    <n v="85.5"/>
    <n v="18.86"/>
    <x v="2"/>
  </r>
  <r>
    <s v="ORD-00844"/>
    <d v="2025-07-12T00:00:00"/>
    <s v="Customer 008"/>
    <x v="10"/>
    <s v="Office Supplies"/>
    <x v="2"/>
    <n v="5"/>
    <n v="0"/>
    <n v="125"/>
    <n v="45.71"/>
    <x v="2"/>
  </r>
  <r>
    <s v="ORD-00845"/>
    <d v="2025-04-13T00:00:00"/>
    <s v="Customer 084"/>
    <x v="1"/>
    <s v="Furniture"/>
    <x v="0"/>
    <n v="5"/>
    <n v="0.1"/>
    <n v="945"/>
    <n v="408.7"/>
    <x v="1"/>
  </r>
  <r>
    <s v="ORD-00846"/>
    <d v="2025-02-04T00:00:00"/>
    <s v="Customer 003"/>
    <x v="11"/>
    <s v="Furniture"/>
    <x v="2"/>
    <n v="3"/>
    <n v="0.1"/>
    <n v="513"/>
    <n v="84.54"/>
    <x v="1"/>
  </r>
  <r>
    <s v="ORD-00847"/>
    <d v="2025-11-29T00:00:00"/>
    <s v="Customer 091"/>
    <x v="11"/>
    <s v="Furniture"/>
    <x v="0"/>
    <n v="2"/>
    <n v="0.15"/>
    <n v="323"/>
    <n v="91.14"/>
    <x v="1"/>
  </r>
  <r>
    <s v="ORD-00848"/>
    <d v="2025-06-11T00:00:00"/>
    <s v="Customer 026"/>
    <x v="6"/>
    <s v="Office Supplies"/>
    <x v="3"/>
    <n v="5"/>
    <n v="0.2"/>
    <n v="72"/>
    <n v="30.31"/>
    <x v="2"/>
  </r>
  <r>
    <s v="ORD-00849"/>
    <d v="2025-10-15T00:00:00"/>
    <s v="Customer 068"/>
    <x v="1"/>
    <s v="Furniture"/>
    <x v="2"/>
    <n v="1"/>
    <n v="0"/>
    <n v="210"/>
    <n v="77.36"/>
    <x v="1"/>
  </r>
  <r>
    <s v="ORD-00850"/>
    <d v="2025-06-20T00:00:00"/>
    <s v="Customer 088"/>
    <x v="6"/>
    <s v="Office Supplies"/>
    <x v="2"/>
    <n v="4"/>
    <n v="0.05"/>
    <n v="68.400000000000006"/>
    <n v="30.37"/>
    <x v="2"/>
  </r>
  <r>
    <s v="ORD-00851"/>
    <d v="2025-07-01T00:00:00"/>
    <s v="Customer 065"/>
    <x v="5"/>
    <s v="Technology"/>
    <x v="2"/>
    <n v="3"/>
    <n v="0.05"/>
    <n v="912"/>
    <n v="110.65"/>
    <x v="0"/>
  </r>
  <r>
    <s v="ORD-00852"/>
    <d v="2025-02-01T00:00:00"/>
    <s v="Customer 004"/>
    <x v="5"/>
    <s v="Technology"/>
    <x v="2"/>
    <n v="3"/>
    <n v="0.15"/>
    <n v="816"/>
    <n v="127.43"/>
    <x v="0"/>
  </r>
  <r>
    <s v="ORD-00853"/>
    <d v="2025-04-26T00:00:00"/>
    <s v="Customer 012"/>
    <x v="3"/>
    <s v="Furniture"/>
    <x v="3"/>
    <n v="3"/>
    <n v="0.15"/>
    <n v="714"/>
    <n v="166.51"/>
    <x v="1"/>
  </r>
  <r>
    <s v="ORD-00854"/>
    <d v="2025-09-24T00:00:00"/>
    <s v="Customer 074"/>
    <x v="5"/>
    <s v="Technology"/>
    <x v="1"/>
    <n v="5"/>
    <n v="0.05"/>
    <n v="1520"/>
    <n v="474.67"/>
    <x v="0"/>
  </r>
  <r>
    <s v="ORD-00855"/>
    <d v="2025-08-07T00:00:00"/>
    <s v="Customer 017"/>
    <x v="4"/>
    <s v="Technology"/>
    <x v="1"/>
    <n v="5"/>
    <n v="0.1"/>
    <n v="3825"/>
    <n v="1154.29"/>
    <x v="0"/>
  </r>
  <r>
    <s v="ORD-00856"/>
    <d v="2025-12-01T00:00:00"/>
    <s v="Customer 026"/>
    <x v="3"/>
    <s v="Furniture"/>
    <x v="1"/>
    <n v="5"/>
    <n v="0.2"/>
    <n v="1120"/>
    <n v="251.18"/>
    <x v="1"/>
  </r>
  <r>
    <s v="ORD-00857"/>
    <d v="2025-06-08T00:00:00"/>
    <s v="Customer 099"/>
    <x v="1"/>
    <s v="Furniture"/>
    <x v="1"/>
    <n v="5"/>
    <n v="0.05"/>
    <n v="997.5"/>
    <n v="307.31"/>
    <x v="1"/>
  </r>
  <r>
    <s v="ORD-00858"/>
    <d v="2025-12-02T00:00:00"/>
    <s v="Customer 069"/>
    <x v="10"/>
    <s v="Office Supplies"/>
    <x v="0"/>
    <n v="2"/>
    <n v="0.1"/>
    <n v="45"/>
    <n v="19.239999999999998"/>
    <x v="2"/>
  </r>
  <r>
    <s v="ORD-00859"/>
    <d v="2025-04-05T00:00:00"/>
    <s v="Customer 053"/>
    <x v="7"/>
    <s v="Technology"/>
    <x v="3"/>
    <n v="2"/>
    <n v="0"/>
    <n v="140"/>
    <n v="27.64"/>
    <x v="0"/>
  </r>
  <r>
    <s v="ORD-00860"/>
    <d v="2025-06-05T00:00:00"/>
    <s v="Customer 014"/>
    <x v="6"/>
    <s v="Office Supplies"/>
    <x v="1"/>
    <n v="3"/>
    <n v="0.05"/>
    <n v="51.3"/>
    <n v="9.9"/>
    <x v="2"/>
  </r>
  <r>
    <s v="ORD-00861"/>
    <d v="2025-04-05T00:00:00"/>
    <s v="Customer 073"/>
    <x v="9"/>
    <s v="Technology"/>
    <x v="1"/>
    <n v="5"/>
    <n v="0.2"/>
    <n v="4800"/>
    <n v="1737.29"/>
    <x v="0"/>
  </r>
  <r>
    <s v="ORD-00862"/>
    <d v="2025-11-02T00:00:00"/>
    <s v="Customer 089"/>
    <x v="2"/>
    <s v="Furniture"/>
    <x v="3"/>
    <n v="2"/>
    <n v="0"/>
    <n v="110"/>
    <n v="36.46"/>
    <x v="1"/>
  </r>
  <r>
    <s v="ORD-00863"/>
    <d v="2025-03-10T00:00:00"/>
    <s v="Customer 048"/>
    <x v="8"/>
    <s v="Office Supplies"/>
    <x v="1"/>
    <n v="5"/>
    <n v="0.15"/>
    <n v="1020"/>
    <n v="219.33"/>
    <x v="2"/>
  </r>
  <r>
    <s v="ORD-00864"/>
    <d v="2025-07-18T00:00:00"/>
    <s v="Customer 029"/>
    <x v="6"/>
    <s v="Office Supplies"/>
    <x v="0"/>
    <n v="4"/>
    <n v="0.05"/>
    <n v="68.400000000000006"/>
    <n v="27.08"/>
    <x v="2"/>
  </r>
  <r>
    <s v="ORD-00865"/>
    <d v="2025-07-29T00:00:00"/>
    <s v="Customer 086"/>
    <x v="9"/>
    <s v="Technology"/>
    <x v="1"/>
    <n v="3"/>
    <n v="0.15"/>
    <n v="3060"/>
    <n v="1152.26"/>
    <x v="0"/>
  </r>
  <r>
    <s v="ORD-00866"/>
    <d v="2025-04-15T00:00:00"/>
    <s v="Customer 063"/>
    <x v="0"/>
    <s v="Technology"/>
    <x v="2"/>
    <n v="2"/>
    <n v="0.15"/>
    <n v="59.5"/>
    <n v="9.75"/>
    <x v="0"/>
  </r>
  <r>
    <s v="ORD-00867"/>
    <d v="2025-08-23T00:00:00"/>
    <s v="Customer 078"/>
    <x v="2"/>
    <s v="Furniture"/>
    <x v="3"/>
    <n v="4"/>
    <n v="0.15"/>
    <n v="187"/>
    <n v="36.25"/>
    <x v="1"/>
  </r>
  <r>
    <s v="ORD-00868"/>
    <d v="2025-06-10T00:00:00"/>
    <s v="Customer 068"/>
    <x v="11"/>
    <s v="Furniture"/>
    <x v="0"/>
    <n v="5"/>
    <n v="0.2"/>
    <n v="760"/>
    <n v="193.07"/>
    <x v="1"/>
  </r>
  <r>
    <s v="ORD-00869"/>
    <d v="2025-09-24T00:00:00"/>
    <s v="Customer 006"/>
    <x v="0"/>
    <s v="Technology"/>
    <x v="1"/>
    <n v="4"/>
    <n v="0.15"/>
    <n v="119"/>
    <n v="21.07"/>
    <x v="0"/>
  </r>
  <r>
    <s v="ORD-00870"/>
    <d v="2025-09-23T00:00:00"/>
    <s v="Customer 067"/>
    <x v="8"/>
    <s v="Office Supplies"/>
    <x v="0"/>
    <n v="4"/>
    <n v="0"/>
    <n v="960"/>
    <n v="255.32"/>
    <x v="2"/>
  </r>
  <r>
    <s v="ORD-00871"/>
    <d v="2025-04-08T00:00:00"/>
    <s v="Customer 100"/>
    <x v="4"/>
    <s v="Technology"/>
    <x v="2"/>
    <n v="4"/>
    <n v="0.15"/>
    <n v="2890"/>
    <n v="457.05"/>
    <x v="0"/>
  </r>
  <r>
    <s v="ORD-00872"/>
    <d v="2025-08-25T00:00:00"/>
    <s v="Customer 007"/>
    <x v="3"/>
    <s v="Furniture"/>
    <x v="1"/>
    <n v="4"/>
    <n v="0.1"/>
    <n v="1008"/>
    <n v="249.65"/>
    <x v="1"/>
  </r>
  <r>
    <s v="ORD-00873"/>
    <d v="2025-08-26T00:00:00"/>
    <s v="Customer 015"/>
    <x v="5"/>
    <s v="Technology"/>
    <x v="1"/>
    <n v="4"/>
    <n v="0"/>
    <n v="1280"/>
    <n v="270.75"/>
    <x v="0"/>
  </r>
  <r>
    <s v="ORD-00874"/>
    <d v="2025-10-27T00:00:00"/>
    <s v="Customer 042"/>
    <x v="1"/>
    <s v="Furniture"/>
    <x v="3"/>
    <n v="5"/>
    <n v="0.05"/>
    <n v="997.5"/>
    <n v="319.49"/>
    <x v="1"/>
  </r>
  <r>
    <s v="ORD-00875"/>
    <d v="2025-01-13T00:00:00"/>
    <s v="Customer 026"/>
    <x v="3"/>
    <s v="Furniture"/>
    <x v="3"/>
    <n v="4"/>
    <n v="0.2"/>
    <n v="896"/>
    <n v="138.09"/>
    <x v="1"/>
  </r>
  <r>
    <s v="ORD-00876"/>
    <d v="2025-02-16T00:00:00"/>
    <s v="Customer 016"/>
    <x v="4"/>
    <s v="Technology"/>
    <x v="0"/>
    <n v="3"/>
    <n v="0.05"/>
    <n v="2422.5"/>
    <n v="515.84"/>
    <x v="0"/>
  </r>
  <r>
    <s v="ORD-00877"/>
    <d v="2025-02-28T00:00:00"/>
    <s v="Customer 091"/>
    <x v="1"/>
    <s v="Furniture"/>
    <x v="3"/>
    <n v="4"/>
    <n v="0.1"/>
    <n v="756"/>
    <n v="318.92"/>
    <x v="1"/>
  </r>
  <r>
    <s v="ORD-00878"/>
    <d v="2025-09-19T00:00:00"/>
    <s v="Customer 006"/>
    <x v="10"/>
    <s v="Office Supplies"/>
    <x v="1"/>
    <n v="2"/>
    <n v="0.15"/>
    <n v="42.5"/>
    <n v="11.41"/>
    <x v="2"/>
  </r>
  <r>
    <s v="ORD-00879"/>
    <d v="2025-06-21T00:00:00"/>
    <s v="Customer 023"/>
    <x v="10"/>
    <s v="Office Supplies"/>
    <x v="0"/>
    <n v="2"/>
    <n v="0.05"/>
    <n v="47.5"/>
    <n v="7.76"/>
    <x v="2"/>
  </r>
  <r>
    <s v="ORD-00880"/>
    <d v="2025-08-03T00:00:00"/>
    <s v="Customer 024"/>
    <x v="4"/>
    <s v="Technology"/>
    <x v="0"/>
    <n v="3"/>
    <n v="0.15"/>
    <n v="2167.5"/>
    <n v="768.82"/>
    <x v="0"/>
  </r>
  <r>
    <s v="ORD-00881"/>
    <d v="2025-03-09T00:00:00"/>
    <s v="Customer 002"/>
    <x v="2"/>
    <s v="Furniture"/>
    <x v="3"/>
    <n v="1"/>
    <n v="0.2"/>
    <n v="44"/>
    <n v="8.69"/>
    <x v="1"/>
  </r>
  <r>
    <s v="ORD-00882"/>
    <d v="2025-09-12T00:00:00"/>
    <s v="Customer 064"/>
    <x v="6"/>
    <s v="Office Supplies"/>
    <x v="1"/>
    <n v="5"/>
    <n v="0"/>
    <n v="90"/>
    <n v="22.44"/>
    <x v="2"/>
  </r>
  <r>
    <s v="ORD-00883"/>
    <d v="2025-04-22T00:00:00"/>
    <s v="Customer 011"/>
    <x v="10"/>
    <s v="Office Supplies"/>
    <x v="0"/>
    <n v="4"/>
    <n v="0.15"/>
    <n v="85"/>
    <n v="26.75"/>
    <x v="2"/>
  </r>
  <r>
    <s v="ORD-00884"/>
    <d v="2025-05-06T00:00:00"/>
    <s v="Customer 027"/>
    <x v="8"/>
    <s v="Office Supplies"/>
    <x v="0"/>
    <n v="3"/>
    <n v="0.2"/>
    <n v="576"/>
    <n v="139.71"/>
    <x v="2"/>
  </r>
  <r>
    <s v="ORD-00885"/>
    <d v="2025-04-05T00:00:00"/>
    <s v="Customer 005"/>
    <x v="3"/>
    <s v="Furniture"/>
    <x v="2"/>
    <n v="1"/>
    <n v="0.1"/>
    <n v="252"/>
    <n v="110.35"/>
    <x v="1"/>
  </r>
  <r>
    <s v="ORD-00886"/>
    <d v="2025-06-19T00:00:00"/>
    <s v="Customer 023"/>
    <x v="0"/>
    <s v="Technology"/>
    <x v="1"/>
    <n v="1"/>
    <n v="0"/>
    <n v="35"/>
    <n v="10.93"/>
    <x v="0"/>
  </r>
  <r>
    <s v="ORD-00887"/>
    <d v="2025-12-11T00:00:00"/>
    <s v="Customer 072"/>
    <x v="4"/>
    <s v="Technology"/>
    <x v="1"/>
    <n v="5"/>
    <n v="0.2"/>
    <n v="3400"/>
    <n v="887.9"/>
    <x v="0"/>
  </r>
  <r>
    <s v="ORD-00888"/>
    <d v="2025-08-22T00:00:00"/>
    <s v="Customer 012"/>
    <x v="1"/>
    <s v="Furniture"/>
    <x v="2"/>
    <n v="5"/>
    <n v="0.1"/>
    <n v="945"/>
    <n v="134.77000000000001"/>
    <x v="1"/>
  </r>
  <r>
    <s v="ORD-00889"/>
    <d v="2025-06-15T00:00:00"/>
    <s v="Customer 071"/>
    <x v="7"/>
    <s v="Technology"/>
    <x v="0"/>
    <n v="4"/>
    <n v="0"/>
    <n v="280"/>
    <n v="55.92"/>
    <x v="0"/>
  </r>
  <r>
    <s v="ORD-00890"/>
    <d v="2025-05-30T00:00:00"/>
    <s v="Customer 036"/>
    <x v="6"/>
    <s v="Office Supplies"/>
    <x v="2"/>
    <n v="2"/>
    <n v="0"/>
    <n v="36"/>
    <n v="7.95"/>
    <x v="2"/>
  </r>
  <r>
    <s v="ORD-00891"/>
    <d v="2025-09-27T00:00:00"/>
    <s v="Customer 079"/>
    <x v="11"/>
    <s v="Furniture"/>
    <x v="0"/>
    <n v="5"/>
    <n v="0.05"/>
    <n v="902.5"/>
    <n v="198.89"/>
    <x v="1"/>
  </r>
  <r>
    <s v="ORD-00892"/>
    <d v="2025-02-25T00:00:00"/>
    <s v="Customer 089"/>
    <x v="10"/>
    <s v="Office Supplies"/>
    <x v="2"/>
    <n v="5"/>
    <n v="0"/>
    <n v="125"/>
    <n v="36.299999999999997"/>
    <x v="2"/>
  </r>
  <r>
    <s v="ORD-00893"/>
    <d v="2025-08-07T00:00:00"/>
    <s v="Customer 080"/>
    <x v="10"/>
    <s v="Office Supplies"/>
    <x v="2"/>
    <n v="3"/>
    <n v="0.1"/>
    <n v="67.5"/>
    <n v="18.670000000000002"/>
    <x v="2"/>
  </r>
  <r>
    <s v="ORD-00894"/>
    <d v="2025-03-08T00:00:00"/>
    <s v="Customer 081"/>
    <x v="10"/>
    <s v="Office Supplies"/>
    <x v="3"/>
    <n v="5"/>
    <n v="0.15"/>
    <n v="106.25"/>
    <n v="29.59"/>
    <x v="2"/>
  </r>
  <r>
    <s v="ORD-00895"/>
    <d v="2025-09-10T00:00:00"/>
    <s v="Customer 025"/>
    <x v="3"/>
    <s v="Furniture"/>
    <x v="0"/>
    <n v="5"/>
    <n v="0.05"/>
    <n v="1330"/>
    <n v="287.5"/>
    <x v="1"/>
  </r>
  <r>
    <s v="ORD-00896"/>
    <d v="2025-03-02T00:00:00"/>
    <s v="Customer 027"/>
    <x v="9"/>
    <s v="Technology"/>
    <x v="3"/>
    <n v="4"/>
    <n v="0"/>
    <n v="4800"/>
    <n v="991.85"/>
    <x v="0"/>
  </r>
  <r>
    <s v="ORD-00897"/>
    <d v="2025-07-31T00:00:00"/>
    <s v="Customer 082"/>
    <x v="9"/>
    <s v="Technology"/>
    <x v="1"/>
    <n v="3"/>
    <n v="0.1"/>
    <n v="3240"/>
    <n v="858.8"/>
    <x v="0"/>
  </r>
  <r>
    <s v="ORD-00898"/>
    <d v="2025-01-06T00:00:00"/>
    <s v="Customer 009"/>
    <x v="5"/>
    <s v="Technology"/>
    <x v="2"/>
    <n v="2"/>
    <n v="0.1"/>
    <n v="576"/>
    <n v="210.84"/>
    <x v="0"/>
  </r>
  <r>
    <s v="ORD-00899"/>
    <d v="2025-06-03T00:00:00"/>
    <s v="Customer 015"/>
    <x v="8"/>
    <s v="Office Supplies"/>
    <x v="2"/>
    <n v="5"/>
    <n v="0.1"/>
    <n v="1080"/>
    <n v="212.63"/>
    <x v="2"/>
  </r>
  <r>
    <s v="ORD-00900"/>
    <d v="2025-06-24T00:00:00"/>
    <s v="Customer 023"/>
    <x v="11"/>
    <s v="Furniture"/>
    <x v="1"/>
    <n v="5"/>
    <n v="0.2"/>
    <n v="760"/>
    <n v="101.2"/>
    <x v="1"/>
  </r>
  <r>
    <s v="ORD-00901"/>
    <d v="2025-06-19T00:00:00"/>
    <s v="Customer 083"/>
    <x v="7"/>
    <s v="Technology"/>
    <x v="1"/>
    <n v="4"/>
    <n v="0.15"/>
    <n v="238"/>
    <n v="44.48"/>
    <x v="0"/>
  </r>
  <r>
    <s v="ORD-00902"/>
    <d v="2025-09-04T00:00:00"/>
    <s v="Customer 060"/>
    <x v="3"/>
    <s v="Furniture"/>
    <x v="3"/>
    <n v="4"/>
    <n v="0.2"/>
    <n v="896"/>
    <n v="138.29"/>
    <x v="1"/>
  </r>
  <r>
    <s v="ORD-00903"/>
    <d v="2025-01-29T00:00:00"/>
    <s v="Customer 041"/>
    <x v="8"/>
    <s v="Office Supplies"/>
    <x v="0"/>
    <n v="3"/>
    <n v="0.2"/>
    <n v="576"/>
    <n v="121.4"/>
    <x v="2"/>
  </r>
  <r>
    <s v="ORD-00904"/>
    <d v="2025-04-17T00:00:00"/>
    <s v="Customer 020"/>
    <x v="10"/>
    <s v="Office Supplies"/>
    <x v="2"/>
    <n v="3"/>
    <n v="0.1"/>
    <n v="67.5"/>
    <n v="28.9"/>
    <x v="2"/>
  </r>
  <r>
    <s v="ORD-00905"/>
    <d v="2025-01-16T00:00:00"/>
    <s v="Customer 074"/>
    <x v="7"/>
    <s v="Technology"/>
    <x v="3"/>
    <n v="4"/>
    <n v="0.2"/>
    <n v="224"/>
    <n v="38.53"/>
    <x v="0"/>
  </r>
  <r>
    <s v="ORD-00906"/>
    <d v="2025-04-06T00:00:00"/>
    <s v="Customer 041"/>
    <x v="10"/>
    <s v="Office Supplies"/>
    <x v="0"/>
    <n v="1"/>
    <n v="0.1"/>
    <n v="22.5"/>
    <n v="4.8899999999999997"/>
    <x v="2"/>
  </r>
  <r>
    <s v="ORD-00907"/>
    <d v="2025-05-20T00:00:00"/>
    <s v="Customer 048"/>
    <x v="11"/>
    <s v="Furniture"/>
    <x v="3"/>
    <n v="1"/>
    <n v="0.15"/>
    <n v="161.5"/>
    <n v="25.93"/>
    <x v="1"/>
  </r>
  <r>
    <s v="ORD-00908"/>
    <d v="2025-06-04T00:00:00"/>
    <s v="Customer 048"/>
    <x v="2"/>
    <s v="Furniture"/>
    <x v="0"/>
    <n v="5"/>
    <n v="0.1"/>
    <n v="247.5"/>
    <n v="97.08"/>
    <x v="1"/>
  </r>
  <r>
    <s v="ORD-00909"/>
    <d v="2025-04-14T00:00:00"/>
    <s v="Customer 062"/>
    <x v="0"/>
    <s v="Technology"/>
    <x v="1"/>
    <n v="4"/>
    <n v="0.2"/>
    <n v="112"/>
    <n v="49.48"/>
    <x v="0"/>
  </r>
  <r>
    <s v="ORD-00910"/>
    <d v="2025-04-08T00:00:00"/>
    <s v="Customer 042"/>
    <x v="7"/>
    <s v="Technology"/>
    <x v="1"/>
    <n v="4"/>
    <n v="0.2"/>
    <n v="224"/>
    <n v="77.86"/>
    <x v="0"/>
  </r>
  <r>
    <s v="ORD-00911"/>
    <d v="2025-02-20T00:00:00"/>
    <s v="Customer 059"/>
    <x v="8"/>
    <s v="Office Supplies"/>
    <x v="3"/>
    <n v="2"/>
    <n v="0.05"/>
    <n v="456"/>
    <n v="96.17"/>
    <x v="2"/>
  </r>
  <r>
    <s v="ORD-00912"/>
    <d v="2025-09-25T00:00:00"/>
    <s v="Customer 088"/>
    <x v="0"/>
    <s v="Technology"/>
    <x v="0"/>
    <n v="1"/>
    <n v="0.1"/>
    <n v="31.5"/>
    <n v="4.4800000000000004"/>
    <x v="0"/>
  </r>
  <r>
    <s v="ORD-00913"/>
    <d v="2025-06-20T00:00:00"/>
    <s v="Customer 085"/>
    <x v="6"/>
    <s v="Office Supplies"/>
    <x v="2"/>
    <n v="1"/>
    <n v="0"/>
    <n v="18"/>
    <n v="5.01"/>
    <x v="2"/>
  </r>
  <r>
    <s v="ORD-00914"/>
    <d v="2025-01-12T00:00:00"/>
    <s v="Customer 025"/>
    <x v="10"/>
    <s v="Office Supplies"/>
    <x v="2"/>
    <n v="3"/>
    <n v="0.05"/>
    <n v="71.25"/>
    <n v="24.52"/>
    <x v="2"/>
  </r>
  <r>
    <s v="ORD-00915"/>
    <d v="2025-05-22T00:00:00"/>
    <s v="Customer 035"/>
    <x v="8"/>
    <s v="Office Supplies"/>
    <x v="1"/>
    <n v="3"/>
    <n v="0.15"/>
    <n v="612"/>
    <n v="139.86000000000001"/>
    <x v="2"/>
  </r>
  <r>
    <s v="ORD-00916"/>
    <d v="2025-03-22T00:00:00"/>
    <s v="Customer 072"/>
    <x v="4"/>
    <s v="Technology"/>
    <x v="0"/>
    <n v="1"/>
    <n v="0"/>
    <n v="850"/>
    <n v="113.7"/>
    <x v="0"/>
  </r>
  <r>
    <s v="ORD-00917"/>
    <d v="2025-04-16T00:00:00"/>
    <s v="Customer 019"/>
    <x v="8"/>
    <s v="Office Supplies"/>
    <x v="2"/>
    <n v="3"/>
    <n v="0.2"/>
    <n v="576"/>
    <n v="198.66"/>
    <x v="2"/>
  </r>
  <r>
    <s v="ORD-00918"/>
    <d v="2025-10-21T00:00:00"/>
    <s v="Customer 044"/>
    <x v="2"/>
    <s v="Furniture"/>
    <x v="3"/>
    <n v="2"/>
    <n v="0"/>
    <n v="110"/>
    <n v="38.200000000000003"/>
    <x v="1"/>
  </r>
  <r>
    <s v="ORD-00919"/>
    <d v="2025-01-26T00:00:00"/>
    <s v="Customer 007"/>
    <x v="3"/>
    <s v="Furniture"/>
    <x v="0"/>
    <n v="1"/>
    <n v="0.15"/>
    <n v="238"/>
    <n v="36.159999999999997"/>
    <x v="1"/>
  </r>
  <r>
    <s v="ORD-00920"/>
    <d v="2025-07-16T00:00:00"/>
    <s v="Customer 091"/>
    <x v="9"/>
    <s v="Technology"/>
    <x v="3"/>
    <n v="1"/>
    <n v="0.15"/>
    <n v="1020"/>
    <n v="327.08"/>
    <x v="0"/>
  </r>
  <r>
    <s v="ORD-00921"/>
    <d v="2025-11-12T00:00:00"/>
    <s v="Customer 092"/>
    <x v="7"/>
    <s v="Technology"/>
    <x v="0"/>
    <n v="3"/>
    <n v="0.1"/>
    <n v="189"/>
    <n v="34.07"/>
    <x v="0"/>
  </r>
  <r>
    <s v="ORD-00922"/>
    <d v="2025-08-27T00:00:00"/>
    <s v="Customer 090"/>
    <x v="10"/>
    <s v="Office Supplies"/>
    <x v="3"/>
    <n v="2"/>
    <n v="0"/>
    <n v="50"/>
    <n v="9.09"/>
    <x v="2"/>
  </r>
  <r>
    <s v="ORD-00923"/>
    <d v="2025-02-19T00:00:00"/>
    <s v="Customer 029"/>
    <x v="6"/>
    <s v="Office Supplies"/>
    <x v="1"/>
    <n v="3"/>
    <n v="0.15"/>
    <n v="45.9"/>
    <n v="13.53"/>
    <x v="2"/>
  </r>
  <r>
    <s v="ORD-00924"/>
    <d v="2025-11-12T00:00:00"/>
    <s v="Customer 086"/>
    <x v="4"/>
    <s v="Technology"/>
    <x v="2"/>
    <n v="3"/>
    <n v="0.15"/>
    <n v="2167.5"/>
    <n v="844.23"/>
    <x v="0"/>
  </r>
  <r>
    <s v="ORD-00925"/>
    <d v="2025-06-16T00:00:00"/>
    <s v="Customer 015"/>
    <x v="6"/>
    <s v="Office Supplies"/>
    <x v="2"/>
    <n v="4"/>
    <n v="0"/>
    <n v="72"/>
    <n v="30.85"/>
    <x v="2"/>
  </r>
  <r>
    <s v="ORD-00926"/>
    <d v="2025-09-03T00:00:00"/>
    <s v="Customer 078"/>
    <x v="6"/>
    <s v="Office Supplies"/>
    <x v="1"/>
    <n v="2"/>
    <n v="0.1"/>
    <n v="32.4"/>
    <n v="6.37"/>
    <x v="2"/>
  </r>
  <r>
    <s v="ORD-00927"/>
    <d v="2025-09-18T00:00:00"/>
    <s v="Customer 084"/>
    <x v="0"/>
    <s v="Technology"/>
    <x v="0"/>
    <n v="4"/>
    <n v="0"/>
    <n v="140"/>
    <n v="47.94"/>
    <x v="0"/>
  </r>
  <r>
    <s v="ORD-00928"/>
    <d v="2025-06-04T00:00:00"/>
    <s v="Customer 031"/>
    <x v="8"/>
    <s v="Office Supplies"/>
    <x v="1"/>
    <n v="4"/>
    <n v="0.15"/>
    <n v="816"/>
    <n v="208.18"/>
    <x v="2"/>
  </r>
  <r>
    <s v="ORD-00929"/>
    <d v="2025-10-08T00:00:00"/>
    <s v="Customer 027"/>
    <x v="3"/>
    <s v="Furniture"/>
    <x v="3"/>
    <n v="4"/>
    <n v="0.15"/>
    <n v="952"/>
    <n v="407.65"/>
    <x v="1"/>
  </r>
  <r>
    <s v="ORD-00930"/>
    <d v="2025-08-11T00:00:00"/>
    <s v="Customer 023"/>
    <x v="10"/>
    <s v="Office Supplies"/>
    <x v="0"/>
    <n v="3"/>
    <n v="0.2"/>
    <n v="60"/>
    <n v="13.26"/>
    <x v="2"/>
  </r>
  <r>
    <s v="ORD-00931"/>
    <d v="2025-12-31T00:00:00"/>
    <s v="Customer 060"/>
    <x v="10"/>
    <s v="Office Supplies"/>
    <x v="2"/>
    <n v="4"/>
    <n v="0"/>
    <n v="100"/>
    <n v="25.46"/>
    <x v="2"/>
  </r>
  <r>
    <s v="ORD-00932"/>
    <d v="2025-10-12T00:00:00"/>
    <s v="Customer 052"/>
    <x v="0"/>
    <s v="Technology"/>
    <x v="0"/>
    <n v="4"/>
    <n v="0.05"/>
    <n v="133"/>
    <n v="46.33"/>
    <x v="0"/>
  </r>
  <r>
    <s v="ORD-00933"/>
    <d v="2025-11-03T00:00:00"/>
    <s v="Customer 083"/>
    <x v="0"/>
    <s v="Technology"/>
    <x v="0"/>
    <n v="5"/>
    <n v="0.15"/>
    <n v="148.75"/>
    <n v="50.87"/>
    <x v="0"/>
  </r>
  <r>
    <s v="ORD-00934"/>
    <d v="2025-02-16T00:00:00"/>
    <s v="Customer 082"/>
    <x v="2"/>
    <s v="Furniture"/>
    <x v="0"/>
    <n v="2"/>
    <n v="0.2"/>
    <n v="88"/>
    <n v="13.37"/>
    <x v="1"/>
  </r>
  <r>
    <s v="ORD-00935"/>
    <d v="2025-03-17T00:00:00"/>
    <s v="Customer 050"/>
    <x v="5"/>
    <s v="Technology"/>
    <x v="3"/>
    <n v="2"/>
    <n v="0.15"/>
    <n v="544"/>
    <n v="149.43"/>
    <x v="0"/>
  </r>
  <r>
    <s v="ORD-00936"/>
    <d v="2025-04-11T00:00:00"/>
    <s v="Customer 087"/>
    <x v="2"/>
    <s v="Furniture"/>
    <x v="2"/>
    <n v="3"/>
    <n v="0.1"/>
    <n v="148.5"/>
    <n v="38.880000000000003"/>
    <x v="1"/>
  </r>
  <r>
    <s v="ORD-00937"/>
    <d v="2025-08-11T00:00:00"/>
    <s v="Customer 079"/>
    <x v="1"/>
    <s v="Furniture"/>
    <x v="3"/>
    <n v="3"/>
    <n v="0"/>
    <n v="630"/>
    <n v="162.35"/>
    <x v="1"/>
  </r>
  <r>
    <s v="ORD-00938"/>
    <d v="2025-03-07T00:00:00"/>
    <s v="Customer 007"/>
    <x v="4"/>
    <s v="Technology"/>
    <x v="0"/>
    <n v="1"/>
    <n v="0.1"/>
    <n v="765"/>
    <n v="116.77"/>
    <x v="0"/>
  </r>
  <r>
    <s v="ORD-00939"/>
    <d v="2025-12-27T00:00:00"/>
    <s v="Customer 004"/>
    <x v="8"/>
    <s v="Office Supplies"/>
    <x v="1"/>
    <n v="3"/>
    <n v="0"/>
    <n v="720"/>
    <n v="119.37"/>
    <x v="2"/>
  </r>
  <r>
    <s v="ORD-00940"/>
    <d v="2025-08-10T00:00:00"/>
    <s v="Customer 092"/>
    <x v="1"/>
    <s v="Furniture"/>
    <x v="3"/>
    <n v="5"/>
    <n v="0.15"/>
    <n v="892.5"/>
    <n v="217.48"/>
    <x v="1"/>
  </r>
  <r>
    <s v="ORD-00941"/>
    <d v="2025-07-27T00:00:00"/>
    <s v="Customer 023"/>
    <x v="11"/>
    <s v="Furniture"/>
    <x v="3"/>
    <n v="4"/>
    <n v="0.2"/>
    <n v="608"/>
    <n v="231.22"/>
    <x v="1"/>
  </r>
  <r>
    <s v="ORD-00942"/>
    <d v="2025-03-13T00:00:00"/>
    <s v="Customer 047"/>
    <x v="2"/>
    <s v="Furniture"/>
    <x v="3"/>
    <n v="5"/>
    <n v="0.15"/>
    <n v="233.75"/>
    <n v="40.14"/>
    <x v="1"/>
  </r>
  <r>
    <s v="ORD-00943"/>
    <d v="2025-03-20T00:00:00"/>
    <s v="Customer 083"/>
    <x v="4"/>
    <s v="Technology"/>
    <x v="0"/>
    <n v="2"/>
    <n v="0.05"/>
    <n v="1615"/>
    <n v="720.57"/>
    <x v="0"/>
  </r>
  <r>
    <s v="ORD-00944"/>
    <d v="2025-03-15T00:00:00"/>
    <s v="Customer 018"/>
    <x v="1"/>
    <s v="Furniture"/>
    <x v="0"/>
    <n v="4"/>
    <n v="0.15"/>
    <n v="714"/>
    <n v="91.58"/>
    <x v="1"/>
  </r>
  <r>
    <s v="ORD-00945"/>
    <d v="2025-03-12T00:00:00"/>
    <s v="Customer 090"/>
    <x v="5"/>
    <s v="Technology"/>
    <x v="3"/>
    <n v="4"/>
    <n v="0.15"/>
    <n v="1088"/>
    <n v="168.77"/>
    <x v="0"/>
  </r>
  <r>
    <s v="ORD-00946"/>
    <d v="2025-11-16T00:00:00"/>
    <s v="Customer 058"/>
    <x v="3"/>
    <s v="Furniture"/>
    <x v="3"/>
    <n v="4"/>
    <n v="0.2"/>
    <n v="896"/>
    <n v="277.79000000000002"/>
    <x v="1"/>
  </r>
  <r>
    <s v="ORD-00947"/>
    <d v="2025-07-01T00:00:00"/>
    <s v="Customer 074"/>
    <x v="2"/>
    <s v="Furniture"/>
    <x v="3"/>
    <n v="2"/>
    <n v="0.15"/>
    <n v="93.5"/>
    <n v="23.42"/>
    <x v="1"/>
  </r>
  <r>
    <s v="ORD-00948"/>
    <d v="2025-05-02T00:00:00"/>
    <s v="Customer 070"/>
    <x v="1"/>
    <s v="Furniture"/>
    <x v="2"/>
    <n v="5"/>
    <n v="0.1"/>
    <n v="945"/>
    <n v="297.13"/>
    <x v="1"/>
  </r>
  <r>
    <s v="ORD-00949"/>
    <d v="2025-01-18T00:00:00"/>
    <s v="Customer 015"/>
    <x v="9"/>
    <s v="Technology"/>
    <x v="3"/>
    <n v="5"/>
    <n v="0.15"/>
    <n v="5100"/>
    <n v="1108.68"/>
    <x v="0"/>
  </r>
  <r>
    <s v="ORD-00950"/>
    <d v="2025-12-20T00:00:00"/>
    <s v="Customer 097"/>
    <x v="0"/>
    <s v="Technology"/>
    <x v="2"/>
    <n v="2"/>
    <n v="0.2"/>
    <n v="56"/>
    <n v="7.02"/>
    <x v="0"/>
  </r>
  <r>
    <s v="ORD-00951"/>
    <d v="2025-08-27T00:00:00"/>
    <s v="Customer 012"/>
    <x v="8"/>
    <s v="Office Supplies"/>
    <x v="1"/>
    <n v="1"/>
    <n v="0.2"/>
    <n v="192"/>
    <n v="30.01"/>
    <x v="2"/>
  </r>
  <r>
    <s v="ORD-00952"/>
    <d v="2025-08-30T00:00:00"/>
    <s v="Customer 040"/>
    <x v="5"/>
    <s v="Technology"/>
    <x v="0"/>
    <n v="1"/>
    <n v="0.2"/>
    <n v="256"/>
    <n v="47.78"/>
    <x v="0"/>
  </r>
  <r>
    <s v="ORD-00953"/>
    <d v="2025-06-25T00:00:00"/>
    <s v="Customer 061"/>
    <x v="8"/>
    <s v="Office Supplies"/>
    <x v="2"/>
    <n v="1"/>
    <n v="0.15"/>
    <n v="204"/>
    <n v="61.23"/>
    <x v="2"/>
  </r>
  <r>
    <s v="ORD-00954"/>
    <d v="2025-08-04T00:00:00"/>
    <s v="Customer 089"/>
    <x v="7"/>
    <s v="Technology"/>
    <x v="2"/>
    <n v="3"/>
    <n v="0.1"/>
    <n v="189"/>
    <n v="74.599999999999994"/>
    <x v="0"/>
  </r>
  <r>
    <s v="ORD-00955"/>
    <d v="2025-10-16T00:00:00"/>
    <s v="Customer 074"/>
    <x v="4"/>
    <s v="Technology"/>
    <x v="0"/>
    <n v="1"/>
    <n v="0.15"/>
    <n v="722.5"/>
    <n v="187.28"/>
    <x v="0"/>
  </r>
  <r>
    <s v="ORD-00956"/>
    <d v="2025-12-03T00:00:00"/>
    <s v="Customer 011"/>
    <x v="4"/>
    <s v="Technology"/>
    <x v="1"/>
    <n v="5"/>
    <n v="0"/>
    <n v="4250"/>
    <n v="1510.24"/>
    <x v="0"/>
  </r>
  <r>
    <s v="ORD-00957"/>
    <d v="2025-09-16T00:00:00"/>
    <s v="Customer 036"/>
    <x v="0"/>
    <s v="Technology"/>
    <x v="2"/>
    <n v="3"/>
    <n v="0.1"/>
    <n v="94.5"/>
    <n v="38.39"/>
    <x v="0"/>
  </r>
  <r>
    <s v="ORD-00958"/>
    <d v="2025-05-12T00:00:00"/>
    <s v="Customer 076"/>
    <x v="9"/>
    <s v="Technology"/>
    <x v="1"/>
    <n v="1"/>
    <n v="0.2"/>
    <n v="960"/>
    <n v="376.68"/>
    <x v="0"/>
  </r>
  <r>
    <s v="ORD-00959"/>
    <d v="2025-12-04T00:00:00"/>
    <s v="Customer 090"/>
    <x v="6"/>
    <s v="Office Supplies"/>
    <x v="1"/>
    <n v="3"/>
    <n v="0.05"/>
    <n v="51.3"/>
    <n v="18.66"/>
    <x v="2"/>
  </r>
  <r>
    <s v="ORD-00960"/>
    <d v="2025-09-06T00:00:00"/>
    <s v="Customer 011"/>
    <x v="3"/>
    <s v="Furniture"/>
    <x v="1"/>
    <n v="5"/>
    <n v="0"/>
    <n v="1400"/>
    <n v="471.6"/>
    <x v="1"/>
  </r>
  <r>
    <s v="ORD-00961"/>
    <d v="2025-11-01T00:00:00"/>
    <s v="Customer 031"/>
    <x v="3"/>
    <s v="Furniture"/>
    <x v="3"/>
    <n v="4"/>
    <n v="0.15"/>
    <n v="952"/>
    <n v="186.38"/>
    <x v="1"/>
  </r>
  <r>
    <s v="ORD-00962"/>
    <d v="2025-11-23T00:00:00"/>
    <s v="Customer 045"/>
    <x v="3"/>
    <s v="Furniture"/>
    <x v="0"/>
    <n v="2"/>
    <n v="0.2"/>
    <n v="448"/>
    <n v="93.03"/>
    <x v="1"/>
  </r>
  <r>
    <s v="ORD-00963"/>
    <d v="2025-11-25T00:00:00"/>
    <s v="Customer 052"/>
    <x v="4"/>
    <s v="Technology"/>
    <x v="3"/>
    <n v="1"/>
    <n v="0"/>
    <n v="850"/>
    <n v="335.49"/>
    <x v="0"/>
  </r>
  <r>
    <s v="ORD-00964"/>
    <d v="2025-06-04T00:00:00"/>
    <s v="Customer 091"/>
    <x v="6"/>
    <s v="Office Supplies"/>
    <x v="3"/>
    <n v="5"/>
    <n v="0.05"/>
    <n v="85.5"/>
    <n v="27.76"/>
    <x v="2"/>
  </r>
  <r>
    <s v="ORD-00965"/>
    <d v="2025-08-31T00:00:00"/>
    <s v="Customer 002"/>
    <x v="4"/>
    <s v="Technology"/>
    <x v="2"/>
    <n v="2"/>
    <n v="0.2"/>
    <n v="1360"/>
    <n v="221.42"/>
    <x v="0"/>
  </r>
  <r>
    <s v="ORD-00966"/>
    <d v="2025-08-18T00:00:00"/>
    <s v="Customer 006"/>
    <x v="11"/>
    <s v="Furniture"/>
    <x v="0"/>
    <n v="3"/>
    <n v="0.2"/>
    <n v="456"/>
    <n v="102.44"/>
    <x v="1"/>
  </r>
  <r>
    <s v="ORD-00967"/>
    <d v="2025-09-30T00:00:00"/>
    <s v="Customer 084"/>
    <x v="5"/>
    <s v="Technology"/>
    <x v="2"/>
    <n v="3"/>
    <n v="0.15"/>
    <n v="816"/>
    <n v="202.81"/>
    <x v="0"/>
  </r>
  <r>
    <s v="ORD-00968"/>
    <d v="2025-06-21T00:00:00"/>
    <s v="Customer 075"/>
    <x v="4"/>
    <s v="Technology"/>
    <x v="3"/>
    <n v="3"/>
    <n v="0"/>
    <n v="2550"/>
    <n v="932.63"/>
    <x v="0"/>
  </r>
  <r>
    <s v="ORD-00969"/>
    <d v="2025-08-25T00:00:00"/>
    <s v="Customer 067"/>
    <x v="5"/>
    <s v="Technology"/>
    <x v="2"/>
    <n v="2"/>
    <n v="0.2"/>
    <n v="512"/>
    <n v="100.22"/>
    <x v="0"/>
  </r>
  <r>
    <s v="ORD-00970"/>
    <d v="2025-12-13T00:00:00"/>
    <s v="Customer 087"/>
    <x v="1"/>
    <s v="Furniture"/>
    <x v="0"/>
    <n v="2"/>
    <n v="0.1"/>
    <n v="378"/>
    <n v="101.79"/>
    <x v="1"/>
  </r>
  <r>
    <s v="ORD-00971"/>
    <d v="2025-02-04T00:00:00"/>
    <s v="Customer 088"/>
    <x v="9"/>
    <s v="Technology"/>
    <x v="3"/>
    <n v="4"/>
    <n v="0"/>
    <n v="4800"/>
    <n v="1327.98"/>
    <x v="0"/>
  </r>
  <r>
    <s v="ORD-00972"/>
    <d v="2025-06-29T00:00:00"/>
    <s v="Customer 004"/>
    <x v="2"/>
    <s v="Furniture"/>
    <x v="0"/>
    <n v="3"/>
    <n v="0.1"/>
    <n v="148.5"/>
    <n v="57.36"/>
    <x v="1"/>
  </r>
  <r>
    <s v="ORD-00973"/>
    <d v="2025-01-30T00:00:00"/>
    <s v="Customer 091"/>
    <x v="10"/>
    <s v="Office Supplies"/>
    <x v="0"/>
    <n v="2"/>
    <n v="0.2"/>
    <n v="40"/>
    <n v="9.58"/>
    <x v="2"/>
  </r>
  <r>
    <s v="ORD-00974"/>
    <d v="2025-02-14T00:00:00"/>
    <s v="Customer 083"/>
    <x v="10"/>
    <s v="Office Supplies"/>
    <x v="1"/>
    <n v="2"/>
    <n v="0.15"/>
    <n v="42.5"/>
    <n v="9.92"/>
    <x v="2"/>
  </r>
  <r>
    <s v="ORD-00975"/>
    <d v="2025-02-26T00:00:00"/>
    <s v="Customer 085"/>
    <x v="1"/>
    <s v="Furniture"/>
    <x v="0"/>
    <n v="2"/>
    <n v="0.1"/>
    <n v="378"/>
    <n v="133.36000000000001"/>
    <x v="1"/>
  </r>
  <r>
    <s v="ORD-00976"/>
    <d v="2025-11-24T00:00:00"/>
    <s v="Customer 086"/>
    <x v="6"/>
    <s v="Office Supplies"/>
    <x v="2"/>
    <n v="3"/>
    <n v="0.15"/>
    <n v="45.9"/>
    <n v="10.17"/>
    <x v="2"/>
  </r>
  <r>
    <s v="ORD-00977"/>
    <d v="2025-05-12T00:00:00"/>
    <s v="Customer 049"/>
    <x v="3"/>
    <s v="Furniture"/>
    <x v="3"/>
    <n v="1"/>
    <n v="0.1"/>
    <n v="252"/>
    <n v="48.78"/>
    <x v="1"/>
  </r>
  <r>
    <s v="ORD-00978"/>
    <d v="2025-06-20T00:00:00"/>
    <s v="Customer 009"/>
    <x v="9"/>
    <s v="Technology"/>
    <x v="3"/>
    <n v="3"/>
    <n v="0.1"/>
    <n v="3240"/>
    <n v="1267.76"/>
    <x v="0"/>
  </r>
  <r>
    <s v="ORD-00979"/>
    <d v="2025-04-13T00:00:00"/>
    <s v="Customer 014"/>
    <x v="10"/>
    <s v="Office Supplies"/>
    <x v="1"/>
    <n v="4"/>
    <n v="0.05"/>
    <n v="95"/>
    <n v="22.51"/>
    <x v="2"/>
  </r>
  <r>
    <s v="ORD-00980"/>
    <d v="2025-10-04T00:00:00"/>
    <s v="Customer 057"/>
    <x v="11"/>
    <s v="Furniture"/>
    <x v="2"/>
    <n v="2"/>
    <n v="0.2"/>
    <n v="304"/>
    <n v="72.260000000000005"/>
    <x v="1"/>
  </r>
  <r>
    <s v="ORD-00981"/>
    <d v="2025-02-22T00:00:00"/>
    <s v="Customer 033"/>
    <x v="9"/>
    <s v="Technology"/>
    <x v="3"/>
    <n v="1"/>
    <n v="0"/>
    <n v="1200"/>
    <n v="313.75"/>
    <x v="0"/>
  </r>
  <r>
    <s v="ORD-00982"/>
    <d v="2025-01-10T00:00:00"/>
    <s v="Customer 086"/>
    <x v="6"/>
    <s v="Office Supplies"/>
    <x v="3"/>
    <n v="2"/>
    <n v="0"/>
    <n v="36"/>
    <n v="5.12"/>
    <x v="2"/>
  </r>
  <r>
    <s v="ORD-00983"/>
    <d v="2025-05-17T00:00:00"/>
    <s v="Customer 066"/>
    <x v="3"/>
    <s v="Furniture"/>
    <x v="3"/>
    <n v="3"/>
    <n v="0.15"/>
    <n v="714"/>
    <n v="185.9"/>
    <x v="1"/>
  </r>
  <r>
    <s v="ORD-00984"/>
    <d v="2025-09-02T00:00:00"/>
    <s v="Customer 001"/>
    <x v="11"/>
    <s v="Furniture"/>
    <x v="3"/>
    <n v="4"/>
    <n v="0"/>
    <n v="760"/>
    <n v="206.54"/>
    <x v="1"/>
  </r>
  <r>
    <s v="ORD-00985"/>
    <d v="2025-12-19T00:00:00"/>
    <s v="Customer 046"/>
    <x v="6"/>
    <s v="Office Supplies"/>
    <x v="2"/>
    <n v="1"/>
    <n v="0.2"/>
    <n v="14.4"/>
    <n v="3.94"/>
    <x v="2"/>
  </r>
  <r>
    <s v="ORD-00986"/>
    <d v="2025-12-16T00:00:00"/>
    <s v="Customer 083"/>
    <x v="4"/>
    <s v="Technology"/>
    <x v="0"/>
    <n v="4"/>
    <n v="0"/>
    <n v="3400"/>
    <n v="820.59"/>
    <x v="0"/>
  </r>
  <r>
    <s v="ORD-00987"/>
    <d v="2025-07-07T00:00:00"/>
    <s v="Customer 098"/>
    <x v="8"/>
    <s v="Office Supplies"/>
    <x v="2"/>
    <n v="3"/>
    <n v="0"/>
    <n v="720"/>
    <n v="124.14"/>
    <x v="2"/>
  </r>
  <r>
    <s v="ORD-00988"/>
    <d v="2025-11-28T00:00:00"/>
    <s v="Customer 050"/>
    <x v="2"/>
    <s v="Furniture"/>
    <x v="1"/>
    <n v="2"/>
    <n v="0.2"/>
    <n v="88"/>
    <n v="38.46"/>
    <x v="1"/>
  </r>
  <r>
    <s v="ORD-00989"/>
    <d v="2025-06-03T00:00:00"/>
    <s v="Customer 046"/>
    <x v="1"/>
    <s v="Furniture"/>
    <x v="3"/>
    <n v="4"/>
    <n v="0"/>
    <n v="840"/>
    <n v="203.19"/>
    <x v="1"/>
  </r>
  <r>
    <s v="ORD-00990"/>
    <d v="2025-02-13T00:00:00"/>
    <s v="Customer 025"/>
    <x v="5"/>
    <s v="Technology"/>
    <x v="0"/>
    <n v="4"/>
    <n v="0.05"/>
    <n v="1216"/>
    <n v="491.04"/>
    <x v="0"/>
  </r>
  <r>
    <s v="ORD-00991"/>
    <d v="2025-10-31T00:00:00"/>
    <s v="Customer 070"/>
    <x v="2"/>
    <s v="Furniture"/>
    <x v="2"/>
    <n v="4"/>
    <n v="0.15"/>
    <n v="187"/>
    <n v="80.260000000000005"/>
    <x v="1"/>
  </r>
  <r>
    <s v="ORD-00992"/>
    <d v="2025-09-13T00:00:00"/>
    <s v="Customer 008"/>
    <x v="8"/>
    <s v="Office Supplies"/>
    <x v="2"/>
    <n v="4"/>
    <n v="0"/>
    <n v="960"/>
    <n v="420.26"/>
    <x v="2"/>
  </r>
  <r>
    <s v="ORD-00993"/>
    <d v="2025-01-22T00:00:00"/>
    <s v="Customer 086"/>
    <x v="11"/>
    <s v="Furniture"/>
    <x v="3"/>
    <n v="1"/>
    <n v="0.05"/>
    <n v="180.5"/>
    <n v="33.15"/>
    <x v="1"/>
  </r>
  <r>
    <s v="ORD-00994"/>
    <d v="2025-12-14T00:00:00"/>
    <s v="Customer 010"/>
    <x v="8"/>
    <s v="Office Supplies"/>
    <x v="0"/>
    <n v="2"/>
    <n v="0.2"/>
    <n v="384"/>
    <n v="143.28"/>
    <x v="2"/>
  </r>
  <r>
    <s v="ORD-00995"/>
    <d v="2025-03-14T00:00:00"/>
    <s v="Customer 080"/>
    <x v="6"/>
    <s v="Office Supplies"/>
    <x v="0"/>
    <n v="1"/>
    <n v="0.15"/>
    <n v="15.3"/>
    <n v="2.2999999999999998"/>
    <x v="2"/>
  </r>
  <r>
    <s v="ORD-00996"/>
    <d v="2025-05-05T00:00:00"/>
    <s v="Customer 007"/>
    <x v="1"/>
    <s v="Furniture"/>
    <x v="2"/>
    <n v="2"/>
    <n v="0"/>
    <n v="420"/>
    <n v="165.13"/>
    <x v="1"/>
  </r>
  <r>
    <s v="ORD-00997"/>
    <d v="2025-02-19T00:00:00"/>
    <s v="Customer 009"/>
    <x v="6"/>
    <s v="Office Supplies"/>
    <x v="0"/>
    <n v="5"/>
    <n v="0.05"/>
    <n v="85.5"/>
    <n v="14.91"/>
    <x v="2"/>
  </r>
  <r>
    <s v="ORD-00998"/>
    <d v="2025-02-28T00:00:00"/>
    <s v="Customer 026"/>
    <x v="6"/>
    <s v="Office Supplies"/>
    <x v="3"/>
    <n v="5"/>
    <n v="0.2"/>
    <n v="72"/>
    <n v="27.16"/>
    <x v="2"/>
  </r>
  <r>
    <s v="ORD-00999"/>
    <d v="2025-06-22T00:00:00"/>
    <s v="Customer 088"/>
    <x v="1"/>
    <s v="Furniture"/>
    <x v="1"/>
    <n v="4"/>
    <n v="0.1"/>
    <n v="756"/>
    <n v="310.06"/>
    <x v="1"/>
  </r>
  <r>
    <s v="ORD-01000"/>
    <d v="2025-06-14T00:00:00"/>
    <s v="Customer 009"/>
    <x v="2"/>
    <s v="Furniture"/>
    <x v="0"/>
    <n v="1"/>
    <n v="0.2"/>
    <n v="44"/>
    <n v="17.28"/>
    <x v="1"/>
  </r>
  <r>
    <m/>
    <m/>
    <m/>
    <x v="12"/>
    <m/>
    <x v="4"/>
    <m/>
    <m/>
    <m/>
    <m/>
    <x v="3"/>
  </r>
  <r>
    <m/>
    <m/>
    <m/>
    <x v="12"/>
    <m/>
    <x v="4"/>
    <m/>
    <m/>
    <m/>
    <m/>
    <x v="3"/>
  </r>
  <r>
    <m/>
    <m/>
    <m/>
    <x v="12"/>
    <m/>
    <x v="4"/>
    <m/>
    <m/>
    <m/>
    <m/>
    <x v="3"/>
  </r>
  <r>
    <m/>
    <m/>
    <m/>
    <x v="12"/>
    <m/>
    <x v="4"/>
    <m/>
    <m/>
    <m/>
    <m/>
    <x v="3"/>
  </r>
  <r>
    <m/>
    <m/>
    <m/>
    <x v="12"/>
    <m/>
    <x v="4"/>
    <m/>
    <m/>
    <m/>
    <m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6">
  <r>
    <s v="ORD-00001"/>
    <d v="2025-11-24T00:00:00"/>
    <s v="Customer 018"/>
    <x v="0"/>
    <s v="Technology"/>
    <s v="North"/>
    <n v="1"/>
    <n v="0.1"/>
    <n v="31.5"/>
    <n v="11.63"/>
  </r>
  <r>
    <s v="ORD-00002"/>
    <d v="2025-12-13T00:00:00"/>
    <s v="Customer 005"/>
    <x v="1"/>
    <s v="Furniture"/>
    <s v="North"/>
    <n v="5"/>
    <n v="0"/>
    <n v="1050"/>
    <n v="267.89"/>
  </r>
  <r>
    <s v="ORD-00003"/>
    <d v="2025-02-17T00:00:00"/>
    <s v="Customer 072"/>
    <x v="2"/>
    <s v="Furniture"/>
    <s v="South"/>
    <n v="2"/>
    <n v="0.2"/>
    <n v="88"/>
    <n v="22.12"/>
  </r>
  <r>
    <s v="ORD-00004"/>
    <d v="2025-11-29T00:00:00"/>
    <s v="Customer 076"/>
    <x v="1"/>
    <s v="Furniture"/>
    <s v="East"/>
    <n v="5"/>
    <n v="0.15"/>
    <n v="892.5"/>
    <n v="336.7"/>
  </r>
  <r>
    <s v="ORD-00005"/>
    <d v="2025-01-04T00:00:00"/>
    <s v="Customer 028"/>
    <x v="3"/>
    <s v="Furniture"/>
    <s v="East"/>
    <n v="4"/>
    <n v="0.1"/>
    <n v="1008"/>
    <n v="361.17"/>
  </r>
  <r>
    <s v="ORD-00006"/>
    <d v="2025-02-22T00:00:00"/>
    <s v="Customer 045"/>
    <x v="0"/>
    <s v="Technology"/>
    <s v="East"/>
    <n v="4"/>
    <n v="0"/>
    <n v="140"/>
    <n v="46.42"/>
  </r>
  <r>
    <s v="ORD-00007"/>
    <d v="2025-01-23T00:00:00"/>
    <s v="Customer 049"/>
    <x v="1"/>
    <s v="Furniture"/>
    <s v="North"/>
    <n v="4"/>
    <n v="0.2"/>
    <n v="672"/>
    <n v="274.72000000000003"/>
  </r>
  <r>
    <s v="ORD-00008"/>
    <d v="2025-10-10T00:00:00"/>
    <s v="Customer 091"/>
    <x v="4"/>
    <s v="Technology"/>
    <s v="North"/>
    <n v="5"/>
    <n v="0.1"/>
    <n v="3825"/>
    <n v="992.49"/>
  </r>
  <r>
    <s v="ORD-00009"/>
    <d v="2025-01-24T00:00:00"/>
    <s v="Customer 030"/>
    <x v="5"/>
    <s v="Technology"/>
    <s v="North"/>
    <n v="2"/>
    <n v="0.1"/>
    <n v="576"/>
    <n v="71.930000000000007"/>
  </r>
  <r>
    <s v="ORD-00010"/>
    <d v="2025-07-14T00:00:00"/>
    <s v="Customer 046"/>
    <x v="4"/>
    <s v="Technology"/>
    <s v="South"/>
    <n v="4"/>
    <n v="0.1"/>
    <n v="3060"/>
    <n v="1212.75"/>
  </r>
  <r>
    <s v="ORD-00011"/>
    <d v="2025-12-10T00:00:00"/>
    <s v="Customer 069"/>
    <x v="4"/>
    <s v="Technology"/>
    <s v="South"/>
    <n v="1"/>
    <n v="0.2"/>
    <n v="680"/>
    <n v="163.51"/>
  </r>
  <r>
    <s v="ORD-00012"/>
    <d v="2025-03-25T00:00:00"/>
    <s v="Customer 082"/>
    <x v="6"/>
    <s v="Office Supplies"/>
    <s v="South"/>
    <n v="4"/>
    <n v="0.1"/>
    <n v="64.8"/>
    <n v="8"/>
  </r>
  <r>
    <s v="ORD-00013"/>
    <d v="2025-12-17T00:00:00"/>
    <s v="Customer 041"/>
    <x v="7"/>
    <s v="Technology"/>
    <s v="West"/>
    <n v="1"/>
    <n v="0.05"/>
    <n v="66.5"/>
    <n v="11.89"/>
  </r>
  <r>
    <s v="ORD-00014"/>
    <d v="2025-05-18T00:00:00"/>
    <s v="Customer 041"/>
    <x v="0"/>
    <s v="Technology"/>
    <s v="South"/>
    <n v="2"/>
    <n v="0.2"/>
    <n v="56"/>
    <n v="9"/>
  </r>
  <r>
    <s v="ORD-00015"/>
    <d v="2025-12-02T00:00:00"/>
    <s v="Customer 018"/>
    <x v="6"/>
    <s v="Office Supplies"/>
    <s v="South"/>
    <n v="4"/>
    <n v="0.15"/>
    <n v="61.2"/>
    <n v="24.65"/>
  </r>
  <r>
    <s v="ORD-00016"/>
    <d v="2025-10-15T00:00:00"/>
    <s v="Customer 075"/>
    <x v="8"/>
    <s v="Office Supplies"/>
    <s v="West"/>
    <n v="3"/>
    <n v="0.2"/>
    <n v="576"/>
    <n v="177.76"/>
  </r>
  <r>
    <s v="ORD-00017"/>
    <d v="2025-07-05T00:00:00"/>
    <s v="Customer 097"/>
    <x v="2"/>
    <s v="Furniture"/>
    <s v="North"/>
    <n v="2"/>
    <n v="0.2"/>
    <n v="88"/>
    <n v="25.27"/>
  </r>
  <r>
    <s v="ORD-00018"/>
    <d v="2025-02-26T00:00:00"/>
    <s v="Customer 050"/>
    <x v="3"/>
    <s v="Furniture"/>
    <s v="South"/>
    <n v="2"/>
    <n v="0.15"/>
    <n v="476"/>
    <n v="120.52"/>
  </r>
  <r>
    <s v="ORD-00019"/>
    <d v="2025-11-02T00:00:00"/>
    <s v="Customer 002"/>
    <x v="6"/>
    <s v="Office Supplies"/>
    <s v="North"/>
    <n v="5"/>
    <n v="0.1"/>
    <n v="81"/>
    <n v="10.49"/>
  </r>
  <r>
    <s v="ORD-00020"/>
    <d v="2025-12-16T00:00:00"/>
    <s v="Customer 056"/>
    <x v="8"/>
    <s v="Office Supplies"/>
    <s v="South"/>
    <n v="3"/>
    <n v="0.1"/>
    <n v="648"/>
    <n v="267.75"/>
  </r>
  <r>
    <s v="ORD-00021"/>
    <d v="2025-08-21T00:00:00"/>
    <s v="Customer 065"/>
    <x v="9"/>
    <s v="Technology"/>
    <s v="North"/>
    <n v="3"/>
    <n v="0.2"/>
    <n v="2880"/>
    <n v="571.83000000000004"/>
  </r>
  <r>
    <s v="ORD-00022"/>
    <d v="2025-11-17T00:00:00"/>
    <s v="Customer 048"/>
    <x v="4"/>
    <s v="Technology"/>
    <s v="South"/>
    <n v="5"/>
    <n v="0.2"/>
    <n v="3400"/>
    <n v="1306.82"/>
  </r>
  <r>
    <s v="ORD-00023"/>
    <d v="2025-10-04T00:00:00"/>
    <s v="Customer 003"/>
    <x v="8"/>
    <s v="Office Supplies"/>
    <s v="North"/>
    <n v="1"/>
    <n v="0.2"/>
    <n v="192"/>
    <n v="65.86"/>
  </r>
  <r>
    <s v="ORD-00024"/>
    <d v="2025-07-05T00:00:00"/>
    <s v="Customer 073"/>
    <x v="4"/>
    <s v="Technology"/>
    <s v="North"/>
    <n v="2"/>
    <n v="0"/>
    <n v="1700"/>
    <n v="629.87"/>
  </r>
  <r>
    <s v="ORD-00025"/>
    <d v="2025-02-13T00:00:00"/>
    <s v="Customer 069"/>
    <x v="1"/>
    <s v="Furniture"/>
    <s v="South"/>
    <n v="4"/>
    <n v="0"/>
    <n v="840"/>
    <n v="106.9"/>
  </r>
  <r>
    <s v="ORD-00026"/>
    <d v="2025-03-07T00:00:00"/>
    <s v="Customer 068"/>
    <x v="5"/>
    <s v="Technology"/>
    <s v="West"/>
    <n v="4"/>
    <n v="0.2"/>
    <n v="1024"/>
    <n v="405"/>
  </r>
  <r>
    <s v="ORD-00027"/>
    <d v="2025-04-19T00:00:00"/>
    <s v="Customer 086"/>
    <x v="8"/>
    <s v="Office Supplies"/>
    <s v="East"/>
    <n v="2"/>
    <n v="0.1"/>
    <n v="432"/>
    <n v="137.52000000000001"/>
  </r>
  <r>
    <s v="ORD-00028"/>
    <d v="2025-08-13T00:00:00"/>
    <s v="Customer 009"/>
    <x v="8"/>
    <s v="Office Supplies"/>
    <s v="East"/>
    <n v="4"/>
    <n v="0"/>
    <n v="960"/>
    <n v="353.46"/>
  </r>
  <r>
    <s v="ORD-00029"/>
    <d v="2025-01-11T00:00:00"/>
    <s v="Customer 001"/>
    <x v="10"/>
    <s v="Office Supplies"/>
    <s v="North"/>
    <n v="5"/>
    <n v="0.05"/>
    <n v="118.75"/>
    <n v="30.38"/>
  </r>
  <r>
    <s v="ORD-00030"/>
    <d v="2025-12-29T00:00:00"/>
    <s v="Customer 005"/>
    <x v="5"/>
    <s v="Technology"/>
    <s v="East"/>
    <n v="1"/>
    <n v="0.05"/>
    <n v="304"/>
    <n v="130.04"/>
  </r>
  <r>
    <s v="ORD-00031"/>
    <d v="2025-02-06T00:00:00"/>
    <s v="Customer 028"/>
    <x v="8"/>
    <s v="Office Supplies"/>
    <s v="South"/>
    <n v="2"/>
    <n v="0.1"/>
    <n v="432"/>
    <n v="99.03"/>
  </r>
  <r>
    <s v="ORD-00032"/>
    <d v="2025-10-20T00:00:00"/>
    <s v="Customer 053"/>
    <x v="10"/>
    <s v="Office Supplies"/>
    <s v="South"/>
    <n v="4"/>
    <n v="0.05"/>
    <n v="95"/>
    <n v="18.149999999999999"/>
  </r>
  <r>
    <s v="ORD-00033"/>
    <d v="2025-02-18T00:00:00"/>
    <s v="Customer 060"/>
    <x v="0"/>
    <s v="Technology"/>
    <s v="North"/>
    <n v="4"/>
    <n v="0.1"/>
    <n v="126"/>
    <n v="39.090000000000003"/>
  </r>
  <r>
    <s v="ORD-00034"/>
    <d v="2025-12-11T00:00:00"/>
    <s v="Customer 044"/>
    <x v="5"/>
    <s v="Technology"/>
    <s v="North"/>
    <n v="1"/>
    <n v="0"/>
    <n v="320"/>
    <n v="101.48"/>
  </r>
  <r>
    <s v="ORD-00035"/>
    <d v="2025-05-08T00:00:00"/>
    <s v="Customer 055"/>
    <x v="2"/>
    <s v="Furniture"/>
    <s v="South"/>
    <n v="2"/>
    <n v="0.2"/>
    <n v="88"/>
    <n v="26.57"/>
  </r>
  <r>
    <s v="ORD-00036"/>
    <d v="2025-05-23T00:00:00"/>
    <s v="Customer 071"/>
    <x v="6"/>
    <s v="Office Supplies"/>
    <s v="North"/>
    <n v="2"/>
    <n v="0"/>
    <n v="36"/>
    <n v="10.94"/>
  </r>
  <r>
    <s v="ORD-00037"/>
    <d v="2025-01-26T00:00:00"/>
    <s v="Customer 097"/>
    <x v="5"/>
    <s v="Technology"/>
    <s v="South"/>
    <n v="5"/>
    <n v="0"/>
    <n v="1600"/>
    <n v="208.37"/>
  </r>
  <r>
    <s v="ORD-00038"/>
    <d v="2025-03-27T00:00:00"/>
    <s v="Customer 052"/>
    <x v="11"/>
    <s v="Furniture"/>
    <s v="North"/>
    <n v="4"/>
    <n v="0.15"/>
    <n v="646"/>
    <n v="245.13"/>
  </r>
  <r>
    <s v="ORD-00039"/>
    <d v="2025-03-26T00:00:00"/>
    <s v="Customer 059"/>
    <x v="11"/>
    <s v="Furniture"/>
    <s v="East"/>
    <n v="1"/>
    <n v="0.15"/>
    <n v="161.5"/>
    <n v="58.54"/>
  </r>
  <r>
    <s v="ORD-00040"/>
    <d v="2025-08-05T00:00:00"/>
    <s v="Customer 038"/>
    <x v="1"/>
    <s v="Furniture"/>
    <s v="South"/>
    <n v="5"/>
    <n v="0.15"/>
    <n v="892.5"/>
    <n v="356.03"/>
  </r>
  <r>
    <s v="ORD-00041"/>
    <d v="2025-01-30T00:00:00"/>
    <s v="Customer 008"/>
    <x v="10"/>
    <s v="Office Supplies"/>
    <s v="North"/>
    <n v="5"/>
    <n v="0"/>
    <n v="125"/>
    <n v="25.4"/>
  </r>
  <r>
    <s v="ORD-00042"/>
    <d v="2025-10-27T00:00:00"/>
    <s v="Customer 066"/>
    <x v="6"/>
    <s v="Office Supplies"/>
    <s v="North"/>
    <n v="5"/>
    <n v="0.2"/>
    <n v="72"/>
    <n v="28.66"/>
  </r>
  <r>
    <s v="ORD-00043"/>
    <d v="2025-04-06T00:00:00"/>
    <s v="Customer 031"/>
    <x v="0"/>
    <s v="Technology"/>
    <s v="West"/>
    <n v="5"/>
    <n v="0"/>
    <n v="175"/>
    <n v="39.76"/>
  </r>
  <r>
    <s v="ORD-00044"/>
    <d v="2025-03-03T00:00:00"/>
    <s v="Customer 080"/>
    <x v="10"/>
    <s v="Office Supplies"/>
    <s v="North"/>
    <n v="2"/>
    <n v="0.2"/>
    <n v="40"/>
    <n v="10.15"/>
  </r>
  <r>
    <s v="ORD-00045"/>
    <d v="2025-08-03T00:00:00"/>
    <s v="Customer 034"/>
    <x v="5"/>
    <s v="Technology"/>
    <s v="South"/>
    <n v="5"/>
    <n v="0.2"/>
    <n v="1280"/>
    <n v="355.18"/>
  </r>
  <r>
    <s v="ORD-00046"/>
    <d v="2025-12-09T00:00:00"/>
    <s v="Customer 017"/>
    <x v="1"/>
    <s v="Furniture"/>
    <s v="East"/>
    <n v="3"/>
    <n v="0.05"/>
    <n v="598.5"/>
    <n v="216.86"/>
  </r>
  <r>
    <s v="ORD-00047"/>
    <d v="2025-08-23T00:00:00"/>
    <s v="Customer 073"/>
    <x v="7"/>
    <s v="Technology"/>
    <s v="North"/>
    <n v="1"/>
    <n v="0"/>
    <n v="70"/>
    <n v="20.91"/>
  </r>
  <r>
    <s v="ORD-00048"/>
    <d v="2025-02-07T00:00:00"/>
    <s v="Customer 045"/>
    <x v="8"/>
    <s v="Office Supplies"/>
    <s v="North"/>
    <n v="2"/>
    <n v="0.2"/>
    <n v="384"/>
    <n v="139.19"/>
  </r>
  <r>
    <s v="ORD-00049"/>
    <d v="2025-05-06T00:00:00"/>
    <s v="Customer 070"/>
    <x v="7"/>
    <s v="Technology"/>
    <s v="East"/>
    <n v="3"/>
    <n v="0.05"/>
    <n v="199.5"/>
    <n v="60.93"/>
  </r>
  <r>
    <s v="ORD-00050"/>
    <d v="2025-11-10T00:00:00"/>
    <s v="Customer 071"/>
    <x v="5"/>
    <s v="Technology"/>
    <s v="East"/>
    <n v="5"/>
    <n v="0"/>
    <n v="1600"/>
    <n v="367.37"/>
  </r>
  <r>
    <s v="ORD-00051"/>
    <d v="2025-12-06T00:00:00"/>
    <s v="Customer 014"/>
    <x v="0"/>
    <s v="Technology"/>
    <s v="South"/>
    <n v="2"/>
    <n v="0.1"/>
    <n v="63"/>
    <n v="25.95"/>
  </r>
  <r>
    <s v="ORD-00052"/>
    <d v="2025-05-20T00:00:00"/>
    <s v="Customer 027"/>
    <x v="4"/>
    <s v="Technology"/>
    <s v="East"/>
    <n v="5"/>
    <n v="0.05"/>
    <n v="4037.5"/>
    <n v="860.75"/>
  </r>
  <r>
    <s v="ORD-00053"/>
    <d v="2025-09-16T00:00:00"/>
    <s v="Customer 055"/>
    <x v="6"/>
    <s v="Office Supplies"/>
    <s v="East"/>
    <n v="3"/>
    <n v="0"/>
    <n v="54"/>
    <n v="22.66"/>
  </r>
  <r>
    <s v="ORD-00054"/>
    <d v="2025-01-23T00:00:00"/>
    <s v="Customer 034"/>
    <x v="9"/>
    <s v="Technology"/>
    <s v="South"/>
    <n v="3"/>
    <n v="0.05"/>
    <n v="3420"/>
    <n v="819.95"/>
  </r>
  <r>
    <s v="ORD-00055"/>
    <d v="2025-08-15T00:00:00"/>
    <s v="Customer 010"/>
    <x v="8"/>
    <s v="Office Supplies"/>
    <s v="South"/>
    <n v="4"/>
    <n v="0.2"/>
    <n v="768"/>
    <n v="343.15"/>
  </r>
  <r>
    <s v="ORD-00056"/>
    <d v="2025-10-07T00:00:00"/>
    <s v="Customer 056"/>
    <x v="9"/>
    <s v="Technology"/>
    <s v="South"/>
    <n v="3"/>
    <n v="0.2"/>
    <n v="2880"/>
    <n v="770.88"/>
  </r>
  <r>
    <s v="ORD-00057"/>
    <d v="2025-01-22T00:00:00"/>
    <s v="Customer 027"/>
    <x v="4"/>
    <s v="Technology"/>
    <s v="South"/>
    <n v="3"/>
    <n v="0"/>
    <n v="2550"/>
    <n v="391.05"/>
  </r>
  <r>
    <s v="ORD-00058"/>
    <d v="2025-12-08T00:00:00"/>
    <s v="Customer 053"/>
    <x v="0"/>
    <s v="Technology"/>
    <s v="South"/>
    <n v="3"/>
    <n v="0.2"/>
    <n v="84"/>
    <n v="13.29"/>
  </r>
  <r>
    <s v="ORD-00059"/>
    <d v="2025-05-02T00:00:00"/>
    <s v="Customer 095"/>
    <x v="3"/>
    <s v="Furniture"/>
    <s v="East"/>
    <n v="2"/>
    <n v="0.15"/>
    <n v="476"/>
    <n v="210.31"/>
  </r>
  <r>
    <s v="ORD-00060"/>
    <d v="2025-07-30T00:00:00"/>
    <s v="Customer 090"/>
    <x v="5"/>
    <s v="Technology"/>
    <s v="North"/>
    <n v="2"/>
    <n v="0.1"/>
    <n v="576"/>
    <n v="228.94"/>
  </r>
  <r>
    <s v="ORD-00061"/>
    <d v="2025-07-15T00:00:00"/>
    <s v="Customer 059"/>
    <x v="9"/>
    <s v="Technology"/>
    <s v="East"/>
    <n v="4"/>
    <n v="0.05"/>
    <n v="4560"/>
    <n v="1751.68"/>
  </r>
  <r>
    <s v="ORD-00062"/>
    <d v="2025-06-06T00:00:00"/>
    <s v="Customer 052"/>
    <x v="2"/>
    <s v="Furniture"/>
    <s v="East"/>
    <n v="2"/>
    <n v="0"/>
    <n v="110"/>
    <n v="25.54"/>
  </r>
  <r>
    <s v="ORD-00063"/>
    <d v="2025-05-23T00:00:00"/>
    <s v="Customer 052"/>
    <x v="0"/>
    <s v="Technology"/>
    <s v="East"/>
    <n v="3"/>
    <n v="0.1"/>
    <n v="94.5"/>
    <n v="22.52"/>
  </r>
  <r>
    <s v="ORD-00064"/>
    <d v="2025-01-15T00:00:00"/>
    <s v="Customer 034"/>
    <x v="0"/>
    <s v="Technology"/>
    <s v="North"/>
    <n v="3"/>
    <n v="0.05"/>
    <n v="99.75"/>
    <n v="25.78"/>
  </r>
  <r>
    <s v="ORD-00065"/>
    <d v="2025-02-25T00:00:00"/>
    <s v="Customer 041"/>
    <x v="10"/>
    <s v="Office Supplies"/>
    <s v="West"/>
    <n v="4"/>
    <n v="0.1"/>
    <n v="90"/>
    <n v="18.86"/>
  </r>
  <r>
    <s v="ORD-00066"/>
    <d v="2025-11-07T00:00:00"/>
    <s v="Customer 025"/>
    <x v="8"/>
    <s v="Office Supplies"/>
    <s v="East"/>
    <n v="1"/>
    <n v="0.15"/>
    <n v="204"/>
    <n v="31.25"/>
  </r>
  <r>
    <s v="ORD-00067"/>
    <d v="2025-01-23T00:00:00"/>
    <s v="Customer 069"/>
    <x v="1"/>
    <s v="Furniture"/>
    <s v="South"/>
    <n v="4"/>
    <n v="0"/>
    <n v="840"/>
    <n v="233.88"/>
  </r>
  <r>
    <s v="ORD-00068"/>
    <d v="2025-07-06T00:00:00"/>
    <s v="Customer 085"/>
    <x v="11"/>
    <s v="Furniture"/>
    <s v="North"/>
    <n v="1"/>
    <n v="0.1"/>
    <n v="171"/>
    <n v="41.79"/>
  </r>
  <r>
    <s v="ORD-00069"/>
    <d v="2025-06-03T00:00:00"/>
    <s v="Customer 090"/>
    <x v="8"/>
    <s v="Office Supplies"/>
    <s v="East"/>
    <n v="3"/>
    <n v="0.15"/>
    <n v="612"/>
    <n v="209.52"/>
  </r>
  <r>
    <s v="ORD-00070"/>
    <d v="2025-10-11T00:00:00"/>
    <s v="Customer 049"/>
    <x v="3"/>
    <s v="Furniture"/>
    <s v="South"/>
    <n v="2"/>
    <n v="0.15"/>
    <n v="476"/>
    <n v="109.75"/>
  </r>
  <r>
    <s v="ORD-00071"/>
    <d v="2025-11-12T00:00:00"/>
    <s v="Customer 001"/>
    <x v="10"/>
    <s v="Office Supplies"/>
    <s v="East"/>
    <n v="3"/>
    <n v="0.15"/>
    <n v="63.75"/>
    <n v="17.16"/>
  </r>
  <r>
    <s v="ORD-00072"/>
    <d v="2025-05-27T00:00:00"/>
    <s v="Customer 042"/>
    <x v="2"/>
    <s v="Furniture"/>
    <s v="West"/>
    <n v="4"/>
    <n v="0.2"/>
    <n v="176"/>
    <n v="43.97"/>
  </r>
  <r>
    <s v="ORD-00073"/>
    <d v="2025-08-15T00:00:00"/>
    <s v="Customer 095"/>
    <x v="6"/>
    <s v="Office Supplies"/>
    <s v="South"/>
    <n v="2"/>
    <n v="0.2"/>
    <n v="28.8"/>
    <n v="8.4600000000000009"/>
  </r>
  <r>
    <s v="ORD-00074"/>
    <d v="2025-12-04T00:00:00"/>
    <s v="Customer 080"/>
    <x v="0"/>
    <s v="Technology"/>
    <s v="East"/>
    <n v="3"/>
    <n v="0.2"/>
    <n v="84"/>
    <n v="19.399999999999999"/>
  </r>
  <r>
    <s v="ORD-00075"/>
    <d v="2025-02-17T00:00:00"/>
    <s v="Customer 019"/>
    <x v="2"/>
    <s v="Furniture"/>
    <s v="North"/>
    <n v="3"/>
    <n v="0.05"/>
    <n v="156.75"/>
    <n v="28.82"/>
  </r>
  <r>
    <s v="ORD-00076"/>
    <d v="2025-01-24T00:00:00"/>
    <s v="Customer 010"/>
    <x v="2"/>
    <s v="Furniture"/>
    <s v="West"/>
    <n v="4"/>
    <n v="0.2"/>
    <n v="176"/>
    <n v="29.85"/>
  </r>
  <r>
    <s v="ORD-00077"/>
    <d v="2025-08-01T00:00:00"/>
    <s v="Customer 050"/>
    <x v="5"/>
    <s v="Technology"/>
    <s v="West"/>
    <n v="5"/>
    <n v="0.05"/>
    <n v="1520"/>
    <n v="323.68"/>
  </r>
  <r>
    <s v="ORD-00078"/>
    <d v="2025-07-24T00:00:00"/>
    <s v="Customer 099"/>
    <x v="2"/>
    <s v="Furniture"/>
    <s v="North"/>
    <n v="2"/>
    <n v="0"/>
    <n v="110"/>
    <n v="17.100000000000001"/>
  </r>
  <r>
    <s v="ORD-00079"/>
    <d v="2025-08-06T00:00:00"/>
    <s v="Customer 072"/>
    <x v="2"/>
    <s v="Furniture"/>
    <s v="South"/>
    <n v="2"/>
    <n v="0.2"/>
    <n v="88"/>
    <n v="26.11"/>
  </r>
  <r>
    <s v="ORD-00080"/>
    <d v="2025-03-04T00:00:00"/>
    <s v="Customer 072"/>
    <x v="6"/>
    <s v="Office Supplies"/>
    <s v="East"/>
    <n v="2"/>
    <n v="0.15"/>
    <n v="30.6"/>
    <n v="7.03"/>
  </r>
  <r>
    <s v="ORD-00081"/>
    <d v="2025-08-15T00:00:00"/>
    <s v="Customer 071"/>
    <x v="10"/>
    <s v="Office Supplies"/>
    <s v="West"/>
    <n v="5"/>
    <n v="0.15"/>
    <n v="106.25"/>
    <n v="18.690000000000001"/>
  </r>
  <r>
    <s v="ORD-00082"/>
    <d v="2025-03-23T00:00:00"/>
    <s v="Customer 032"/>
    <x v="1"/>
    <s v="Furniture"/>
    <s v="East"/>
    <n v="4"/>
    <n v="0.15"/>
    <n v="714"/>
    <n v="260.23"/>
  </r>
  <r>
    <s v="ORD-00083"/>
    <d v="2025-09-24T00:00:00"/>
    <s v="Customer 092"/>
    <x v="6"/>
    <s v="Office Supplies"/>
    <s v="East"/>
    <n v="2"/>
    <n v="0.1"/>
    <n v="32.4"/>
    <n v="9.8800000000000008"/>
  </r>
  <r>
    <s v="ORD-00084"/>
    <d v="2025-05-01T00:00:00"/>
    <s v="Customer 011"/>
    <x v="4"/>
    <s v="Technology"/>
    <s v="South"/>
    <n v="3"/>
    <n v="0.1"/>
    <n v="2295"/>
    <n v="356.42"/>
  </r>
  <r>
    <s v="ORD-00085"/>
    <d v="2025-03-19T00:00:00"/>
    <s v="Customer 009"/>
    <x v="2"/>
    <s v="Furniture"/>
    <s v="West"/>
    <n v="4"/>
    <n v="0.05"/>
    <n v="209"/>
    <n v="45.33"/>
  </r>
  <r>
    <s v="ORD-00086"/>
    <d v="2025-07-28T00:00:00"/>
    <s v="Customer 027"/>
    <x v="7"/>
    <s v="Technology"/>
    <s v="West"/>
    <n v="5"/>
    <n v="0.15"/>
    <n v="297.5"/>
    <n v="93.06"/>
  </r>
  <r>
    <s v="ORD-00087"/>
    <d v="2025-07-19T00:00:00"/>
    <s v="Customer 001"/>
    <x v="10"/>
    <s v="Office Supplies"/>
    <s v="East"/>
    <n v="1"/>
    <n v="0.2"/>
    <n v="20"/>
    <n v="6.49"/>
  </r>
  <r>
    <s v="ORD-00088"/>
    <d v="2025-06-02T00:00:00"/>
    <s v="Customer 070"/>
    <x v="11"/>
    <s v="Furniture"/>
    <s v="South"/>
    <n v="4"/>
    <n v="0.2"/>
    <n v="608"/>
    <n v="123.62"/>
  </r>
  <r>
    <s v="ORD-00089"/>
    <d v="2025-09-07T00:00:00"/>
    <s v="Customer 050"/>
    <x v="2"/>
    <s v="Technology "/>
    <s v="East"/>
    <n v="3"/>
    <n v="0.15"/>
    <n v="140.25"/>
    <n v="40.64"/>
  </r>
  <r>
    <s v="ORD-00090"/>
    <d v="2025-12-09T00:00:00"/>
    <s v="Customer 017"/>
    <x v="5"/>
    <s v="Technology"/>
    <s v="North"/>
    <n v="4"/>
    <n v="0.05"/>
    <n v="1216"/>
    <n v="209.92"/>
  </r>
  <r>
    <s v="ORD-00091"/>
    <d v="2025-07-21T00:00:00"/>
    <s v="Customer 055"/>
    <x v="10"/>
    <s v="Office Supplies"/>
    <s v="South"/>
    <n v="5"/>
    <n v="0"/>
    <n v="125"/>
    <n v="52.79"/>
  </r>
  <r>
    <s v="ORD-00092"/>
    <d v="2025-08-25T00:00:00"/>
    <s v="Customer 028"/>
    <x v="3"/>
    <s v="Furniture"/>
    <s v="West"/>
    <n v="1"/>
    <n v="0.1"/>
    <n v="252"/>
    <n v="81.87"/>
  </r>
  <r>
    <s v="ORD-00093"/>
    <d v="2025-06-17T00:00:00"/>
    <s v="Customer 054"/>
    <x v="7"/>
    <s v="Technology"/>
    <s v="East"/>
    <n v="4"/>
    <n v="0.1"/>
    <n v="252"/>
    <n v="50.86"/>
  </r>
  <r>
    <s v="ORD-00094"/>
    <d v="2025-02-11T00:00:00"/>
    <s v="Customer 045"/>
    <x v="6"/>
    <s v="Office Supplies"/>
    <s v="South"/>
    <n v="1"/>
    <n v="0.2"/>
    <n v="14.4"/>
    <n v="6.23"/>
  </r>
  <r>
    <s v="ORD-00095"/>
    <d v="2025-11-29T00:00:00"/>
    <s v="Customer 026"/>
    <x v="0"/>
    <s v="Technology"/>
    <s v="North"/>
    <n v="1"/>
    <n v="0"/>
    <n v="35"/>
    <n v="4.78"/>
  </r>
  <r>
    <s v="ORD-00096"/>
    <d v="2025-11-15T00:00:00"/>
    <s v="Customer 015"/>
    <x v="3"/>
    <s v="Furniture"/>
    <s v="South"/>
    <n v="2"/>
    <n v="0.05"/>
    <n v="532"/>
    <n v="156.26"/>
  </r>
  <r>
    <s v="ORD-00097"/>
    <d v="2025-08-27T00:00:00"/>
    <s v="Customer 078"/>
    <x v="1"/>
    <s v="Furniture"/>
    <s v="North"/>
    <n v="3"/>
    <n v="0.1"/>
    <n v="567"/>
    <n v="223.75"/>
  </r>
  <r>
    <s v="ORD-00098"/>
    <d v="2025-03-25T00:00:00"/>
    <s v="Customer 040"/>
    <x v="4"/>
    <s v="Technology"/>
    <s v="West"/>
    <n v="1"/>
    <n v="0.2"/>
    <n v="680"/>
    <n v="300.24"/>
  </r>
  <r>
    <s v="ORD-00099"/>
    <d v="2025-07-23T00:00:00"/>
    <s v="Customer 081"/>
    <x v="1"/>
    <s v="Furniture"/>
    <s v="South"/>
    <n v="2"/>
    <n v="0"/>
    <n v="420"/>
    <n v="106.94"/>
  </r>
  <r>
    <s v="ORD-00100"/>
    <d v="2025-02-22T00:00:00"/>
    <s v="Customer 073"/>
    <x v="1"/>
    <s v="Furniture"/>
    <s v="North"/>
    <n v="3"/>
    <n v="0.2"/>
    <n v="504"/>
    <n v="92.82"/>
  </r>
  <r>
    <s v="ORD-00101"/>
    <d v="2025-06-27T00:00:00"/>
    <s v="Customer 083"/>
    <x v="8"/>
    <s v="Office Supplies"/>
    <s v="East"/>
    <n v="4"/>
    <n v="0.1"/>
    <n v="864"/>
    <n v="369.14"/>
  </r>
  <r>
    <s v="ORD-00102"/>
    <d v="2025-01-07T00:00:00"/>
    <s v="Customer 047"/>
    <x v="11"/>
    <s v="Furniture"/>
    <s v="West"/>
    <n v="4"/>
    <n v="0"/>
    <n v="760"/>
    <n v="233.27"/>
  </r>
  <r>
    <s v="ORD-00103"/>
    <d v="2025-12-29T00:00:00"/>
    <s v="Customer 084"/>
    <x v="3"/>
    <s v="Furniture"/>
    <s v="East"/>
    <n v="4"/>
    <n v="0.05"/>
    <n v="1064"/>
    <n v="221.15"/>
  </r>
  <r>
    <s v="ORD-00104"/>
    <d v="2025-11-12T00:00:00"/>
    <s v="Customer 094"/>
    <x v="8"/>
    <s v="Office Supplies"/>
    <s v="East"/>
    <n v="4"/>
    <n v="0.15"/>
    <n v="816"/>
    <n v="249.91"/>
  </r>
  <r>
    <s v="ORD-00105"/>
    <d v="2025-06-15T00:00:00"/>
    <s v="Customer 032"/>
    <x v="2"/>
    <s v="Furniture"/>
    <s v="West"/>
    <n v="1"/>
    <n v="0.1"/>
    <n v="49.5"/>
    <n v="7.87"/>
  </r>
  <r>
    <s v="ORD-00106"/>
    <d v="2025-10-19T00:00:00"/>
    <s v="Customer 042"/>
    <x v="10"/>
    <s v="Office Supplies"/>
    <s v="South"/>
    <n v="4"/>
    <n v="0.1"/>
    <n v="90"/>
    <n v="39.65"/>
  </r>
  <r>
    <s v="ORD-00107"/>
    <d v="2025-09-07T00:00:00"/>
    <s v="Customer 077"/>
    <x v="2"/>
    <s v="Furniture"/>
    <s v="East"/>
    <n v="3"/>
    <n v="0.1"/>
    <n v="148.5"/>
    <n v="50.15"/>
  </r>
  <r>
    <s v="ORD-00108"/>
    <d v="2025-10-12T00:00:00"/>
    <s v="Customer 093"/>
    <x v="9"/>
    <s v="Technology"/>
    <s v="West"/>
    <n v="5"/>
    <n v="0.05"/>
    <n v="5700"/>
    <n v="2403.96"/>
  </r>
  <r>
    <s v="ORD-00109"/>
    <d v="2025-09-08T00:00:00"/>
    <s v="Customer 063"/>
    <x v="8"/>
    <s v="Office Supplies"/>
    <s v="West"/>
    <n v="2"/>
    <n v="0.15"/>
    <n v="408"/>
    <n v="96.64"/>
  </r>
  <r>
    <s v="ORD-00110"/>
    <d v="2025-01-09T00:00:00"/>
    <s v="Customer 032"/>
    <x v="0"/>
    <s v="Technology"/>
    <s v="East"/>
    <n v="3"/>
    <n v="0.05"/>
    <n v="99.75"/>
    <n v="31.58"/>
  </r>
  <r>
    <s v="ORD-00111"/>
    <d v="2025-12-06T00:00:00"/>
    <s v="Customer 045"/>
    <x v="10"/>
    <s v="Office Supplies"/>
    <s v="West"/>
    <n v="3"/>
    <n v="0.15"/>
    <n v="63.75"/>
    <n v="17.04"/>
  </r>
  <r>
    <s v="ORD-00112"/>
    <d v="2025-10-09T00:00:00"/>
    <s v="Customer 033"/>
    <x v="7"/>
    <s v="Technology"/>
    <s v="South"/>
    <n v="3"/>
    <n v="0.15"/>
    <n v="178.5"/>
    <n v="64.37"/>
  </r>
  <r>
    <s v="ORD-00113"/>
    <d v="2025-03-03T00:00:00"/>
    <s v="Customer 069"/>
    <x v="1"/>
    <s v="Furniture"/>
    <s v="South"/>
    <n v="2"/>
    <n v="0.1"/>
    <n v="378"/>
    <n v="155.19"/>
  </r>
  <r>
    <s v="ORD-00114"/>
    <d v="2025-04-09T00:00:00"/>
    <s v="Customer 098"/>
    <x v="2"/>
    <s v="Furniture"/>
    <s v="East"/>
    <n v="4"/>
    <n v="0.1"/>
    <n v="198"/>
    <n v="41.76"/>
  </r>
  <r>
    <s v="ORD-00115"/>
    <d v="2025-02-21T00:00:00"/>
    <s v="Customer 039"/>
    <x v="2"/>
    <s v="Furniture"/>
    <s v="North"/>
    <n v="3"/>
    <n v="0.05"/>
    <n v="156.75"/>
    <n v="51.87"/>
  </r>
  <r>
    <s v="ORD-00116"/>
    <d v="2025-12-29T00:00:00"/>
    <s v="Customer 007"/>
    <x v="8"/>
    <s v="Office Supplies"/>
    <s v="East"/>
    <n v="2"/>
    <n v="0.1"/>
    <n v="432"/>
    <n v="187.91"/>
  </r>
  <r>
    <s v="ORD-00117"/>
    <d v="2025-12-24T00:00:00"/>
    <s v="Customer 074"/>
    <x v="3"/>
    <s v="Furniture"/>
    <s v="East"/>
    <n v="4"/>
    <n v="0"/>
    <n v="1120"/>
    <n v="181.44"/>
  </r>
  <r>
    <s v="ORD-00118"/>
    <d v="2025-08-29T00:00:00"/>
    <s v="Customer 007"/>
    <x v="6"/>
    <s v="Office Supplies"/>
    <s v="East"/>
    <n v="4"/>
    <n v="0.1"/>
    <n v="64.8"/>
    <n v="25.22"/>
  </r>
  <r>
    <s v="ORD-00119"/>
    <d v="2025-09-02T00:00:00"/>
    <s v="Customer 074"/>
    <x v="0"/>
    <s v="Technology"/>
    <s v="North"/>
    <n v="1"/>
    <n v="0.15"/>
    <n v="29.75"/>
    <n v="8.56"/>
  </r>
  <r>
    <s v="ORD-00120"/>
    <d v="2025-03-19T00:00:00"/>
    <s v="Customer 032"/>
    <x v="3"/>
    <s v="Furniture"/>
    <s v="North"/>
    <n v="5"/>
    <n v="0.1"/>
    <n v="1260"/>
    <n v="531.58000000000004"/>
  </r>
  <r>
    <s v="ORD-00121"/>
    <d v="2025-10-13T00:00:00"/>
    <s v="Customer 029"/>
    <x v="11"/>
    <s v="Furniture"/>
    <s v="West"/>
    <n v="5"/>
    <n v="0.2"/>
    <n v="760"/>
    <n v="143.68"/>
  </r>
  <r>
    <s v="ORD-00122"/>
    <d v="2025-08-19T00:00:00"/>
    <s v="Customer 040"/>
    <x v="6"/>
    <s v="Office Supplies"/>
    <s v="North"/>
    <n v="3"/>
    <n v="0.2"/>
    <n v="43.2"/>
    <n v="5.33"/>
  </r>
  <r>
    <s v="ORD-00123"/>
    <d v="2025-11-09T00:00:00"/>
    <s v="Customer 034"/>
    <x v="1"/>
    <s v="Furniture"/>
    <s v="North"/>
    <n v="1"/>
    <n v="0.05"/>
    <n v="199.5"/>
    <n v="48.59"/>
  </r>
  <r>
    <s v="ORD-00124"/>
    <d v="2025-03-22T00:00:00"/>
    <s v="Customer 001"/>
    <x v="2"/>
    <s v="Furniture"/>
    <s v="West"/>
    <n v="2"/>
    <n v="0.2"/>
    <n v="88"/>
    <n v="37.42"/>
  </r>
  <r>
    <s v="ORD-00125"/>
    <d v="2025-08-19T00:00:00"/>
    <s v="Customer 030"/>
    <x v="1"/>
    <s v="Furniture"/>
    <s v="East"/>
    <n v="5"/>
    <n v="0.15"/>
    <n v="892.5"/>
    <n v="315.83999999999997"/>
  </r>
  <r>
    <s v="ORD-00126"/>
    <d v="2025-12-28T00:00:00"/>
    <s v="Customer 034"/>
    <x v="4"/>
    <s v="Technology"/>
    <s v="South"/>
    <n v="4"/>
    <n v="0"/>
    <n v="3400"/>
    <n v="758.75"/>
  </r>
  <r>
    <s v="ORD-00127"/>
    <d v="2025-08-06T00:00:00"/>
    <s v="Customer 035"/>
    <x v="0"/>
    <s v="Technology"/>
    <s v="South"/>
    <n v="5"/>
    <n v="0.05"/>
    <n v="166.25"/>
    <n v="39.28"/>
  </r>
  <r>
    <s v="ORD-00128"/>
    <d v="2025-02-06T00:00:00"/>
    <s v="Customer 073"/>
    <x v="9"/>
    <s v="Technology"/>
    <s v="East"/>
    <n v="2"/>
    <n v="0.1"/>
    <n v="2160"/>
    <n v="547.85"/>
  </r>
  <r>
    <s v="ORD-00129"/>
    <d v="2025-08-13T00:00:00"/>
    <s v="Customer 035"/>
    <x v="0"/>
    <s v="Technology"/>
    <s v="West"/>
    <n v="4"/>
    <n v="0.1"/>
    <n v="126"/>
    <n v="27.61"/>
  </r>
  <r>
    <s v="ORD-00130"/>
    <d v="2025-08-13T00:00:00"/>
    <s v="Customer 095"/>
    <x v="0"/>
    <s v="Technology"/>
    <s v="East"/>
    <n v="5"/>
    <n v="0"/>
    <n v="175"/>
    <n v="27.39"/>
  </r>
  <r>
    <s v="ORD-00131"/>
    <d v="2025-11-06T00:00:00"/>
    <s v="Customer 087"/>
    <x v="4"/>
    <s v="Technology"/>
    <s v="North"/>
    <n v="1"/>
    <n v="0"/>
    <n v="850"/>
    <n v="318.29000000000002"/>
  </r>
  <r>
    <s v="ORD-00132"/>
    <d v="2025-12-11T00:00:00"/>
    <s v="Customer 023"/>
    <x v="4"/>
    <s v="Technology"/>
    <s v="West"/>
    <n v="5"/>
    <n v="0"/>
    <n v="4250"/>
    <n v="842.24"/>
  </r>
  <r>
    <s v="ORD-00133"/>
    <d v="2025-09-23T00:00:00"/>
    <s v="Customer 075"/>
    <x v="5"/>
    <s v="Technology"/>
    <s v="West"/>
    <n v="4"/>
    <n v="0.1"/>
    <n v="1152"/>
    <n v="449.41"/>
  </r>
  <r>
    <s v="ORD-00134"/>
    <d v="2025-11-22T00:00:00"/>
    <s v="Customer 043"/>
    <x v="6"/>
    <s v="Office Supplies"/>
    <s v="East"/>
    <n v="1"/>
    <n v="0.15"/>
    <n v="15.3"/>
    <n v="5.13"/>
  </r>
  <r>
    <s v="ORD-00135"/>
    <d v="2025-12-10T00:00:00"/>
    <s v="Customer 064"/>
    <x v="0"/>
    <s v="Technology"/>
    <s v="East"/>
    <n v="2"/>
    <n v="0.1"/>
    <n v="63"/>
    <n v="19.79"/>
  </r>
  <r>
    <s v="ORD-00136"/>
    <d v="2025-12-06T00:00:00"/>
    <s v="Customer 041"/>
    <x v="11"/>
    <s v="Furniture"/>
    <s v="East"/>
    <n v="5"/>
    <n v="0"/>
    <n v="950"/>
    <n v="284.91000000000003"/>
  </r>
  <r>
    <s v="ORD-00137"/>
    <d v="2025-06-15T00:00:00"/>
    <s v="Customer 001"/>
    <x v="0"/>
    <s v="Technology"/>
    <s v="West"/>
    <n v="4"/>
    <n v="0.2"/>
    <n v="112"/>
    <n v="19.91"/>
  </r>
  <r>
    <s v="ORD-00138"/>
    <d v="2025-07-31T00:00:00"/>
    <s v="Customer 097"/>
    <x v="9"/>
    <s v="Technology"/>
    <s v="West"/>
    <n v="2"/>
    <n v="0.2"/>
    <n v="1920"/>
    <n v="634.78"/>
  </r>
  <r>
    <s v="ORD-00139"/>
    <d v="2025-11-17T00:00:00"/>
    <s v="Customer 017"/>
    <x v="6"/>
    <s v="Office Supplies"/>
    <s v="East"/>
    <n v="1"/>
    <n v="0.05"/>
    <n v="17.100000000000001"/>
    <n v="6.19"/>
  </r>
  <r>
    <s v="ORD-00140"/>
    <d v="2025-08-13T00:00:00"/>
    <s v="Customer 081"/>
    <x v="1"/>
    <s v="Furniture"/>
    <s v="South"/>
    <n v="4"/>
    <n v="0"/>
    <n v="840"/>
    <n v="370"/>
  </r>
  <r>
    <s v="ORD-00141"/>
    <d v="2025-12-30T00:00:00"/>
    <s v="Customer 053"/>
    <x v="3"/>
    <s v="Furniture"/>
    <s v="North"/>
    <n v="3"/>
    <n v="0.2"/>
    <n v="672"/>
    <n v="299.37"/>
  </r>
  <r>
    <s v="ORD-00142"/>
    <d v="2025-04-26T00:00:00"/>
    <s v="Customer 020"/>
    <x v="0"/>
    <s v="Technology"/>
    <s v="West"/>
    <n v="4"/>
    <n v="0"/>
    <n v="140"/>
    <n v="33.08"/>
  </r>
  <r>
    <s v="ORD-00143"/>
    <d v="2025-05-30T00:00:00"/>
    <s v="Customer 061"/>
    <x v="8"/>
    <s v="Office Supplies"/>
    <s v="South"/>
    <n v="3"/>
    <n v="0.15"/>
    <n v="612"/>
    <n v="106.82"/>
  </r>
  <r>
    <s v="ORD-00144"/>
    <d v="2025-08-22T00:00:00"/>
    <s v="Customer 077"/>
    <x v="8"/>
    <s v="Office Supplies"/>
    <s v="South"/>
    <n v="2"/>
    <n v="0.15"/>
    <n v="408"/>
    <n v="157.94"/>
  </r>
  <r>
    <s v="ORD-00145"/>
    <d v="2025-02-05T00:00:00"/>
    <s v="Customer 065"/>
    <x v="4"/>
    <s v="Technology"/>
    <s v="East"/>
    <n v="4"/>
    <n v="0.1"/>
    <n v="3060"/>
    <n v="433.6"/>
  </r>
  <r>
    <s v="ORD-00146"/>
    <d v="2025-01-02T00:00:00"/>
    <s v="Customer 085"/>
    <x v="4"/>
    <s v="Technology"/>
    <s v="West"/>
    <n v="3"/>
    <n v="0.2"/>
    <n v="2040"/>
    <n v="527.6"/>
  </r>
  <r>
    <s v="ORD-00147"/>
    <d v="2025-03-18T00:00:00"/>
    <s v="Customer 071"/>
    <x v="6"/>
    <s v="Office Supplies"/>
    <s v="West"/>
    <n v="5"/>
    <n v="0.15"/>
    <n v="76.5"/>
    <n v="25.71"/>
  </r>
  <r>
    <s v="ORD-00148"/>
    <d v="2025-08-22T00:00:00"/>
    <s v="Customer 030"/>
    <x v="7"/>
    <s v="Technology"/>
    <s v="West"/>
    <n v="2"/>
    <n v="0.05"/>
    <n v="133"/>
    <n v="34.75"/>
  </r>
  <r>
    <s v="ORD-00149"/>
    <d v="2025-01-23T00:00:00"/>
    <s v="Customer 085"/>
    <x v="7"/>
    <s v="Technology"/>
    <s v="South"/>
    <n v="4"/>
    <n v="0.15"/>
    <n v="238"/>
    <n v="76.78"/>
  </r>
  <r>
    <s v="ORD-00150"/>
    <d v="2025-09-11T00:00:00"/>
    <s v="Customer 043"/>
    <x v="9"/>
    <s v="Technology"/>
    <s v="North"/>
    <n v="2"/>
    <n v="0.2"/>
    <n v="1920"/>
    <n v="252.35"/>
  </r>
  <r>
    <s v="ORD-00151"/>
    <d v="2025-08-14T00:00:00"/>
    <s v="Customer 019"/>
    <x v="0"/>
    <s v="Technology"/>
    <s v="West"/>
    <n v="5"/>
    <n v="0.15"/>
    <n v="148.75"/>
    <n v="66.180000000000007"/>
  </r>
  <r>
    <s v="ORD-00152"/>
    <d v="2025-12-02T00:00:00"/>
    <s v="Customer 034"/>
    <x v="3"/>
    <s v="Furniture"/>
    <s v="East"/>
    <n v="1"/>
    <n v="0.15"/>
    <n v="238"/>
    <n v="45.72"/>
  </r>
  <r>
    <s v="ORD-00153"/>
    <d v="2025-11-16T00:00:00"/>
    <s v="Customer 087"/>
    <x v="1"/>
    <s v="Furniture"/>
    <s v="West"/>
    <n v="4"/>
    <n v="0"/>
    <n v="840"/>
    <n v="141.88999999999999"/>
  </r>
  <r>
    <s v="ORD-00154"/>
    <d v="2025-06-12T00:00:00"/>
    <s v="Customer 009"/>
    <x v="5"/>
    <s v="Technology"/>
    <s v="South"/>
    <n v="4"/>
    <n v="0.2"/>
    <n v="1024"/>
    <n v="448.67"/>
  </r>
  <r>
    <s v="ORD-00155"/>
    <d v="2025-11-20T00:00:00"/>
    <s v="Customer 056"/>
    <x v="5"/>
    <s v="Technology"/>
    <s v="North"/>
    <n v="3"/>
    <n v="0.05"/>
    <n v="912"/>
    <n v="185.65"/>
  </r>
  <r>
    <s v="ORD-00156"/>
    <d v="2025-11-21T00:00:00"/>
    <s v="Customer 039"/>
    <x v="1"/>
    <s v="Furniture"/>
    <s v="North"/>
    <n v="1"/>
    <n v="0.15"/>
    <n v="178.5"/>
    <n v="70.53"/>
  </r>
  <r>
    <s v="ORD-00157"/>
    <d v="2025-01-24T00:00:00"/>
    <s v="Customer 056"/>
    <x v="7"/>
    <s v="Technology"/>
    <s v="South"/>
    <n v="1"/>
    <n v="0.1"/>
    <n v="63"/>
    <n v="20.9"/>
  </r>
  <r>
    <s v="ORD-00158"/>
    <d v="2025-05-06T00:00:00"/>
    <s v="Customer 024"/>
    <x v="8"/>
    <s v="Office Supplies"/>
    <s v="South"/>
    <n v="4"/>
    <n v="0.2"/>
    <n v="768"/>
    <n v="172.8"/>
  </r>
  <r>
    <s v="ORD-00159"/>
    <d v="2025-03-31T00:00:00"/>
    <s v="Customer 031"/>
    <x v="0"/>
    <s v="Technology"/>
    <s v="West"/>
    <n v="5"/>
    <n v="0.15"/>
    <n v="148.75"/>
    <n v="36.520000000000003"/>
  </r>
  <r>
    <s v="ORD-00160"/>
    <d v="2025-10-26T00:00:00"/>
    <s v="Customer 059"/>
    <x v="3"/>
    <s v="Furniture"/>
    <s v="East"/>
    <n v="2"/>
    <n v="0.15"/>
    <n v="476"/>
    <n v="114"/>
  </r>
  <r>
    <s v="ORD-00161"/>
    <d v="2025-12-08T00:00:00"/>
    <s v="Customer 021"/>
    <x v="9"/>
    <s v="Technology"/>
    <s v="North"/>
    <n v="4"/>
    <n v="0.1"/>
    <n v="4320"/>
    <n v="978"/>
  </r>
  <r>
    <s v="ORD-00162"/>
    <d v="2025-08-15T00:00:00"/>
    <s v="Customer 055"/>
    <x v="7"/>
    <s v="Technology"/>
    <s v="East"/>
    <n v="5"/>
    <n v="0.1"/>
    <n v="315"/>
    <n v="75.33"/>
  </r>
  <r>
    <s v="ORD-00163"/>
    <d v="2025-08-22T00:00:00"/>
    <s v="Customer 014"/>
    <x v="4"/>
    <s v="Technology"/>
    <s v="South"/>
    <n v="2"/>
    <n v="0.15"/>
    <n v="1445"/>
    <n v="243.34"/>
  </r>
  <r>
    <s v="ORD-00164"/>
    <d v="2025-07-15T00:00:00"/>
    <s v="Customer 090"/>
    <x v="10"/>
    <s v="Office Supplies"/>
    <s v="East"/>
    <n v="3"/>
    <n v="0.2"/>
    <n v="60"/>
    <n v="21.14"/>
  </r>
  <r>
    <s v="ORD-00165"/>
    <d v="2025-01-12T00:00:00"/>
    <s v="Customer 088"/>
    <x v="5"/>
    <s v="Technology"/>
    <s v="North"/>
    <n v="4"/>
    <n v="0.1"/>
    <n v="1152"/>
    <n v="515.32000000000005"/>
  </r>
  <r>
    <s v="ORD-00166"/>
    <d v="2025-11-07T00:00:00"/>
    <s v="Customer 030"/>
    <x v="1"/>
    <s v="Furniture"/>
    <s v="East"/>
    <n v="4"/>
    <n v="0.1"/>
    <n v="756"/>
    <n v="146.66999999999999"/>
  </r>
  <r>
    <s v="ORD-00167"/>
    <d v="2025-04-23T00:00:00"/>
    <s v="Customer 097"/>
    <x v="5"/>
    <s v="Technology"/>
    <s v="South"/>
    <n v="2"/>
    <n v="0.2"/>
    <n v="512"/>
    <n v="188.05"/>
  </r>
  <r>
    <s v="ORD-00168"/>
    <d v="2025-11-18T00:00:00"/>
    <s v="Customer 005"/>
    <x v="0"/>
    <s v="Technology"/>
    <s v="East"/>
    <n v="1"/>
    <n v="0.1"/>
    <n v="31.5"/>
    <n v="5.98"/>
  </r>
  <r>
    <s v="ORD-00169"/>
    <d v="2025-03-09T00:00:00"/>
    <s v="Customer 023"/>
    <x v="0"/>
    <s v="Technology"/>
    <s v="South"/>
    <n v="3"/>
    <n v="0.1"/>
    <n v="94.5"/>
    <n v="19.21"/>
  </r>
  <r>
    <s v="ORD-00170"/>
    <d v="2025-03-09T00:00:00"/>
    <s v="Customer 035"/>
    <x v="8"/>
    <s v="Office Supplies"/>
    <s v="South"/>
    <n v="3"/>
    <n v="0.2"/>
    <n v="576"/>
    <n v="163.82"/>
  </r>
  <r>
    <s v="ORD-00171"/>
    <d v="2025-05-12T00:00:00"/>
    <s v="Customer 060"/>
    <x v="6"/>
    <s v="Office Supplies"/>
    <s v="North"/>
    <n v="3"/>
    <n v="0.1"/>
    <n v="48.6"/>
    <n v="8.9700000000000006"/>
  </r>
  <r>
    <s v="ORD-00172"/>
    <d v="2025-03-14T00:00:00"/>
    <s v="Customer 051"/>
    <x v="2"/>
    <s v="Furniture"/>
    <s v="North"/>
    <n v="4"/>
    <n v="0.2"/>
    <n v="176"/>
    <n v="57.96"/>
  </r>
  <r>
    <s v="ORD-00173"/>
    <d v="2025-05-16T00:00:00"/>
    <s v="Customer 096"/>
    <x v="8"/>
    <s v="Office Supplies"/>
    <s v="East"/>
    <n v="1"/>
    <n v="0.15"/>
    <n v="204"/>
    <n v="66.989999999999995"/>
  </r>
  <r>
    <s v="ORD-00174"/>
    <d v="2025-10-27T00:00:00"/>
    <s v="Customer 061"/>
    <x v="11"/>
    <s v="Furniture"/>
    <s v="North"/>
    <n v="3"/>
    <n v="0"/>
    <n v="570"/>
    <n v="129.56"/>
  </r>
  <r>
    <s v="ORD-00175"/>
    <d v="2025-11-14T00:00:00"/>
    <s v="Customer 009"/>
    <x v="8"/>
    <s v="Office Supplies"/>
    <s v="West"/>
    <n v="3"/>
    <n v="0.2"/>
    <n v="576"/>
    <n v="217.12"/>
  </r>
  <r>
    <s v="ORD-00176"/>
    <d v="2025-12-25T00:00:00"/>
    <s v="Customer 005"/>
    <x v="4"/>
    <s v="Technology"/>
    <s v="East"/>
    <n v="4"/>
    <n v="0"/>
    <n v="3400"/>
    <n v="1373.17"/>
  </r>
  <r>
    <s v="ORD-00177"/>
    <d v="2025-09-10T00:00:00"/>
    <s v="Customer 018"/>
    <x v="0"/>
    <s v="Technology"/>
    <s v="West"/>
    <n v="1"/>
    <n v="0.05"/>
    <n v="33.25"/>
    <n v="5.23"/>
  </r>
  <r>
    <s v="ORD-00178"/>
    <d v="2025-08-21T00:00:00"/>
    <s v="Customer 094"/>
    <x v="7"/>
    <s v="Technology"/>
    <s v="South"/>
    <n v="5"/>
    <n v="0.15"/>
    <n v="297.5"/>
    <n v="76.209999999999994"/>
  </r>
  <r>
    <s v="ORD-00179"/>
    <d v="2025-08-01T00:00:00"/>
    <s v="Customer 036"/>
    <x v="5"/>
    <s v="Technology"/>
    <s v="North"/>
    <n v="1"/>
    <n v="0.15"/>
    <n v="272"/>
    <n v="67.14"/>
  </r>
  <r>
    <s v="ORD-00180"/>
    <d v="2025-12-20T00:00:00"/>
    <s v="Customer 031"/>
    <x v="7"/>
    <s v="Technology"/>
    <s v="East"/>
    <n v="2"/>
    <n v="0.15"/>
    <n v="119"/>
    <n v="36.090000000000003"/>
  </r>
  <r>
    <s v="ORD-00181"/>
    <d v="2025-02-20T00:00:00"/>
    <s v="Customer 083"/>
    <x v="5"/>
    <s v="Technology"/>
    <s v="East"/>
    <n v="3"/>
    <n v="0.2"/>
    <n v="768"/>
    <n v="117.07"/>
  </r>
  <r>
    <s v="ORD-00182"/>
    <d v="2025-02-01T00:00:00"/>
    <s v="Customer 059"/>
    <x v="11"/>
    <s v="Furniture"/>
    <s v="North"/>
    <n v="3"/>
    <n v="0.05"/>
    <n v="541.5"/>
    <n v="70.66"/>
  </r>
  <r>
    <s v="ORD-00183"/>
    <d v="2025-12-06T00:00:00"/>
    <s v="Customer 043"/>
    <x v="2"/>
    <s v="Furniture"/>
    <s v="South"/>
    <n v="5"/>
    <n v="0"/>
    <n v="275"/>
    <n v="119.16"/>
  </r>
  <r>
    <s v="ORD-00184"/>
    <d v="2025-03-06T00:00:00"/>
    <s v="Customer 071"/>
    <x v="10"/>
    <s v="Office Supplies"/>
    <s v="South"/>
    <n v="2"/>
    <n v="0"/>
    <n v="50"/>
    <n v="8.81"/>
  </r>
  <r>
    <s v="ORD-00185"/>
    <d v="2025-10-28T00:00:00"/>
    <s v="Customer 077"/>
    <x v="2"/>
    <s v="Furniture"/>
    <s v="North"/>
    <n v="2"/>
    <n v="0.1"/>
    <n v="99"/>
    <n v="19.25"/>
  </r>
  <r>
    <s v="ORD-00186"/>
    <d v="2025-05-22T00:00:00"/>
    <s v="Customer 023"/>
    <x v="3"/>
    <s v="Furniture"/>
    <s v="North"/>
    <n v="2"/>
    <n v="0.2"/>
    <n v="448"/>
    <n v="164.54"/>
  </r>
  <r>
    <s v="ORD-00187"/>
    <d v="2025-12-05T00:00:00"/>
    <s v="Customer 031"/>
    <x v="9"/>
    <s v="Technology"/>
    <s v="East"/>
    <n v="2"/>
    <n v="0"/>
    <n v="2400"/>
    <n v="796.27"/>
  </r>
  <r>
    <s v="ORD-00188"/>
    <d v="2025-01-09T00:00:00"/>
    <s v="Customer 054"/>
    <x v="3"/>
    <s v="Furniture"/>
    <s v="North"/>
    <n v="3"/>
    <n v="0"/>
    <n v="840"/>
    <n v="342.86"/>
  </r>
  <r>
    <s v="ORD-00189"/>
    <d v="2025-02-02T00:00:00"/>
    <s v="Customer 014"/>
    <x v="6"/>
    <s v="Office Supplies"/>
    <s v="West"/>
    <n v="4"/>
    <n v="0.1"/>
    <n v="64.8"/>
    <n v="18.18"/>
  </r>
  <r>
    <s v="ORD-00190"/>
    <d v="2025-09-15T00:00:00"/>
    <s v="Customer 085"/>
    <x v="2"/>
    <s v="Furniture"/>
    <s v="East"/>
    <n v="5"/>
    <n v="0"/>
    <n v="275"/>
    <n v="57.75"/>
  </r>
  <r>
    <s v="ORD-00191"/>
    <d v="2025-08-23T00:00:00"/>
    <s v="Customer 052"/>
    <x v="5"/>
    <s v="Technology"/>
    <s v="West"/>
    <n v="1"/>
    <n v="0"/>
    <n v="320"/>
    <n v="38.549999999999997"/>
  </r>
  <r>
    <s v="ORD-00192"/>
    <d v="2025-12-18T00:00:00"/>
    <s v="Customer 011"/>
    <x v="0"/>
    <s v="Technology"/>
    <s v="East"/>
    <n v="4"/>
    <n v="0.15"/>
    <n v="119"/>
    <n v="50.66"/>
  </r>
  <r>
    <s v="ORD-00193"/>
    <d v="2025-11-08T00:00:00"/>
    <s v="Customer 082"/>
    <x v="3"/>
    <s v="Furniture"/>
    <s v="East"/>
    <n v="1"/>
    <n v="0.05"/>
    <n v="266"/>
    <n v="95.56"/>
  </r>
  <r>
    <s v="ORD-00194"/>
    <d v="2025-07-15T00:00:00"/>
    <s v="Customer 078"/>
    <x v="10"/>
    <s v="Office Supplies"/>
    <s v="West"/>
    <n v="5"/>
    <n v="0.1"/>
    <n v="112.5"/>
    <n v="33.78"/>
  </r>
  <r>
    <s v="ORD-00195"/>
    <d v="2025-02-20T00:00:00"/>
    <s v="Customer 028"/>
    <x v="1"/>
    <s v="Furniture"/>
    <s v="West"/>
    <n v="1"/>
    <n v="0.2"/>
    <n v="168"/>
    <n v="35.64"/>
  </r>
  <r>
    <s v="ORD-00196"/>
    <d v="2025-08-20T00:00:00"/>
    <s v="Customer 052"/>
    <x v="2"/>
    <s v="Furniture"/>
    <s v="West"/>
    <n v="4"/>
    <n v="0.1"/>
    <n v="198"/>
    <n v="35.04"/>
  </r>
  <r>
    <s v="ORD-00197"/>
    <d v="2025-02-18T00:00:00"/>
    <s v="Customer 048"/>
    <x v="7"/>
    <s v="Technology"/>
    <s v="South"/>
    <n v="4"/>
    <n v="0.1"/>
    <n v="252"/>
    <n v="58.09"/>
  </r>
  <r>
    <s v="ORD-00198"/>
    <d v="2025-12-18T00:00:00"/>
    <s v="Customer 012"/>
    <x v="6"/>
    <s v="Office Supplies"/>
    <s v="West"/>
    <n v="1"/>
    <n v="0"/>
    <n v="18"/>
    <n v="3.16"/>
  </r>
  <r>
    <s v="ORD-00199"/>
    <d v="2025-02-19T00:00:00"/>
    <s v="Customer 076"/>
    <x v="1"/>
    <s v="Furniture"/>
    <s v="East"/>
    <n v="3"/>
    <n v="0.05"/>
    <n v="598.5"/>
    <n v="159.44"/>
  </r>
  <r>
    <s v="ORD-00200"/>
    <d v="2025-12-10T00:00:00"/>
    <s v="Customer 097"/>
    <x v="0"/>
    <s v="Technology"/>
    <s v="West"/>
    <n v="4"/>
    <n v="0.1"/>
    <n v="126"/>
    <n v="20.38"/>
  </r>
  <r>
    <s v="ORD-00201"/>
    <d v="2025-01-27T00:00:00"/>
    <s v="Customer 074"/>
    <x v="4"/>
    <s v="Technology"/>
    <s v="South"/>
    <n v="5"/>
    <n v="0.1"/>
    <n v="3825"/>
    <n v="1277.3800000000001"/>
  </r>
  <r>
    <s v="ORD-00202"/>
    <d v="2025-03-21T00:00:00"/>
    <s v="Customer 045"/>
    <x v="5"/>
    <s v="Technology"/>
    <s v="East"/>
    <n v="4"/>
    <n v="0.05"/>
    <n v="1216"/>
    <n v="207.21"/>
  </r>
  <r>
    <s v="ORD-00203"/>
    <d v="2025-02-28T00:00:00"/>
    <s v="Customer 072"/>
    <x v="4"/>
    <s v="Technology"/>
    <s v="North"/>
    <n v="5"/>
    <n v="0.05"/>
    <n v="4037.5"/>
    <n v="741.35"/>
  </r>
  <r>
    <s v="ORD-00204"/>
    <d v="2025-11-08T00:00:00"/>
    <s v="Customer 090"/>
    <x v="5"/>
    <s v="Technology"/>
    <s v="East"/>
    <n v="3"/>
    <n v="0"/>
    <n v="960"/>
    <n v="374.84"/>
  </r>
  <r>
    <s v="ORD-00205"/>
    <d v="2025-06-23T00:00:00"/>
    <s v="Customer 073"/>
    <x v="7"/>
    <s v="Technology"/>
    <s v="West"/>
    <n v="1"/>
    <n v="0.05"/>
    <n v="66.5"/>
    <n v="10.84"/>
  </r>
  <r>
    <s v="ORD-00206"/>
    <d v="2025-02-05T00:00:00"/>
    <s v="Customer 028"/>
    <x v="3"/>
    <s v="Furniture"/>
    <s v="West"/>
    <n v="1"/>
    <n v="0"/>
    <n v="280"/>
    <n v="57.06"/>
  </r>
  <r>
    <s v="ORD-00207"/>
    <d v="2025-08-03T00:00:00"/>
    <s v="Customer 093"/>
    <x v="6"/>
    <s v="Office Supplies"/>
    <s v="East"/>
    <n v="3"/>
    <n v="0.05"/>
    <n v="51.3"/>
    <n v="16.82"/>
  </r>
  <r>
    <s v="ORD-00208"/>
    <d v="2025-10-18T00:00:00"/>
    <s v="Customer 097"/>
    <x v="10"/>
    <s v="Office Supplies"/>
    <s v="North"/>
    <n v="1"/>
    <n v="0"/>
    <n v="25"/>
    <n v="9.9700000000000006"/>
  </r>
  <r>
    <s v="ORD-00209"/>
    <d v="2025-12-12T00:00:00"/>
    <s v="Customer 063"/>
    <x v="0"/>
    <s v="Technology"/>
    <s v="West"/>
    <n v="3"/>
    <n v="0.15"/>
    <n v="89.25"/>
    <n v="20.67"/>
  </r>
  <r>
    <s v="ORD-00210"/>
    <d v="2025-08-01T00:00:00"/>
    <s v="Customer 056"/>
    <x v="4"/>
    <s v="Technology"/>
    <s v="North"/>
    <n v="2"/>
    <n v="0.2"/>
    <n v="1360"/>
    <n v="560.91999999999996"/>
  </r>
  <r>
    <s v="ORD-00211"/>
    <d v="2025-05-26T00:00:00"/>
    <s v="Customer 040"/>
    <x v="5"/>
    <s v="Technology"/>
    <s v="North"/>
    <n v="5"/>
    <n v="0.15"/>
    <n v="1360"/>
    <n v="375.51"/>
  </r>
  <r>
    <s v="ORD-00212"/>
    <d v="2025-04-23T00:00:00"/>
    <s v="Customer 039"/>
    <x v="11"/>
    <s v="Furniture"/>
    <s v="South"/>
    <n v="5"/>
    <n v="0"/>
    <n v="950"/>
    <n v="425.09"/>
  </r>
  <r>
    <s v="ORD-00213"/>
    <d v="2025-03-12T00:00:00"/>
    <s v="Customer 064"/>
    <x v="4"/>
    <s v="Technology"/>
    <s v="West"/>
    <n v="3"/>
    <n v="0.1"/>
    <n v="2295"/>
    <n v="941.88"/>
  </r>
  <r>
    <s v="ORD-00214"/>
    <d v="2025-03-31T00:00:00"/>
    <s v="Customer 065"/>
    <x v="3"/>
    <s v="Furniture"/>
    <s v="East"/>
    <n v="4"/>
    <n v="0.2"/>
    <n v="896"/>
    <n v="195.14"/>
  </r>
  <r>
    <s v="ORD-00215"/>
    <d v="2025-02-06T00:00:00"/>
    <s v="Customer 010"/>
    <x v="11"/>
    <s v="Furniture"/>
    <s v="East"/>
    <n v="1"/>
    <n v="0.15"/>
    <n v="161.5"/>
    <n v="71.680000000000007"/>
  </r>
  <r>
    <s v="ORD-00216"/>
    <d v="2025-10-22T00:00:00"/>
    <s v="Customer 054"/>
    <x v="11"/>
    <s v="Furniture"/>
    <s v="East"/>
    <n v="5"/>
    <n v="0.15"/>
    <n v="807.5"/>
    <n v="174.31"/>
  </r>
  <r>
    <s v="ORD-00217"/>
    <d v="2025-02-28T00:00:00"/>
    <s v="Customer 080"/>
    <x v="11"/>
    <s v="Furniture"/>
    <s v="West"/>
    <n v="1"/>
    <n v="0.1"/>
    <n v="171"/>
    <n v="67.25"/>
  </r>
  <r>
    <s v="ORD-00218"/>
    <d v="2025-12-20T00:00:00"/>
    <s v="Customer 032"/>
    <x v="7"/>
    <s v="Technology"/>
    <s v="West"/>
    <n v="1"/>
    <n v="0.15"/>
    <n v="59.5"/>
    <n v="10.19"/>
  </r>
  <r>
    <s v="ORD-00219"/>
    <d v="2025-10-29T00:00:00"/>
    <s v="Customer 040"/>
    <x v="11"/>
    <s v="Furniture"/>
    <s v="East"/>
    <n v="5"/>
    <n v="0"/>
    <n v="950"/>
    <n v="303.43"/>
  </r>
  <r>
    <s v="ORD-00220"/>
    <d v="2025-04-24T00:00:00"/>
    <s v="Customer 015"/>
    <x v="7"/>
    <s v="Technology"/>
    <s v="South"/>
    <n v="2"/>
    <n v="0"/>
    <n v="140"/>
    <n v="39.42"/>
  </r>
  <r>
    <s v="ORD-00221"/>
    <d v="2025-06-28T00:00:00"/>
    <s v="Customer 033"/>
    <x v="7"/>
    <s v="Technology"/>
    <s v="South"/>
    <n v="2"/>
    <n v="0.05"/>
    <n v="133"/>
    <n v="55.34"/>
  </r>
  <r>
    <s v="ORD-00222"/>
    <d v="2025-03-30T00:00:00"/>
    <s v="Customer 099"/>
    <x v="10"/>
    <s v="Office Supplies"/>
    <s v="West"/>
    <n v="2"/>
    <n v="0"/>
    <n v="50"/>
    <n v="19.579999999999998"/>
  </r>
  <r>
    <s v="ORD-00223"/>
    <d v="2025-08-26T00:00:00"/>
    <s v="Customer 073"/>
    <x v="10"/>
    <s v="Office Supplies"/>
    <s v="East"/>
    <n v="5"/>
    <n v="0.15"/>
    <n v="106.25"/>
    <n v="23.93"/>
  </r>
  <r>
    <s v="ORD-00224"/>
    <d v="2025-11-18T00:00:00"/>
    <s v="Customer 057"/>
    <x v="7"/>
    <s v="Technology"/>
    <s v="East"/>
    <n v="2"/>
    <n v="0.15"/>
    <n v="119"/>
    <n v="50.87"/>
  </r>
  <r>
    <s v="ORD-00225"/>
    <d v="2025-05-21T00:00:00"/>
    <s v="Customer 040"/>
    <x v="10"/>
    <s v="Office Supplies"/>
    <s v="West"/>
    <n v="1"/>
    <n v="0.1"/>
    <n v="22.5"/>
    <n v="6.36"/>
  </r>
  <r>
    <s v="ORD-00226"/>
    <d v="2025-08-20T00:00:00"/>
    <s v="Customer 010"/>
    <x v="9"/>
    <s v="Technology"/>
    <s v="North"/>
    <n v="1"/>
    <n v="0.1"/>
    <n v="1080"/>
    <n v="189.58"/>
  </r>
  <r>
    <s v="ORD-00227"/>
    <d v="2025-11-11T00:00:00"/>
    <s v="Customer 071"/>
    <x v="10"/>
    <s v="Office Supplies"/>
    <s v="North"/>
    <n v="5"/>
    <n v="0.15"/>
    <n v="106.25"/>
    <n v="31.59"/>
  </r>
  <r>
    <s v="ORD-00228"/>
    <d v="2025-08-19T00:00:00"/>
    <s v="Customer 065"/>
    <x v="10"/>
    <s v="Office Supplies"/>
    <s v="South"/>
    <n v="2"/>
    <n v="0.1"/>
    <n v="45"/>
    <n v="11.27"/>
  </r>
  <r>
    <s v="ORD-00229"/>
    <d v="2025-02-01T00:00:00"/>
    <s v="Customer 011"/>
    <x v="6"/>
    <s v="Office Supplies"/>
    <s v="South"/>
    <n v="1"/>
    <n v="0.1"/>
    <n v="16.2"/>
    <n v="2.04"/>
  </r>
  <r>
    <s v="ORD-00230"/>
    <d v="2025-01-21T00:00:00"/>
    <s v="Customer 079"/>
    <x v="2"/>
    <s v="Furniture"/>
    <s v="South"/>
    <n v="4"/>
    <n v="0.15"/>
    <n v="187"/>
    <n v="51.81"/>
  </r>
  <r>
    <s v="ORD-00231"/>
    <d v="2025-07-06T00:00:00"/>
    <s v="Customer 044"/>
    <x v="7"/>
    <s v="Technology"/>
    <s v="North"/>
    <n v="3"/>
    <n v="0.15"/>
    <n v="178.5"/>
    <n v="56.25"/>
  </r>
  <r>
    <s v="ORD-00232"/>
    <d v="2025-11-20T00:00:00"/>
    <m/>
    <x v="5"/>
    <s v="Technology"/>
    <s v="West"/>
    <n v="3"/>
    <n v="0"/>
    <n v="960"/>
    <n v="327.55"/>
  </r>
  <r>
    <s v="ORD-00233"/>
    <d v="2025-05-26T00:00:00"/>
    <s v="Customer 075"/>
    <x v="4"/>
    <s v="Technology"/>
    <s v="South"/>
    <n v="5"/>
    <n v="0.05"/>
    <n v="4037.5"/>
    <n v="1372.71"/>
  </r>
  <r>
    <s v="ORD-00234"/>
    <d v="2025-06-29T00:00:00"/>
    <s v="Customer 011"/>
    <x v="4"/>
    <s v="Technology"/>
    <s v="East"/>
    <n v="4"/>
    <n v="0.05"/>
    <n v="3230"/>
    <n v="819.25"/>
  </r>
  <r>
    <s v="ORD-00235"/>
    <d v="2025-10-14T00:00:00"/>
    <s v="Customer 095"/>
    <x v="11"/>
    <s v="Furniture"/>
    <s v="North"/>
    <n v="3"/>
    <n v="0.05"/>
    <n v="541.5"/>
    <n v="123.93"/>
  </r>
  <r>
    <s v="ORD-00236"/>
    <d v="2025-11-27T00:00:00"/>
    <s v="Customer 047"/>
    <x v="5"/>
    <s v="Technology"/>
    <s v="East"/>
    <n v="4"/>
    <n v="0.2"/>
    <n v="1024"/>
    <n v="338.53"/>
  </r>
  <r>
    <s v="ORD-00237"/>
    <d v="2025-04-03T00:00:00"/>
    <s v="Customer 018"/>
    <x v="2"/>
    <s v="Furniture"/>
    <s v="South"/>
    <n v="3"/>
    <n v="0.15"/>
    <n v="140.25"/>
    <n v="54.23"/>
  </r>
  <r>
    <s v="ORD-00238"/>
    <d v="2025-02-09T00:00:00"/>
    <s v="Customer 095"/>
    <x v="4"/>
    <s v="Technology"/>
    <s v="North"/>
    <n v="1"/>
    <n v="0.2"/>
    <n v="680"/>
    <n v="133.02000000000001"/>
  </r>
  <r>
    <s v="ORD-00239"/>
    <d v="2025-12-05T00:00:00"/>
    <s v="Customer 020"/>
    <x v="7"/>
    <s v="Technology"/>
    <s v="South"/>
    <n v="5"/>
    <n v="0.05"/>
    <n v="332.5"/>
    <n v="84.09"/>
  </r>
  <r>
    <s v="ORD-00240"/>
    <d v="2025-04-03T00:00:00"/>
    <s v="Customer 006"/>
    <x v="1"/>
    <s v="Furniture"/>
    <s v="West"/>
    <n v="5"/>
    <n v="0.05"/>
    <n v="997.5"/>
    <n v="211.48"/>
  </r>
  <r>
    <s v="ORD-00241"/>
    <d v="2025-07-06T00:00:00"/>
    <s v="Customer 097"/>
    <x v="5"/>
    <s v="Technology"/>
    <s v="West"/>
    <n v="2"/>
    <n v="0.15"/>
    <n v="544"/>
    <n v="135.19"/>
  </r>
  <r>
    <s v="ORD-00242"/>
    <d v="2025-04-30T00:00:00"/>
    <s v="Customer 061"/>
    <x v="8"/>
    <s v="Office Supplies"/>
    <s v="South"/>
    <n v="2"/>
    <n v="0.1"/>
    <n v="432"/>
    <n v="56.74"/>
  </r>
  <r>
    <s v="ORD-00243"/>
    <d v="2025-07-08T00:00:00"/>
    <s v="Customer 037"/>
    <x v="5"/>
    <s v="Technology"/>
    <s v="West"/>
    <n v="5"/>
    <n v="0.15"/>
    <n v="1360"/>
    <n v="404.8"/>
  </r>
  <r>
    <s v="ORD-00244"/>
    <d v="2025-09-15T00:00:00"/>
    <s v="Customer 078"/>
    <x v="8"/>
    <s v="Office Supplies"/>
    <s v="South"/>
    <n v="4"/>
    <n v="0.05"/>
    <n v="912"/>
    <n v="164.55"/>
  </r>
  <r>
    <s v="ORD-00245"/>
    <d v="2025-05-09T00:00:00"/>
    <s v="Customer 014"/>
    <x v="9"/>
    <s v="Technology"/>
    <s v="North"/>
    <n v="4"/>
    <n v="0.1"/>
    <n v="4320"/>
    <n v="1153.45"/>
  </r>
  <r>
    <s v="ORD-00246"/>
    <d v="2025-05-26T00:00:00"/>
    <s v="Customer 066"/>
    <x v="0"/>
    <s v="Technology"/>
    <s v="South"/>
    <n v="2"/>
    <n v="0.1"/>
    <n v="63"/>
    <n v="19.010000000000002"/>
  </r>
  <r>
    <s v="ORD-00247"/>
    <d v="2025-08-12T00:00:00"/>
    <s v="Customer 004"/>
    <x v="0"/>
    <s v="Technology"/>
    <s v="West"/>
    <n v="2"/>
    <n v="0.15"/>
    <n v="59.5"/>
    <n v="9.41"/>
  </r>
  <r>
    <s v="ORD-00248"/>
    <d v="2025-01-28T00:00:00"/>
    <s v="Customer 011"/>
    <x v="11"/>
    <s v="Furniture"/>
    <s v="East"/>
    <n v="5"/>
    <n v="0.1"/>
    <n v="855"/>
    <n v="318.23"/>
  </r>
  <r>
    <s v="ORD-00249"/>
    <d v="2025-04-25T00:00:00"/>
    <s v="Customer 084"/>
    <x v="9"/>
    <s v="Technology"/>
    <s v="East"/>
    <n v="3"/>
    <n v="0"/>
    <n v="3600"/>
    <n v="623.05999999999995"/>
  </r>
  <r>
    <s v="ORD-00250"/>
    <d v="2025-03-16T00:00:00"/>
    <s v="Customer 061"/>
    <x v="3"/>
    <s v="Furniture"/>
    <s v="South"/>
    <n v="1"/>
    <n v="0.1"/>
    <n v="252"/>
    <n v="37.11"/>
  </r>
  <r>
    <s v="ORD-00251"/>
    <d v="2025-12-28T00:00:00"/>
    <s v="Customer 011"/>
    <x v="6"/>
    <s v="Office Supplies"/>
    <s v="North"/>
    <n v="4"/>
    <n v="0.2"/>
    <n v="57.6"/>
    <n v="25.82"/>
  </r>
  <r>
    <s v="ORD-00252"/>
    <d v="2025-05-12T00:00:00"/>
    <s v="Customer 078"/>
    <x v="2"/>
    <s v="Furniture"/>
    <s v="West"/>
    <n v="2"/>
    <n v="0.2"/>
    <n v="88"/>
    <n v="12.3"/>
  </r>
  <r>
    <s v="ORD-00253"/>
    <d v="2025-02-26T00:00:00"/>
    <s v="Customer 031"/>
    <x v="4"/>
    <s v="Technology"/>
    <s v="West"/>
    <n v="2"/>
    <n v="0.1"/>
    <n v="1530"/>
    <n v="626.98"/>
  </r>
  <r>
    <s v="ORD-00254"/>
    <d v="2025-11-24T00:00:00"/>
    <s v="Customer 064"/>
    <x v="10"/>
    <s v="Office Supplies"/>
    <s v="North"/>
    <n v="4"/>
    <n v="0"/>
    <n v="100"/>
    <n v="41.34"/>
  </r>
  <r>
    <s v="ORD-00255"/>
    <d v="2025-11-20T00:00:00"/>
    <s v="Customer 038"/>
    <x v="8"/>
    <s v="Office Supplies"/>
    <s v="West"/>
    <n v="5"/>
    <n v="0.05"/>
    <n v="1140"/>
    <n v="242.68"/>
  </r>
  <r>
    <s v="ORD-00256"/>
    <d v="2025-01-01T00:00:00"/>
    <s v="Customer 024"/>
    <x v="10"/>
    <s v="Office Supplies"/>
    <s v="North"/>
    <n v="3"/>
    <n v="0.05"/>
    <n v="71.25"/>
    <n v="18.64"/>
  </r>
  <r>
    <s v="ORD-00257"/>
    <d v="2025-09-26T00:00:00"/>
    <s v="Customer 065"/>
    <x v="7"/>
    <s v="Technology"/>
    <s v="North"/>
    <n v="1"/>
    <n v="0.2"/>
    <n v="56"/>
    <n v="15.15"/>
  </r>
  <r>
    <s v="ORD-00258"/>
    <d v="2025-07-19T00:00:00"/>
    <s v="Customer 033"/>
    <x v="6"/>
    <s v="Office Supplies"/>
    <s v="North"/>
    <n v="1"/>
    <n v="0.15"/>
    <n v="15.3"/>
    <n v="1.93"/>
  </r>
  <r>
    <s v="ORD-00259"/>
    <d v="2025-07-02T00:00:00"/>
    <s v="Customer 081"/>
    <x v="0"/>
    <s v="Technology"/>
    <s v="North"/>
    <n v="3"/>
    <n v="0.05"/>
    <n v="99.75"/>
    <n v="20.76"/>
  </r>
  <r>
    <s v="ORD-00260"/>
    <d v="2025-10-25T00:00:00"/>
    <s v="Customer 070"/>
    <x v="1"/>
    <s v="Furniture"/>
    <s v="East"/>
    <n v="3"/>
    <n v="0.05"/>
    <n v="598.5"/>
    <n v="260.57"/>
  </r>
  <r>
    <s v="ORD-00261"/>
    <d v="2025-11-26T00:00:00"/>
    <s v="Customer 018"/>
    <x v="3"/>
    <s v="Furniture"/>
    <s v="North"/>
    <n v="4"/>
    <n v="0.15"/>
    <n v="952"/>
    <n v="229.93"/>
  </r>
  <r>
    <s v="ORD-00262"/>
    <d v="2025-08-23T00:00:00"/>
    <s v="Customer 026"/>
    <x v="9"/>
    <s v="Technology"/>
    <s v="North"/>
    <n v="3"/>
    <n v="0.05"/>
    <n v="3420"/>
    <n v="1489.56"/>
  </r>
  <r>
    <s v="ORD-00263"/>
    <d v="2025-06-11T00:00:00"/>
    <s v="Customer 070"/>
    <x v="4"/>
    <s v="Technology"/>
    <s v="West"/>
    <n v="5"/>
    <n v="0.15"/>
    <n v="3612.5"/>
    <n v="446.47"/>
  </r>
  <r>
    <s v="ORD-00264"/>
    <d v="2025-05-10T00:00:00"/>
    <s v="Customer 100"/>
    <x v="9"/>
    <s v="Technology"/>
    <s v="North"/>
    <n v="2"/>
    <n v="0.1"/>
    <n v="2160"/>
    <n v="717.55"/>
  </r>
  <r>
    <s v="ORD-00265"/>
    <d v="2025-12-02T00:00:00"/>
    <s v="Customer 056"/>
    <x v="7"/>
    <s v="Technology"/>
    <s v="West"/>
    <n v="3"/>
    <n v="0"/>
    <n v="210"/>
    <n v="39.11"/>
  </r>
  <r>
    <s v="ORD-00266"/>
    <d v="2025-08-14T00:00:00"/>
    <s v="Customer 064"/>
    <x v="11"/>
    <s v="Furniture"/>
    <s v="East"/>
    <n v="3"/>
    <n v="0.05"/>
    <n v="541.5"/>
    <n v="155.01"/>
  </r>
  <r>
    <s v="ORD-00267"/>
    <d v="2025-09-23T00:00:00"/>
    <s v="Customer 078"/>
    <x v="4"/>
    <s v="Technology"/>
    <s v="South"/>
    <n v="1"/>
    <n v="0.15"/>
    <n v="722.5"/>
    <n v="306.31"/>
  </r>
  <r>
    <s v="ORD-00268"/>
    <d v="2025-10-07T00:00:00"/>
    <s v="Customer 085"/>
    <x v="4"/>
    <s v="Technology"/>
    <s v="East"/>
    <n v="3"/>
    <n v="0"/>
    <n v="2550"/>
    <n v="1080.1199999999999"/>
  </r>
  <r>
    <s v="ORD-00269"/>
    <d v="2025-06-06T00:00:00"/>
    <s v="Customer 057"/>
    <x v="6"/>
    <s v="Office Supplies"/>
    <s v="East"/>
    <n v="5"/>
    <n v="0.15"/>
    <n v="76.5"/>
    <n v="30.22"/>
  </r>
  <r>
    <s v="ORD-00270"/>
    <d v="2025-08-17T00:00:00"/>
    <s v="Customer 036"/>
    <x v="9"/>
    <s v="Technology"/>
    <s v="North"/>
    <n v="3"/>
    <n v="0.2"/>
    <n v="2880"/>
    <n v="347.36"/>
  </r>
  <r>
    <s v="ORD-00271"/>
    <d v="2025-02-08T00:00:00"/>
    <s v="Customer 096"/>
    <x v="5"/>
    <s v="Technology"/>
    <s v="South"/>
    <n v="4"/>
    <n v="0.1"/>
    <n v="1152"/>
    <n v="323.35000000000002"/>
  </r>
  <r>
    <s v="ORD-00272"/>
    <d v="2025-01-16T00:00:00"/>
    <s v="Customer 009"/>
    <x v="3"/>
    <s v="Furniture"/>
    <s v="South"/>
    <n v="5"/>
    <n v="0.15"/>
    <n v="1190"/>
    <n v="521.83000000000004"/>
  </r>
  <r>
    <s v="ORD-00273"/>
    <d v="2025-11-27T00:00:00"/>
    <s v="Customer 005"/>
    <x v="7"/>
    <s v="Technology"/>
    <s v="South"/>
    <n v="3"/>
    <n v="0.15"/>
    <n v="178.5"/>
    <n v="24.4"/>
  </r>
  <r>
    <s v="ORD-00274"/>
    <d v="2025-12-14T00:00:00"/>
    <s v="Customer 010"/>
    <x v="6"/>
    <s v="Office Supplies"/>
    <s v="South"/>
    <n v="3"/>
    <n v="0.1"/>
    <n v="48.6"/>
    <n v="14.75"/>
  </r>
  <r>
    <s v="ORD-00275"/>
    <d v="2025-09-29T00:00:00"/>
    <s v="Customer 032"/>
    <x v="7"/>
    <s v="Technology"/>
    <s v="North"/>
    <n v="4"/>
    <n v="0.1"/>
    <n v="252"/>
    <n v="59.38"/>
  </r>
  <r>
    <s v="ORD-00276"/>
    <d v="2025-01-14T00:00:00"/>
    <s v="Customer 072"/>
    <x v="1"/>
    <s v="Furniture"/>
    <s v="North"/>
    <n v="2"/>
    <n v="0.15"/>
    <n v="357"/>
    <n v="99.65"/>
  </r>
  <r>
    <s v="ORD-00277"/>
    <d v="2025-05-15T00:00:00"/>
    <s v="Customer 037"/>
    <x v="4"/>
    <s v="Technology"/>
    <s v="West"/>
    <n v="4"/>
    <n v="0.05"/>
    <n v="3230"/>
    <n v="391.47"/>
  </r>
  <r>
    <s v="ORD-00278"/>
    <d v="2025-04-13T00:00:00"/>
    <s v="Customer 092"/>
    <x v="0"/>
    <s v="Technology"/>
    <s v="West"/>
    <n v="2"/>
    <n v="0"/>
    <n v="70"/>
    <n v="21.06"/>
  </r>
  <r>
    <s v="ORD-00279"/>
    <d v="2025-02-14T00:00:00"/>
    <s v="Customer 071"/>
    <x v="5"/>
    <s v="Technology"/>
    <s v="East"/>
    <n v="3"/>
    <n v="0.1"/>
    <n v="864"/>
    <n v="186.5"/>
  </r>
  <r>
    <s v="ORD-00280"/>
    <d v="2025-06-03T00:00:00"/>
    <s v="Customer 016"/>
    <x v="3"/>
    <s v="Furniture"/>
    <s v="South"/>
    <n v="2"/>
    <n v="0.1"/>
    <n v="504"/>
    <n v="142.18"/>
  </r>
  <r>
    <s v="ORD-00281"/>
    <d v="2025-03-13T00:00:00"/>
    <s v="Customer 074"/>
    <x v="2"/>
    <s v="Furniture"/>
    <s v="East"/>
    <n v="4"/>
    <n v="0"/>
    <n v="220"/>
    <n v="72.8"/>
  </r>
  <r>
    <s v="ORD-00282"/>
    <d v="2025-08-28T00:00:00"/>
    <s v="Customer 009"/>
    <x v="8"/>
    <s v="Office Supplies"/>
    <s v="East"/>
    <n v="2"/>
    <n v="0.2"/>
    <n v="384"/>
    <n v="60.75"/>
  </r>
  <r>
    <s v="ORD-00283"/>
    <d v="2025-07-23T00:00:00"/>
    <s v="Customer 053"/>
    <x v="1"/>
    <s v="Furniture"/>
    <s v="North"/>
    <n v="4"/>
    <n v="0.2"/>
    <n v="672"/>
    <n v="211.3"/>
  </r>
  <r>
    <s v="ORD-00284"/>
    <d v="2025-03-06T00:00:00"/>
    <s v="Customer 067"/>
    <x v="7"/>
    <s v="Technology"/>
    <s v="East"/>
    <n v="1"/>
    <n v="0.15"/>
    <n v="59.5"/>
    <n v="17.63"/>
  </r>
  <r>
    <s v="ORD-00285"/>
    <d v="2025-03-07T00:00:00"/>
    <s v="Customer 017"/>
    <x v="8"/>
    <s v="Office Supplies"/>
    <s v="West"/>
    <n v="5"/>
    <n v="0.05"/>
    <n v="1140"/>
    <n v="224.16"/>
  </r>
  <r>
    <s v="ORD-00286"/>
    <d v="2025-09-15T00:00:00"/>
    <s v="Customer 022"/>
    <x v="9"/>
    <s v="Technology"/>
    <s v="South"/>
    <n v="1"/>
    <n v="0.2"/>
    <n v="960"/>
    <n v="383.52"/>
  </r>
  <r>
    <s v="ORD-00287"/>
    <d v="2025-06-15T00:00:00"/>
    <s v="Customer 067"/>
    <x v="1"/>
    <s v="Furniture"/>
    <s v="East"/>
    <n v="2"/>
    <n v="0.1"/>
    <n v="378"/>
    <n v="51.91"/>
  </r>
  <r>
    <s v="ORD-00288"/>
    <d v="2025-02-10T00:00:00"/>
    <s v="Customer 081"/>
    <x v="4"/>
    <s v="Technology"/>
    <s v="East"/>
    <n v="2"/>
    <n v="0.2"/>
    <n v="1360"/>
    <n v="488.83"/>
  </r>
  <r>
    <s v="ORD-00289"/>
    <d v="2025-11-11T00:00:00"/>
    <s v="Customer 076"/>
    <x v="8"/>
    <s v="Office Supplies"/>
    <s v="South"/>
    <n v="1"/>
    <n v="0.2"/>
    <n v="192"/>
    <n v="45.79"/>
  </r>
  <r>
    <s v="ORD-00290"/>
    <d v="2025-03-29T00:00:00"/>
    <s v="Customer 073"/>
    <x v="5"/>
    <s v="Technology"/>
    <s v="North"/>
    <n v="5"/>
    <n v="0.2"/>
    <n v="1280"/>
    <n v="433.39"/>
  </r>
  <r>
    <s v="ORD-00291"/>
    <d v="2025-01-15T00:00:00"/>
    <s v="Customer 027"/>
    <x v="0"/>
    <s v="Technology"/>
    <s v="West"/>
    <n v="1"/>
    <n v="0.2"/>
    <n v="28"/>
    <n v="10.15"/>
  </r>
  <r>
    <s v="ORD-00292"/>
    <d v="2025-11-13T00:00:00"/>
    <s v="Customer 070"/>
    <x v="5"/>
    <s v="Technology"/>
    <s v="East"/>
    <n v="1"/>
    <n v="0.15"/>
    <n v="272"/>
    <n v="42.6"/>
  </r>
  <r>
    <s v="ORD-00293"/>
    <d v="2025-11-25T00:00:00"/>
    <s v="Customer 088"/>
    <x v="4"/>
    <s v="Technology"/>
    <s v="West"/>
    <n v="4"/>
    <n v="0.05"/>
    <n v="3230"/>
    <n v="595.78"/>
  </r>
  <r>
    <s v="ORD-00294"/>
    <d v="2025-06-02T00:00:00"/>
    <s v="Customer 054"/>
    <x v="6"/>
    <s v="Office Supplies"/>
    <s v="West"/>
    <n v="1"/>
    <n v="0"/>
    <n v="18"/>
    <n v="7.16"/>
  </r>
  <r>
    <s v="ORD-00295"/>
    <d v="2025-08-26T00:00:00"/>
    <s v="Customer 092"/>
    <x v="2"/>
    <s v="Furniture"/>
    <s v="East"/>
    <n v="3"/>
    <n v="0.2"/>
    <n v="132"/>
    <n v="53.14"/>
  </r>
  <r>
    <s v="ORD-00296"/>
    <d v="2025-06-26T00:00:00"/>
    <s v="Customer 014"/>
    <x v="11"/>
    <s v="Furniture"/>
    <s v="East"/>
    <n v="2"/>
    <n v="0.1"/>
    <n v="342"/>
    <n v="95.78"/>
  </r>
  <r>
    <s v="ORD-00297"/>
    <d v="2025-05-04T00:00:00"/>
    <s v="Customer 019"/>
    <x v="6"/>
    <s v="Office Supplies"/>
    <s v="North"/>
    <n v="1"/>
    <n v="0.1"/>
    <n v="16.2"/>
    <n v="4.8899999999999997"/>
  </r>
  <r>
    <s v="ORD-00298"/>
    <d v="2025-01-26T00:00:00"/>
    <s v="Customer 021"/>
    <x v="4"/>
    <s v="Technology"/>
    <s v="East"/>
    <n v="4"/>
    <n v="0.2"/>
    <n v="2720"/>
    <n v="848.68"/>
  </r>
  <r>
    <s v="ORD-00299"/>
    <d v="2025-10-23T00:00:00"/>
    <s v="Customer 064"/>
    <x v="1"/>
    <s v="Furniture"/>
    <s v="West"/>
    <n v="3"/>
    <n v="0.05"/>
    <n v="598.5"/>
    <n v="118.6"/>
  </r>
  <r>
    <s v="ORD-00300"/>
    <d v="2025-09-13T00:00:00"/>
    <s v="Customer 051"/>
    <x v="4"/>
    <s v="Technology"/>
    <s v="West"/>
    <n v="4"/>
    <n v="0"/>
    <n v="3400"/>
    <n v="1428.96"/>
  </r>
  <r>
    <s v="ORD-00301"/>
    <d v="2025-05-04T00:00:00"/>
    <s v="Customer 037"/>
    <x v="2"/>
    <s v="Furniture"/>
    <s v="West"/>
    <n v="5"/>
    <n v="0.1"/>
    <n v="247.5"/>
    <n v="107.4"/>
  </r>
  <r>
    <s v="ORD-00302"/>
    <d v="2025-11-02T00:00:00"/>
    <s v="Customer 014"/>
    <x v="5"/>
    <s v="Technology"/>
    <s v="West"/>
    <n v="4"/>
    <n v="0.1"/>
    <n v="1152"/>
    <n v="314.37"/>
  </r>
  <r>
    <s v="ORD-00303"/>
    <d v="2025-03-10T00:00:00"/>
    <s v="Customer 052"/>
    <x v="4"/>
    <s v="Technology"/>
    <s v="North"/>
    <n v="3"/>
    <n v="0.15"/>
    <n v="2167.5"/>
    <n v="713.63"/>
  </r>
  <r>
    <s v="ORD-00304"/>
    <d v="2025-10-19T00:00:00"/>
    <s v="Customer 010"/>
    <x v="8"/>
    <s v="Office Supplies"/>
    <s v="West"/>
    <n v="2"/>
    <n v="0.1"/>
    <n v="432"/>
    <n v="115.53"/>
  </r>
  <r>
    <s v="ORD-00305"/>
    <d v="2025-09-16T00:00:00"/>
    <s v="Customer 080"/>
    <x v="6"/>
    <s v="Office Supplies"/>
    <s v="North"/>
    <n v="5"/>
    <n v="0.1"/>
    <n v="81"/>
    <n v="14.39"/>
  </r>
  <r>
    <s v="ORD-00306"/>
    <d v="2025-03-07T00:00:00"/>
    <s v="Customer 044"/>
    <x v="0"/>
    <s v="Technology"/>
    <s v="East"/>
    <n v="4"/>
    <n v="0.1"/>
    <n v="126"/>
    <n v="23.65"/>
  </r>
  <r>
    <s v="ORD-00307"/>
    <d v="2025-03-15T00:00:00"/>
    <s v="Customer 006"/>
    <x v="2"/>
    <s v="Furniture"/>
    <s v="North"/>
    <n v="5"/>
    <n v="0.2"/>
    <n v="220"/>
    <n v="69.86"/>
  </r>
  <r>
    <s v="ORD-00308"/>
    <d v="2025-01-20T00:00:00"/>
    <s v="Customer 020"/>
    <x v="3"/>
    <s v="Furniture"/>
    <s v="South"/>
    <n v="3"/>
    <n v="0.15"/>
    <n v="714"/>
    <n v="198.93"/>
  </r>
  <r>
    <s v="ORD-00309"/>
    <d v="2025-06-17T00:00:00"/>
    <s v="Customer 079"/>
    <x v="10"/>
    <s v="Office Supplies"/>
    <s v="East"/>
    <n v="3"/>
    <n v="0.05"/>
    <n v="71.25"/>
    <n v="22.82"/>
  </r>
  <r>
    <s v="ORD-00310"/>
    <d v="2025-10-31T00:00:00"/>
    <s v="Customer 091"/>
    <x v="7"/>
    <s v="Technology"/>
    <s v="East"/>
    <n v="5"/>
    <n v="0.2"/>
    <n v="280"/>
    <n v="76.81"/>
  </r>
  <r>
    <s v="ORD-00311"/>
    <d v="2025-09-01T00:00:00"/>
    <s v="Customer 054"/>
    <x v="9"/>
    <s v="Technology"/>
    <s v="East"/>
    <n v="3"/>
    <n v="0.1"/>
    <n v="3240"/>
    <n v="737.57"/>
  </r>
  <r>
    <s v="ORD-00312"/>
    <d v="2025-12-19T00:00:00"/>
    <s v="Customer 084"/>
    <x v="5"/>
    <s v="Technology"/>
    <s v="South"/>
    <n v="1"/>
    <n v="0.2"/>
    <n v="256"/>
    <n v="75.11"/>
  </r>
  <r>
    <s v="ORD-00313"/>
    <d v="2025-01-27T00:00:00"/>
    <s v="Customer 093"/>
    <x v="10"/>
    <s v="Office Supplies"/>
    <s v="West"/>
    <n v="4"/>
    <n v="0.05"/>
    <n v="95"/>
    <n v="26.32"/>
  </r>
  <r>
    <s v="ORD-00314"/>
    <d v="2025-03-17T00:00:00"/>
    <s v="Customer 090"/>
    <x v="5"/>
    <s v="Technology"/>
    <s v="North"/>
    <n v="2"/>
    <n v="0"/>
    <n v="640"/>
    <n v="167.07"/>
  </r>
  <r>
    <s v="ORD-00315"/>
    <d v="2025-04-08T00:00:00"/>
    <s v="Customer 053"/>
    <x v="9"/>
    <s v="Technology"/>
    <s v="South"/>
    <n v="4"/>
    <n v="0.1"/>
    <n v="4320"/>
    <n v="1346.99"/>
  </r>
  <r>
    <s v="ORD-00316"/>
    <d v="2025-07-30T00:00:00"/>
    <s v="Customer 095"/>
    <x v="8"/>
    <s v="Office Supplies"/>
    <s v="North"/>
    <n v="5"/>
    <n v="0.15"/>
    <n v="1020"/>
    <n v="165.21"/>
  </r>
  <r>
    <s v="ORD-00317"/>
    <d v="2025-12-28T00:00:00"/>
    <s v="Customer 085"/>
    <x v="3"/>
    <s v="Furniture"/>
    <s v="West"/>
    <n v="5"/>
    <n v="0.05"/>
    <n v="1330"/>
    <n v="352.33"/>
  </r>
  <r>
    <s v="ORD-00318"/>
    <d v="2025-09-27T00:00:00"/>
    <s v="Customer 069"/>
    <x v="11"/>
    <s v="Furniture"/>
    <s v="East"/>
    <n v="3"/>
    <n v="0.05"/>
    <n v="541.5"/>
    <n v="161.54"/>
  </r>
  <r>
    <s v="ORD-00319"/>
    <d v="2025-10-07T00:00:00"/>
    <s v="Customer 032"/>
    <x v="7"/>
    <s v="Technology"/>
    <s v="East"/>
    <n v="3"/>
    <n v="0.2"/>
    <n v="168"/>
    <n v="48.76"/>
  </r>
  <r>
    <s v="ORD-00320"/>
    <d v="2025-10-13T00:00:00"/>
    <s v="Customer 091"/>
    <x v="4"/>
    <s v="Technology"/>
    <s v="South"/>
    <n v="2"/>
    <n v="0.1"/>
    <n v="1530"/>
    <n v="299.13"/>
  </r>
  <r>
    <s v="ORD-00321"/>
    <d v="2025-12-20T00:00:00"/>
    <s v="Customer 072"/>
    <x v="1"/>
    <s v="Furniture"/>
    <s v="East"/>
    <n v="4"/>
    <n v="0.1"/>
    <n v="756"/>
    <n v="220.5"/>
  </r>
  <r>
    <s v="ORD-00322"/>
    <d v="2025-05-28T00:00:00"/>
    <s v="Customer 051"/>
    <x v="0"/>
    <s v="Technology"/>
    <s v="East"/>
    <n v="5"/>
    <n v="0.2"/>
    <n v="140"/>
    <n v="45.46"/>
  </r>
  <r>
    <s v="ORD-00323"/>
    <d v="2025-03-16T00:00:00"/>
    <s v="Customer 011"/>
    <x v="4"/>
    <s v="Technology"/>
    <s v="East"/>
    <n v="1"/>
    <n v="0.1"/>
    <n v="765"/>
    <n v="103.08"/>
  </r>
  <r>
    <s v="ORD-00324"/>
    <d v="2025-08-15T00:00:00"/>
    <s v="Customer 069"/>
    <x v="5"/>
    <s v="Technology"/>
    <s v="East"/>
    <n v="3"/>
    <n v="0.15"/>
    <n v="816"/>
    <n v="309.58"/>
  </r>
  <r>
    <s v="ORD-00325"/>
    <d v="2025-10-15T00:00:00"/>
    <s v="Customer 095"/>
    <x v="1"/>
    <s v="Furniture"/>
    <s v="South"/>
    <n v="3"/>
    <n v="0.05"/>
    <n v="598.5"/>
    <n v="247.75"/>
  </r>
  <r>
    <s v="ORD-00326"/>
    <d v="2025-05-05T00:00:00"/>
    <s v="Customer 007"/>
    <x v="9"/>
    <s v="Technology"/>
    <s v="North"/>
    <n v="5"/>
    <n v="0.05"/>
    <n v="5700"/>
    <n v="1365.03"/>
  </r>
  <r>
    <s v="ORD-00327"/>
    <d v="2025-07-31T00:00:00"/>
    <s v="Customer 018"/>
    <x v="7"/>
    <s v="Technology"/>
    <s v="North"/>
    <n v="4"/>
    <n v="0"/>
    <n v="280"/>
    <n v="63.06"/>
  </r>
  <r>
    <s v="ORD-00328"/>
    <d v="2025-10-09T00:00:00"/>
    <s v="Customer 026"/>
    <x v="3"/>
    <s v="Furniture"/>
    <s v="East"/>
    <n v="4"/>
    <n v="0.15"/>
    <n v="952"/>
    <n v="278.39999999999998"/>
  </r>
  <r>
    <s v="ORD-00329"/>
    <d v="2025-06-14T00:00:00"/>
    <s v="Customer 030"/>
    <x v="4"/>
    <s v="Technology"/>
    <s v="North"/>
    <n v="1"/>
    <n v="0"/>
    <n v="850"/>
    <n v="199.53"/>
  </r>
  <r>
    <s v="ORD-00330"/>
    <d v="2025-03-31T00:00:00"/>
    <s v="Customer 051"/>
    <x v="11"/>
    <s v="Furniture"/>
    <s v="West"/>
    <n v="2"/>
    <n v="0"/>
    <n v="380"/>
    <n v="45.95"/>
  </r>
  <r>
    <s v="ORD-00331"/>
    <d v="2025-04-06T00:00:00"/>
    <s v="Customer 073"/>
    <x v="1"/>
    <s v="Furniture"/>
    <s v="North"/>
    <n v="3"/>
    <n v="0"/>
    <n v="630"/>
    <n v="281.57"/>
  </r>
  <r>
    <s v="ORD-00332"/>
    <d v="2025-06-21T00:00:00"/>
    <s v="Customer 018"/>
    <x v="4"/>
    <s v="Technology"/>
    <s v="West"/>
    <n v="4"/>
    <n v="0.2"/>
    <n v="2720"/>
    <n v="753.37"/>
  </r>
  <r>
    <s v="ORD-00333"/>
    <d v="2025-05-20T00:00:00"/>
    <s v="Customer 059"/>
    <x v="2"/>
    <s v="Furniture"/>
    <s v="East"/>
    <n v="1"/>
    <n v="0.1"/>
    <n v="49.5"/>
    <n v="19.62"/>
  </r>
  <r>
    <s v="ORD-00334"/>
    <d v="2025-04-06T00:00:00"/>
    <s v="Customer 097"/>
    <x v="9"/>
    <s v="Technology"/>
    <s v="South"/>
    <n v="3"/>
    <n v="0.1"/>
    <n v="3240"/>
    <n v="850.93"/>
  </r>
  <r>
    <s v="ORD-00335"/>
    <d v="2025-03-31T00:00:00"/>
    <s v="Customer 012"/>
    <x v="10"/>
    <s v="Office Supplies"/>
    <s v="West"/>
    <n v="4"/>
    <n v="0.15"/>
    <n v="85"/>
    <n v="23.8"/>
  </r>
  <r>
    <s v="ORD-00336"/>
    <d v="2025-12-09T00:00:00"/>
    <s v="Customer 032"/>
    <x v="0"/>
    <s v="Technology"/>
    <s v="North"/>
    <n v="2"/>
    <n v="0.05"/>
    <n v="66.5"/>
    <n v="19.45"/>
  </r>
  <r>
    <s v="ORD-00337"/>
    <d v="2025-05-14T00:00:00"/>
    <s v="Customer 043"/>
    <x v="11"/>
    <s v="Furniture"/>
    <s v="East"/>
    <n v="2"/>
    <n v="0.15"/>
    <n v="323"/>
    <n v="65.010000000000005"/>
  </r>
  <r>
    <s v="ORD-00338"/>
    <d v="2025-10-26T00:00:00"/>
    <s v="Customer 047"/>
    <x v="1"/>
    <s v="Furniture"/>
    <s v="South"/>
    <n v="5"/>
    <n v="0"/>
    <n v="1050"/>
    <n v="381.87"/>
  </r>
  <r>
    <s v="ORD-00339"/>
    <d v="2025-02-01T00:00:00"/>
    <s v="Customer 052"/>
    <x v="5"/>
    <s v="Technology"/>
    <s v="East"/>
    <n v="1"/>
    <n v="0.15"/>
    <n v="272"/>
    <n v="94.86"/>
  </r>
  <r>
    <s v="ORD-00340"/>
    <d v="2025-12-20T00:00:00"/>
    <s v="Customer 029"/>
    <x v="0"/>
    <s v="Technology"/>
    <s v="South"/>
    <n v="3"/>
    <n v="0.1"/>
    <n v="94.5"/>
    <n v="23.36"/>
  </r>
  <r>
    <s v="ORD-00341"/>
    <d v="2025-09-02T00:00:00"/>
    <s v="Customer 090"/>
    <x v="3"/>
    <s v="Furniture"/>
    <s v="West"/>
    <n v="4"/>
    <n v="0.2"/>
    <n v="896"/>
    <n v="292.73"/>
  </r>
  <r>
    <s v="ORD-00342"/>
    <d v="2025-10-03T00:00:00"/>
    <s v="Customer 077"/>
    <x v="5"/>
    <s v="Technology"/>
    <s v="North"/>
    <n v="2"/>
    <n v="0.05"/>
    <n v="608"/>
    <n v="137.1"/>
  </r>
  <r>
    <s v="ORD-00343"/>
    <d v="2025-09-27T00:00:00"/>
    <s v="Customer 073"/>
    <x v="6"/>
    <s v="Office Supplies"/>
    <s v="North"/>
    <n v="5"/>
    <n v="0.1"/>
    <n v="81"/>
    <n v="34.36"/>
  </r>
  <r>
    <s v="ORD-00344"/>
    <d v="2025-02-01T00:00:00"/>
    <s v="Customer 020"/>
    <x v="8"/>
    <s v="Office Supplies"/>
    <s v="South"/>
    <n v="5"/>
    <n v="0.05"/>
    <n v="1140"/>
    <n v="297.55"/>
  </r>
  <r>
    <s v="ORD-00345"/>
    <d v="2025-06-17T00:00:00"/>
    <s v="Customer 092"/>
    <x v="8"/>
    <s v="Office Supplies"/>
    <s v="West"/>
    <n v="4"/>
    <n v="0"/>
    <n v="960"/>
    <n v="216.48"/>
  </r>
  <r>
    <s v="ORD-00346"/>
    <d v="2025-02-16T00:00:00"/>
    <s v="Customer 066"/>
    <x v="8"/>
    <s v="Office Supplies"/>
    <s v="West"/>
    <n v="4"/>
    <n v="0"/>
    <n v="960"/>
    <n v="288.35000000000002"/>
  </r>
  <r>
    <s v="ORD-00347"/>
    <d v="2025-08-22T00:00:00"/>
    <s v="Customer 040"/>
    <x v="10"/>
    <s v="Office Supplies"/>
    <s v="North"/>
    <n v="1"/>
    <n v="0.2"/>
    <n v="20"/>
    <n v="5.95"/>
  </r>
  <r>
    <s v="ORD-00348"/>
    <d v="2025-07-22T00:00:00"/>
    <s v="Customer 006"/>
    <x v="4"/>
    <s v="Technology"/>
    <s v="West"/>
    <n v="1"/>
    <n v="0.05"/>
    <n v="807.5"/>
    <n v="209.27"/>
  </r>
  <r>
    <s v="ORD-00349"/>
    <d v="2025-06-26T00:00:00"/>
    <s v="Customer 009"/>
    <x v="1"/>
    <s v="Furniture"/>
    <s v="West"/>
    <n v="1"/>
    <n v="0.2"/>
    <n v="168"/>
    <n v="20.49"/>
  </r>
  <r>
    <s v="ORD-00350"/>
    <d v="2025-01-17T00:00:00"/>
    <s v="Customer 099"/>
    <x v="4"/>
    <s v="Technology"/>
    <s v="West"/>
    <n v="4"/>
    <n v="0.05"/>
    <n v="3230"/>
    <n v="633.85"/>
  </r>
  <r>
    <s v="ORD-00351"/>
    <d v="2025-07-11T00:00:00"/>
    <s v="Customer 088"/>
    <x v="11"/>
    <s v="Furniture"/>
    <s v="South"/>
    <n v="4"/>
    <n v="0.15"/>
    <n v="646"/>
    <n v="210.62"/>
  </r>
  <r>
    <s v="ORD-00352"/>
    <d v="2025-12-01T00:00:00"/>
    <s v="Customer 051"/>
    <x v="7"/>
    <s v="Technology"/>
    <s v="South"/>
    <n v="1"/>
    <n v="0.05"/>
    <n v="66.5"/>
    <n v="8.14"/>
  </r>
  <r>
    <s v="ORD-00353"/>
    <d v="2025-04-25T00:00:00"/>
    <s v="Customer 093"/>
    <x v="9"/>
    <s v="Technology"/>
    <s v="West"/>
    <n v="1"/>
    <n v="0.1"/>
    <n v="1080"/>
    <n v="320.99"/>
  </r>
  <r>
    <s v="ORD-00354"/>
    <d v="2025-09-30T00:00:00"/>
    <s v="Customer 020"/>
    <x v="11"/>
    <s v="Furniture"/>
    <s v="East"/>
    <n v="2"/>
    <n v="0.05"/>
    <n v="361"/>
    <n v="107.58"/>
  </r>
  <r>
    <s v="ORD-00355"/>
    <d v="2025-04-07T00:00:00"/>
    <s v="Customer 054"/>
    <x v="1"/>
    <s v="Furniture"/>
    <s v="North"/>
    <n v="1"/>
    <n v="0"/>
    <n v="210"/>
    <n v="38.4"/>
  </r>
  <r>
    <s v="ORD-00356"/>
    <d v="2025-05-04T00:00:00"/>
    <s v="Customer 058"/>
    <x v="2"/>
    <s v="Furniture"/>
    <s v="North"/>
    <n v="1"/>
    <n v="0"/>
    <n v="55"/>
    <n v="13.97"/>
  </r>
  <r>
    <s v="ORD-00357"/>
    <d v="2025-05-06T00:00:00"/>
    <s v="Customer 070"/>
    <x v="1"/>
    <s v="Furniture"/>
    <s v="South"/>
    <n v="1"/>
    <n v="0.15"/>
    <n v="178.5"/>
    <n v="54.47"/>
  </r>
  <r>
    <s v="ORD-00358"/>
    <d v="2025-01-29T00:00:00"/>
    <s v="Customer 094"/>
    <x v="3"/>
    <s v="Furniture"/>
    <s v="East"/>
    <n v="5"/>
    <n v="0.1"/>
    <n v="1260"/>
    <n v="469.64"/>
  </r>
  <r>
    <s v="ORD-00359"/>
    <d v="2025-10-23T00:00:00"/>
    <s v="Customer 019"/>
    <x v="10"/>
    <s v="Office Supplies"/>
    <s v="South"/>
    <n v="3"/>
    <n v="0.05"/>
    <n v="71.25"/>
    <n v="24.97"/>
  </r>
  <r>
    <s v="ORD-00360"/>
    <d v="2025-07-31T00:00:00"/>
    <s v="Customer 076"/>
    <x v="4"/>
    <s v="Technology"/>
    <s v="South"/>
    <n v="3"/>
    <n v="0"/>
    <n v="2550"/>
    <n v="679.02"/>
  </r>
  <r>
    <s v="ORD-00361"/>
    <d v="2025-11-17T00:00:00"/>
    <s v="Customer 045"/>
    <x v="5"/>
    <s v="Technology"/>
    <s v="West"/>
    <n v="4"/>
    <n v="0.2"/>
    <n v="1024"/>
    <n v="293.32"/>
  </r>
  <r>
    <s v="ORD-00362"/>
    <d v="2025-09-26T00:00:00"/>
    <s v="Customer 049"/>
    <x v="7"/>
    <s v="Technology"/>
    <s v="South"/>
    <n v="4"/>
    <n v="0.15"/>
    <n v="238"/>
    <n v="95.38"/>
  </r>
  <r>
    <s v="ORD-00363"/>
    <d v="2025-10-03T00:00:00"/>
    <s v="Customer 091"/>
    <x v="6"/>
    <s v="Office Supplies"/>
    <s v="South"/>
    <n v="2"/>
    <n v="0.05"/>
    <n v="34.200000000000003"/>
    <n v="12"/>
  </r>
  <r>
    <s v="ORD-00364"/>
    <d v="2025-08-26T00:00:00"/>
    <s v="Customer 072"/>
    <x v="9"/>
    <s v="Technology"/>
    <s v="South"/>
    <n v="5"/>
    <n v="0.15"/>
    <n v="5100"/>
    <n v="666.22"/>
  </r>
  <r>
    <s v="ORD-00365"/>
    <d v="2025-07-18T00:00:00"/>
    <s v="Customer 011"/>
    <x v="2"/>
    <s v="Furniture"/>
    <s v="West"/>
    <n v="3"/>
    <n v="0.05"/>
    <n v="156.75"/>
    <n v="53.45"/>
  </r>
  <r>
    <s v="ORD-00366"/>
    <d v="2025-07-09T00:00:00"/>
    <s v="Customer 049"/>
    <x v="0"/>
    <s v="Technology"/>
    <s v="North"/>
    <n v="5"/>
    <n v="0.05"/>
    <n v="166.25"/>
    <n v="71.989999999999995"/>
  </r>
  <r>
    <s v="ORD-00367"/>
    <d v="2025-02-07T00:00:00"/>
    <s v="Customer 027"/>
    <x v="2"/>
    <s v="Furniture"/>
    <s v="East"/>
    <n v="5"/>
    <n v="0.2"/>
    <n v="220"/>
    <n v="83.24"/>
  </r>
  <r>
    <s v="ORD-00368"/>
    <d v="2025-06-05T00:00:00"/>
    <s v="Customer 016"/>
    <x v="9"/>
    <s v="Technology"/>
    <s v="West"/>
    <n v="2"/>
    <n v="0.05"/>
    <n v="2280"/>
    <n v="302.13"/>
  </r>
  <r>
    <s v="ORD-00369"/>
    <d v="2025-05-05T00:00:00"/>
    <s v="Customer 031"/>
    <x v="1"/>
    <s v="Furniture"/>
    <s v="East"/>
    <n v="5"/>
    <n v="0.05"/>
    <n v="997.5"/>
    <n v="318.31"/>
  </r>
  <r>
    <s v="ORD-00370"/>
    <d v="2025-05-25T00:00:00"/>
    <s v="Customer 040"/>
    <x v="11"/>
    <s v="Furniture"/>
    <s v="East"/>
    <n v="4"/>
    <n v="0.2"/>
    <n v="608"/>
    <n v="143.44"/>
  </r>
  <r>
    <s v="ORD-00371"/>
    <d v="2025-07-04T00:00:00"/>
    <s v="Customer 093"/>
    <x v="8"/>
    <s v="Office Supplies"/>
    <s v="West"/>
    <n v="4"/>
    <n v="0.15"/>
    <n v="816"/>
    <n v="340.65"/>
  </r>
  <r>
    <s v="ORD-00372"/>
    <d v="2025-06-13T00:00:00"/>
    <s v="Customer 073"/>
    <x v="2"/>
    <s v="Furniture"/>
    <s v="South"/>
    <n v="3"/>
    <n v="0.1"/>
    <n v="148.5"/>
    <n v="46.54"/>
  </r>
  <r>
    <s v="ORD-00373"/>
    <d v="2025-03-16T00:00:00"/>
    <s v="Customer 075"/>
    <x v="9"/>
    <s v="Technology"/>
    <s v="West"/>
    <n v="3"/>
    <n v="0.2"/>
    <n v="2880"/>
    <n v="407.61"/>
  </r>
  <r>
    <s v="ORD-00374"/>
    <d v="2025-06-01T00:00:00"/>
    <s v="Customer 073"/>
    <x v="3"/>
    <s v="Furniture"/>
    <s v="South"/>
    <n v="2"/>
    <n v="0.1"/>
    <n v="504"/>
    <n v="188.54"/>
  </r>
  <r>
    <s v="ORD-00375"/>
    <d v="2025-09-13T00:00:00"/>
    <s v="Customer 063"/>
    <x v="8"/>
    <s v="Office Supplies"/>
    <s v="West"/>
    <n v="3"/>
    <n v="0.1"/>
    <n v="648"/>
    <n v="128.36000000000001"/>
  </r>
  <r>
    <s v="ORD-00376"/>
    <d v="2025-08-24T00:00:00"/>
    <s v="Customer 070"/>
    <x v="3"/>
    <s v="Furniture"/>
    <s v="West"/>
    <n v="3"/>
    <n v="0.05"/>
    <n v="798"/>
    <n v="322.24"/>
  </r>
  <r>
    <s v="ORD-00377"/>
    <d v="2025-04-05T00:00:00"/>
    <s v="Customer 010"/>
    <x v="8"/>
    <s v="Office Supplies"/>
    <s v="North"/>
    <n v="1"/>
    <n v="0.2"/>
    <n v="192"/>
    <n v="84.26"/>
  </r>
  <r>
    <s v="ORD-00378"/>
    <d v="2025-01-04T00:00:00"/>
    <s v="Customer 020"/>
    <x v="11"/>
    <s v="Furniture"/>
    <s v="North"/>
    <n v="2"/>
    <n v="0.05"/>
    <n v="361"/>
    <n v="154.35"/>
  </r>
  <r>
    <s v="ORD-00379"/>
    <d v="2025-04-22T00:00:00"/>
    <s v="Customer 082"/>
    <x v="8"/>
    <s v="Office Supplies"/>
    <s v="West"/>
    <n v="4"/>
    <n v="0.1"/>
    <n v="864"/>
    <n v="371.56"/>
  </r>
  <r>
    <s v="ORD-00380"/>
    <d v="2025-12-04T00:00:00"/>
    <s v="Customer 053"/>
    <x v="6"/>
    <s v="Office Supplies"/>
    <s v="North"/>
    <n v="1"/>
    <n v="0"/>
    <n v="18"/>
    <n v="4.9400000000000004"/>
  </r>
  <r>
    <s v="ORD-00381"/>
    <d v="2025-01-09T00:00:00"/>
    <s v="Customer 003"/>
    <x v="8"/>
    <s v="Office Supplies"/>
    <s v="West"/>
    <n v="3"/>
    <n v="0.2"/>
    <n v="576"/>
    <n v="73.400000000000006"/>
  </r>
  <r>
    <s v="ORD-00382"/>
    <d v="2025-04-02T00:00:00"/>
    <s v="Customer 025"/>
    <x v="0"/>
    <s v="Technology"/>
    <s v="East"/>
    <n v="1"/>
    <n v="0.2"/>
    <n v="28"/>
    <n v="11.22"/>
  </r>
  <r>
    <s v="ORD-00383"/>
    <d v="2025-07-01T00:00:00"/>
    <s v="Customer 052"/>
    <x v="4"/>
    <s v="Technology"/>
    <s v="West"/>
    <n v="4"/>
    <n v="0"/>
    <n v="3400"/>
    <n v="1111.44"/>
  </r>
  <r>
    <s v="ORD-00384"/>
    <d v="2025-10-17T00:00:00"/>
    <s v="Customer 011"/>
    <x v="2"/>
    <s v="Furniture"/>
    <s v="North"/>
    <n v="2"/>
    <n v="0.1"/>
    <n v="99"/>
    <n v="22.2"/>
  </r>
  <r>
    <s v="ORD-00385"/>
    <d v="2025-02-17T00:00:00"/>
    <s v="Customer 008"/>
    <x v="11"/>
    <s v="Furniture"/>
    <s v="North"/>
    <n v="4"/>
    <n v="0.15"/>
    <n v="646"/>
    <n v="172.88"/>
  </r>
  <r>
    <s v="ORD-00386"/>
    <d v="2025-12-26T00:00:00"/>
    <s v="Customer 083"/>
    <x v="3"/>
    <s v="Furniture"/>
    <s v="East"/>
    <n v="1"/>
    <n v="0.15"/>
    <n v="238"/>
    <n v="40.71"/>
  </r>
  <r>
    <s v="ORD-00387"/>
    <d v="2025-10-17T00:00:00"/>
    <s v="Customer 089"/>
    <x v="0"/>
    <s v="Technology"/>
    <s v="West"/>
    <n v="5"/>
    <n v="0"/>
    <n v="175"/>
    <n v="65.48"/>
  </r>
  <r>
    <s v="ORD-00388"/>
    <d v="2025-05-19T00:00:00"/>
    <s v="Customer 073"/>
    <x v="9"/>
    <s v="Technology"/>
    <s v="North"/>
    <n v="1"/>
    <n v="0.1"/>
    <n v="1080"/>
    <n v="165.49"/>
  </r>
  <r>
    <s v="ORD-00389"/>
    <d v="2025-04-02T00:00:00"/>
    <s v="Customer 097"/>
    <x v="7"/>
    <s v="Technology"/>
    <s v="West"/>
    <n v="1"/>
    <n v="0.05"/>
    <n v="66.5"/>
    <n v="17.04"/>
  </r>
  <r>
    <s v="ORD-00390"/>
    <d v="2025-02-09T00:00:00"/>
    <s v="Customer 050"/>
    <x v="4"/>
    <s v="Technology"/>
    <s v="East"/>
    <n v="2"/>
    <n v="0.2"/>
    <n v="1360"/>
    <n v="504.08"/>
  </r>
  <r>
    <s v="ORD-00391"/>
    <d v="2025-07-16T00:00:00"/>
    <s v="Customer 045"/>
    <x v="1"/>
    <s v="Furniture"/>
    <s v="North"/>
    <n v="2"/>
    <n v="0"/>
    <n v="420"/>
    <n v="119.59"/>
  </r>
  <r>
    <s v="ORD-00392"/>
    <d v="2025-02-20T00:00:00"/>
    <s v="Customer 099"/>
    <x v="11"/>
    <s v="Furniture"/>
    <s v="West"/>
    <n v="2"/>
    <n v="0"/>
    <n v="380"/>
    <n v="128.29"/>
  </r>
  <r>
    <s v="ORD-00393"/>
    <d v="2025-06-17T00:00:00"/>
    <s v="Customer 046"/>
    <x v="9"/>
    <s v="Technology"/>
    <s v="West"/>
    <n v="3"/>
    <n v="0.15"/>
    <n v="3060"/>
    <n v="881.59"/>
  </r>
  <r>
    <s v="ORD-00394"/>
    <d v="2025-08-10T00:00:00"/>
    <s v="Customer 080"/>
    <x v="3"/>
    <s v="Furniture"/>
    <s v="East"/>
    <n v="5"/>
    <n v="0.15"/>
    <n v="1190"/>
    <n v="501.85"/>
  </r>
  <r>
    <s v="ORD-00395"/>
    <d v="2025-05-07T00:00:00"/>
    <s v="Customer 049"/>
    <x v="1"/>
    <s v="Furniture"/>
    <s v="South"/>
    <n v="1"/>
    <n v="0"/>
    <n v="210"/>
    <n v="75.930000000000007"/>
  </r>
  <r>
    <s v="ORD-00396"/>
    <d v="2025-07-19T00:00:00"/>
    <s v="Customer 040"/>
    <x v="7"/>
    <s v="Technology"/>
    <s v="West"/>
    <n v="3"/>
    <n v="0"/>
    <n v="210"/>
    <n v="88.16"/>
  </r>
  <r>
    <s v="ORD-00397"/>
    <d v="2025-07-04T00:00:00"/>
    <s v="Customer 056"/>
    <x v="4"/>
    <s v="Technology"/>
    <s v="West"/>
    <n v="1"/>
    <n v="0.05"/>
    <n v="807.5"/>
    <n v="340.11"/>
  </r>
  <r>
    <s v="ORD-00398"/>
    <d v="2025-10-13T00:00:00"/>
    <s v="Customer 012"/>
    <x v="8"/>
    <s v="Office Supplies"/>
    <s v="East"/>
    <n v="5"/>
    <n v="0.15"/>
    <n v="1020"/>
    <n v="424.23"/>
  </r>
  <r>
    <s v="ORD-00399"/>
    <d v="2025-10-11T00:00:00"/>
    <s v="Customer 050"/>
    <x v="0"/>
    <s v="Technology"/>
    <s v="North"/>
    <n v="5"/>
    <n v="0.2"/>
    <n v="140"/>
    <n v="26.76"/>
  </r>
  <r>
    <s v="ORD-00400"/>
    <d v="2025-05-30T00:00:00"/>
    <s v="Customer 072"/>
    <x v="11"/>
    <s v="Furniture"/>
    <s v="South"/>
    <n v="4"/>
    <n v="0"/>
    <n v="760"/>
    <n v="160.21"/>
  </r>
  <r>
    <s v="ORD-00401"/>
    <d v="2025-10-20T00:00:00"/>
    <s v="Customer 035"/>
    <x v="8"/>
    <s v="Office Supplies"/>
    <s v="East"/>
    <n v="2"/>
    <n v="0.15"/>
    <n v="408"/>
    <n v="160.78"/>
  </r>
  <r>
    <s v="ORD-00402"/>
    <d v="2025-05-18T00:00:00"/>
    <s v="Customer 036"/>
    <x v="6"/>
    <s v="Office Supplies"/>
    <s v="West"/>
    <n v="2"/>
    <n v="0"/>
    <n v="36"/>
    <n v="14.21"/>
  </r>
  <r>
    <s v="ORD-00403"/>
    <d v="2025-06-03T00:00:00"/>
    <s v="Customer 032"/>
    <x v="6"/>
    <s v="Office Supplies"/>
    <s v="West"/>
    <n v="1"/>
    <n v="0.1"/>
    <n v="16.2"/>
    <n v="5.94"/>
  </r>
  <r>
    <s v="ORD-00404"/>
    <d v="2025-11-01T00:00:00"/>
    <s v="Customer 039"/>
    <x v="10"/>
    <s v="Office Supplies"/>
    <s v="North"/>
    <n v="2"/>
    <n v="0.15"/>
    <n v="42.5"/>
    <n v="17.62"/>
  </r>
  <r>
    <s v="ORD-00405"/>
    <d v="2025-07-22T00:00:00"/>
    <s v="Customer 043"/>
    <x v="7"/>
    <s v="Technology"/>
    <s v="West"/>
    <n v="5"/>
    <n v="0.15"/>
    <n v="297.5"/>
    <n v="54.93"/>
  </r>
  <r>
    <s v="ORD-00406"/>
    <d v="2025-06-21T00:00:00"/>
    <s v="Customer 078"/>
    <x v="11"/>
    <s v="Furniture"/>
    <s v="South"/>
    <n v="5"/>
    <n v="0.05"/>
    <n v="902.5"/>
    <n v="316.64999999999998"/>
  </r>
  <r>
    <s v="ORD-00407"/>
    <d v="2025-09-03T00:00:00"/>
    <s v="Customer 038"/>
    <x v="7"/>
    <s v="Technology"/>
    <s v="West"/>
    <n v="2"/>
    <n v="0.15"/>
    <n v="119"/>
    <n v="15.51"/>
  </r>
  <r>
    <s v="ORD-00408"/>
    <d v="2025-10-22T00:00:00"/>
    <s v="Customer 051"/>
    <x v="2"/>
    <s v="Furniture"/>
    <s v="East"/>
    <n v="3"/>
    <n v="0.15"/>
    <n v="140.25"/>
    <n v="50.14"/>
  </r>
  <r>
    <s v="ORD-00409"/>
    <d v="2025-02-28T00:00:00"/>
    <s v="Customer 024"/>
    <x v="10"/>
    <s v="Office Supplies"/>
    <s v="North"/>
    <n v="2"/>
    <n v="0.2"/>
    <n v="40"/>
    <n v="4.84"/>
  </r>
  <r>
    <s v="ORD-00410"/>
    <d v="2025-08-25T00:00:00"/>
    <s v="Customer 089"/>
    <x v="1"/>
    <s v="Furniture"/>
    <s v="North"/>
    <n v="2"/>
    <n v="0.15"/>
    <n v="357"/>
    <n v="66.67"/>
  </r>
  <r>
    <s v="ORD-00411"/>
    <d v="2025-07-29T00:00:00"/>
    <s v="Customer 031"/>
    <x v="5"/>
    <s v="Technology"/>
    <s v="East"/>
    <n v="4"/>
    <n v="0.05"/>
    <n v="1216"/>
    <n v="293.05"/>
  </r>
  <r>
    <s v="ORD-00412"/>
    <d v="2025-12-04T00:00:00"/>
    <s v="Customer 077"/>
    <x v="3"/>
    <s v="Furniture"/>
    <s v="West"/>
    <n v="4"/>
    <n v="0.15"/>
    <n v="952"/>
    <n v="405.16"/>
  </r>
  <r>
    <s v="ORD-00413"/>
    <d v="2025-10-26T00:00:00"/>
    <s v="Customer 089"/>
    <x v="11"/>
    <s v="Furniture"/>
    <s v="West"/>
    <n v="5"/>
    <m/>
    <n v="760"/>
    <n v="110.39"/>
  </r>
  <r>
    <s v="ORD-00414"/>
    <d v="2025-10-06T00:00:00"/>
    <s v="Customer 011"/>
    <x v="9"/>
    <s v="Technology"/>
    <s v="North"/>
    <n v="3"/>
    <n v="0.2"/>
    <n v="2880"/>
    <n v="731.63"/>
  </r>
  <r>
    <s v="ORD-00415"/>
    <d v="2025-05-08T00:00:00"/>
    <s v="Customer 006"/>
    <x v="5"/>
    <s v="Technology"/>
    <s v="West"/>
    <n v="3"/>
    <n v="0.05"/>
    <n v="912"/>
    <n v="215.68"/>
  </r>
  <r>
    <s v="ORD-00416"/>
    <d v="2025-06-19T00:00:00"/>
    <s v="Customer 029"/>
    <x v="11"/>
    <s v="Furniture"/>
    <s v="South"/>
    <n v="1"/>
    <n v="0"/>
    <n v="190"/>
    <n v="79.319999999999993"/>
  </r>
  <r>
    <s v="ORD-00417"/>
    <d v="2025-08-17T00:00:00"/>
    <s v="Customer 076"/>
    <x v="7"/>
    <s v="Technology"/>
    <s v="South"/>
    <n v="4"/>
    <n v="0.15"/>
    <n v="238"/>
    <n v="46.44"/>
  </r>
  <r>
    <s v="ORD-00418"/>
    <d v="2025-06-26T00:00:00"/>
    <s v="Customer 011"/>
    <x v="9"/>
    <s v="Technology"/>
    <s v="North"/>
    <n v="4"/>
    <n v="0"/>
    <n v="4800"/>
    <n v="1692.04"/>
  </r>
  <r>
    <s v="ORD-00419"/>
    <d v="2025-03-14T00:00:00"/>
    <s v="Customer 027"/>
    <x v="7"/>
    <s v="Technology"/>
    <s v="West"/>
    <n v="3"/>
    <n v="0.1"/>
    <n v="189"/>
    <n v="56.65"/>
  </r>
  <r>
    <s v="ORD-00420"/>
    <d v="2025-06-28T00:00:00"/>
    <s v="Customer 058"/>
    <x v="6"/>
    <s v="Office Supplies"/>
    <s v="East"/>
    <n v="1"/>
    <n v="0.15"/>
    <n v="15.3"/>
    <n v="3.24"/>
  </r>
  <r>
    <s v="ORD-00421"/>
    <d v="2025-02-04T00:00:00"/>
    <s v="Customer 044"/>
    <x v="4"/>
    <s v="Technology"/>
    <s v="North"/>
    <n v="1"/>
    <n v="0"/>
    <n v="850"/>
    <n v="376.16"/>
  </r>
  <r>
    <s v="ORD-00422"/>
    <d v="2025-12-13T00:00:00"/>
    <s v="Customer 021"/>
    <x v="3"/>
    <s v="Furniture"/>
    <s v="East"/>
    <n v="2"/>
    <n v="0.2"/>
    <n v="448"/>
    <n v="175.81"/>
  </r>
  <r>
    <s v="ORD-00423"/>
    <d v="2025-10-14T00:00:00"/>
    <s v="Customer 081"/>
    <x v="11"/>
    <s v="Furniture"/>
    <s v="South"/>
    <n v="4"/>
    <n v="0.05"/>
    <n v="722"/>
    <n v="134.83000000000001"/>
  </r>
  <r>
    <s v="ORD-00424"/>
    <d v="2025-04-06T00:00:00"/>
    <s v="Customer 079"/>
    <x v="5"/>
    <s v="Technology"/>
    <s v="South"/>
    <n v="4"/>
    <n v="0.15"/>
    <n v="1088"/>
    <n v="479.12"/>
  </r>
  <r>
    <s v="ORD-00425"/>
    <d v="2025-08-19T00:00:00"/>
    <s v="Customer 028"/>
    <x v="10"/>
    <s v="Office Supplies"/>
    <s v="South"/>
    <n v="4"/>
    <n v="0.15"/>
    <n v="85"/>
    <n v="38.130000000000003"/>
  </r>
  <r>
    <s v="ORD-00426"/>
    <d v="2025-05-23T00:00:00"/>
    <s v="Customer 069"/>
    <x v="1"/>
    <s v="Furniture"/>
    <s v="South"/>
    <n v="1"/>
    <n v="0.2"/>
    <n v="168"/>
    <n v="69.959999999999994"/>
  </r>
  <r>
    <s v="ORD-00427"/>
    <d v="2025-07-07T00:00:00"/>
    <s v="Customer 086"/>
    <x v="7"/>
    <s v="Technology"/>
    <s v="West"/>
    <n v="2"/>
    <n v="0.15"/>
    <n v="119"/>
    <n v="49.07"/>
  </r>
  <r>
    <s v="ORD-00428"/>
    <d v="2025-09-28T00:00:00"/>
    <s v="Customer 051"/>
    <x v="5"/>
    <s v="Technology"/>
    <s v="North"/>
    <n v="3"/>
    <n v="0.2"/>
    <n v="768"/>
    <n v="247.1"/>
  </r>
  <r>
    <s v="ORD-00429"/>
    <d v="2025-06-28T00:00:00"/>
    <s v="Customer 087"/>
    <x v="7"/>
    <s v="Technology"/>
    <s v="East"/>
    <n v="4"/>
    <n v="0.2"/>
    <n v="224"/>
    <n v="88.05"/>
  </r>
  <r>
    <s v="ORD-00430"/>
    <d v="2025-11-11T00:00:00"/>
    <s v="Customer 031"/>
    <x v="10"/>
    <s v="Office Supplies"/>
    <s v="East"/>
    <n v="1"/>
    <n v="0.05"/>
    <n v="23.75"/>
    <n v="8.23"/>
  </r>
  <r>
    <s v="ORD-00431"/>
    <d v="2025-03-01T00:00:00"/>
    <s v="Customer 054"/>
    <x v="3"/>
    <s v="Furniture"/>
    <s v="South"/>
    <n v="3"/>
    <n v="0.05"/>
    <n v="798"/>
    <n v="224.58"/>
  </r>
  <r>
    <s v="ORD-00432"/>
    <d v="2025-10-22T00:00:00"/>
    <s v="Customer 069"/>
    <x v="11"/>
    <s v="Furniture"/>
    <s v="South"/>
    <n v="4"/>
    <n v="0.05"/>
    <n v="722"/>
    <n v="208.95"/>
  </r>
  <r>
    <s v="ORD-00433"/>
    <d v="2025-10-12T00:00:00"/>
    <s v="Customer 041"/>
    <x v="3"/>
    <s v="Furniture"/>
    <s v="West"/>
    <n v="4"/>
    <n v="0.1"/>
    <n v="1008"/>
    <n v="406.93"/>
  </r>
  <r>
    <s v="ORD-00434"/>
    <d v="2025-11-14T00:00:00"/>
    <s v="Customer 025"/>
    <x v="9"/>
    <s v="Technology"/>
    <s v="West"/>
    <n v="3"/>
    <n v="0"/>
    <n v="3600"/>
    <n v="1044.28"/>
  </r>
  <r>
    <s v="ORD-00435"/>
    <d v="2025-10-15T00:00:00"/>
    <s v="Customer 054"/>
    <x v="8"/>
    <s v="Office Supplies"/>
    <s v="West"/>
    <n v="4"/>
    <n v="0.15"/>
    <n v="816"/>
    <n v="182.82"/>
  </r>
  <r>
    <s v="ORD-00436"/>
    <d v="2025-09-08T00:00:00"/>
    <s v="Customer 098"/>
    <x v="3"/>
    <s v="Furniture"/>
    <s v="South"/>
    <n v="1"/>
    <n v="0.2"/>
    <n v="224"/>
    <n v="98.52"/>
  </r>
  <r>
    <s v="ORD-00437"/>
    <d v="2025-05-30T00:00:00"/>
    <s v="Customer 022"/>
    <x v="9"/>
    <s v="Technology"/>
    <s v="West"/>
    <n v="3"/>
    <n v="0.05"/>
    <n v="3420"/>
    <n v="932.25"/>
  </r>
  <r>
    <s v="ORD-00438"/>
    <d v="2025-10-17T00:00:00"/>
    <s v="Customer 074"/>
    <x v="1"/>
    <s v="Furniture"/>
    <s v="North"/>
    <n v="4"/>
    <n v="0.2"/>
    <n v="672"/>
    <n v="189.12"/>
  </r>
  <r>
    <s v="ORD-00439"/>
    <d v="2025-05-18T00:00:00"/>
    <s v="Customer 006"/>
    <x v="8"/>
    <s v="Office Supplies"/>
    <s v="West"/>
    <n v="3"/>
    <n v="0.2"/>
    <n v="576"/>
    <n v="102.84"/>
  </r>
  <r>
    <s v="ORD-00440"/>
    <d v="2025-10-07T00:00:00"/>
    <s v="Customer 084"/>
    <x v="2"/>
    <s v="Furniture"/>
    <s v="South"/>
    <n v="4"/>
    <n v="0"/>
    <n v="220"/>
    <n v="45.57"/>
  </r>
  <r>
    <s v="ORD-00441"/>
    <d v="2025-06-02T00:00:00"/>
    <s v="Customer 012"/>
    <x v="9"/>
    <s v="Technology"/>
    <s v="West"/>
    <n v="4"/>
    <n v="0.1"/>
    <n v="4320"/>
    <n v="1447.07"/>
  </r>
  <r>
    <s v="ORD-00442"/>
    <d v="2025-03-02T00:00:00"/>
    <s v="Customer 091"/>
    <x v="2"/>
    <s v="Furniture"/>
    <s v="West"/>
    <n v="2"/>
    <n v="0.2"/>
    <n v="88"/>
    <n v="19.59"/>
  </r>
  <r>
    <s v="ORD-00443"/>
    <d v="2025-03-26T00:00:00"/>
    <s v="Customer 008"/>
    <x v="10"/>
    <s v="Office Supplies"/>
    <s v="East"/>
    <n v="2"/>
    <n v="0.05"/>
    <n v="47.5"/>
    <n v="8.6199999999999992"/>
  </r>
  <r>
    <s v="ORD-00444"/>
    <d v="2025-09-30T00:00:00"/>
    <s v="Customer 091"/>
    <x v="4"/>
    <s v="Technology"/>
    <s v="East"/>
    <n v="5"/>
    <n v="0.2"/>
    <n v="3400"/>
    <n v="1341.08"/>
  </r>
  <r>
    <s v="ORD-00445"/>
    <d v="2025-05-29T00:00:00"/>
    <s v="Customer 087"/>
    <x v="10"/>
    <s v="Office Supplies"/>
    <s v="North"/>
    <n v="3"/>
    <n v="0.2"/>
    <n v="60"/>
    <n v="7.49"/>
  </r>
  <r>
    <s v="ORD-00446"/>
    <d v="2025-03-11T00:00:00"/>
    <s v="Customer 017"/>
    <x v="11"/>
    <s v="Furniture"/>
    <s v="South"/>
    <n v="1"/>
    <n v="0.1"/>
    <n v="171"/>
    <n v="28.02"/>
  </r>
  <r>
    <s v="ORD-00447"/>
    <d v="2025-05-08T00:00:00"/>
    <s v="Customer 087"/>
    <x v="3"/>
    <s v="Furniture"/>
    <s v="West"/>
    <n v="3"/>
    <n v="0.05"/>
    <n v="798"/>
    <n v="158.57"/>
  </r>
  <r>
    <s v="ORD-00448"/>
    <d v="2025-09-08T00:00:00"/>
    <s v="Customer 049"/>
    <x v="3"/>
    <s v="Furniture"/>
    <s v="West"/>
    <n v="5"/>
    <n v="0.1"/>
    <n v="1260"/>
    <n v="305.95999999999998"/>
  </r>
  <r>
    <s v="ORD-00449"/>
    <d v="2025-02-08T00:00:00"/>
    <s v="Customer 036"/>
    <x v="5"/>
    <s v="Technology"/>
    <s v="East"/>
    <n v="1"/>
    <n v="0.15"/>
    <n v="272"/>
    <n v="76.12"/>
  </r>
  <r>
    <s v="ORD-00450"/>
    <d v="2025-08-21T00:00:00"/>
    <s v="Customer 100"/>
    <x v="6"/>
    <s v="Office Supplies"/>
    <s v="North"/>
    <n v="3"/>
    <n v="0.2"/>
    <n v="43.2"/>
    <n v="19.399999999999999"/>
  </r>
  <r>
    <s v="ORD-00451"/>
    <d v="2025-08-23T00:00:00"/>
    <s v="Customer 051"/>
    <x v="5"/>
    <s v="Technology"/>
    <s v="South"/>
    <n v="3"/>
    <n v="0"/>
    <n v="960"/>
    <n v="179.93"/>
  </r>
  <r>
    <s v="ORD-00452"/>
    <d v="2025-08-08T00:00:00"/>
    <s v="Customer 037"/>
    <x v="2"/>
    <s v="Furniture"/>
    <s v="East"/>
    <n v="4"/>
    <n v="0.1"/>
    <n v="198"/>
    <n v="68"/>
  </r>
  <r>
    <s v="ORD-00453"/>
    <d v="2025-10-08T00:00:00"/>
    <s v="Customer 044"/>
    <x v="10"/>
    <s v="Office Supplies"/>
    <s v="North"/>
    <n v="2"/>
    <n v="0.2"/>
    <n v="40"/>
    <n v="6.75"/>
  </r>
  <r>
    <s v="ORD-00454"/>
    <d v="2025-01-24T00:00:00"/>
    <s v="Customer 021"/>
    <x v="0"/>
    <s v="Technology"/>
    <s v="West"/>
    <n v="4"/>
    <n v="0"/>
    <n v="140"/>
    <n v="57.26"/>
  </r>
  <r>
    <s v="ORD-00455"/>
    <d v="2025-08-22T00:00:00"/>
    <s v="Customer 017"/>
    <x v="9"/>
    <s v="Technology"/>
    <s v="East"/>
    <n v="4"/>
    <n v="0.05"/>
    <n v="4560"/>
    <n v="553.67999999999995"/>
  </r>
  <r>
    <s v="ORD-00456"/>
    <d v="2025-03-23T00:00:00"/>
    <s v="Customer 048"/>
    <x v="4"/>
    <s v="Technology"/>
    <s v="South"/>
    <n v="1"/>
    <n v="0.1"/>
    <n v="765"/>
    <n v="281.04000000000002"/>
  </r>
  <r>
    <s v="ORD-00457"/>
    <d v="2025-01-27T00:00:00"/>
    <s v="Customer 012"/>
    <x v="11"/>
    <s v="Furniture"/>
    <s v="North"/>
    <n v="3"/>
    <n v="0.05"/>
    <n v="541.5"/>
    <n v="166.97"/>
  </r>
  <r>
    <s v="ORD-00458"/>
    <d v="2025-01-01T00:00:00"/>
    <s v="Customer 029"/>
    <x v="2"/>
    <s v="Furniture"/>
    <s v="West"/>
    <n v="4"/>
    <n v="0"/>
    <n v="220"/>
    <n v="89.37"/>
  </r>
  <r>
    <s v="ORD-00459"/>
    <d v="2025-01-05T00:00:00"/>
    <s v="Customer 055"/>
    <x v="9"/>
    <s v="Technology"/>
    <s v="South"/>
    <n v="3"/>
    <n v="0"/>
    <n v="3600"/>
    <n v="446.07"/>
  </r>
  <r>
    <s v="ORD-00460"/>
    <d v="2025-09-02T00:00:00"/>
    <s v="Customer 014"/>
    <x v="0"/>
    <s v="Technology"/>
    <s v="North"/>
    <n v="2"/>
    <n v="0.15"/>
    <n v="59.5"/>
    <n v="25.02"/>
  </r>
  <r>
    <s v="ORD-00461"/>
    <d v="2025-06-10T00:00:00"/>
    <s v="Customer 097"/>
    <x v="7"/>
    <s v="Technology"/>
    <s v="South"/>
    <n v="3"/>
    <n v="0.05"/>
    <n v="199.5"/>
    <n v="64.58"/>
  </r>
  <r>
    <s v="ORD-00462"/>
    <d v="2025-11-25T00:00:00"/>
    <s v="Customer 002"/>
    <x v="5"/>
    <s v="Technology"/>
    <s v="South"/>
    <n v="2"/>
    <n v="0"/>
    <n v="640"/>
    <n v="175.96"/>
  </r>
  <r>
    <s v="ORD-00463"/>
    <d v="2025-08-14T00:00:00"/>
    <s v="Customer 079"/>
    <x v="7"/>
    <s v="Technology"/>
    <s v="West"/>
    <n v="2"/>
    <n v="0.05"/>
    <n v="133"/>
    <n v="19.48"/>
  </r>
  <r>
    <s v="ORD-00464"/>
    <d v="2025-04-22T00:00:00"/>
    <s v="Customer 076"/>
    <x v="0"/>
    <s v="Technology"/>
    <s v="West"/>
    <n v="1"/>
    <n v="0.05"/>
    <n v="33.25"/>
    <n v="6.71"/>
  </r>
  <r>
    <s v="ORD-00465"/>
    <d v="2025-06-29T00:00:00"/>
    <s v="Customer 083"/>
    <x v="11"/>
    <s v="Furniture"/>
    <s v="North"/>
    <n v="3"/>
    <n v="0.05"/>
    <n v="541.5"/>
    <n v="199.4"/>
  </r>
  <r>
    <s v="ORD-00466"/>
    <d v="2025-05-08T00:00:00"/>
    <s v="Customer 037"/>
    <x v="8"/>
    <s v="Office Supplies"/>
    <s v="North"/>
    <n v="5"/>
    <n v="0.2"/>
    <n v="960"/>
    <n v="203.53"/>
  </r>
  <r>
    <s v="ORD-00467"/>
    <d v="2025-12-04T00:00:00"/>
    <s v="Customer 025"/>
    <x v="4"/>
    <s v="Technology"/>
    <s v="West"/>
    <n v="2"/>
    <n v="0.2"/>
    <n v="1360"/>
    <n v="339.61"/>
  </r>
  <r>
    <s v="ORD-00468"/>
    <d v="2025-06-01T00:00:00"/>
    <s v="Customer 015"/>
    <x v="5"/>
    <s v="Technology"/>
    <s v="South"/>
    <n v="1"/>
    <n v="0.05"/>
    <n v="304"/>
    <n v="87.15"/>
  </r>
  <r>
    <s v="ORD-00469"/>
    <d v="2025-09-13T00:00:00"/>
    <s v="Customer 002"/>
    <x v="5"/>
    <s v="Technology"/>
    <s v="East"/>
    <n v="5"/>
    <n v="0"/>
    <n v="1600"/>
    <n v="441.06"/>
  </r>
  <r>
    <s v="ORD-00470"/>
    <d v="2025-06-12T00:00:00"/>
    <s v="Customer 070"/>
    <x v="3"/>
    <s v="Furniture"/>
    <s v="South"/>
    <n v="4"/>
    <n v="0.2"/>
    <n v="896"/>
    <n v="278.76"/>
  </r>
  <r>
    <s v="ORD-00471"/>
    <d v="2025-08-30T00:00:00"/>
    <s v="Customer 034"/>
    <x v="0"/>
    <s v="Technology"/>
    <s v="South"/>
    <n v="1"/>
    <n v="0.2"/>
    <n v="28"/>
    <n v="11.98"/>
  </r>
  <r>
    <s v="ORD-00472"/>
    <d v="2025-01-21T00:00:00"/>
    <s v="Customer 092"/>
    <x v="9"/>
    <s v="Technology"/>
    <s v="West"/>
    <n v="4"/>
    <n v="0.2"/>
    <n v="3840"/>
    <n v="1364.96"/>
  </r>
  <r>
    <s v="ORD-00473"/>
    <d v="2025-08-05T00:00:00"/>
    <s v="Customer 069"/>
    <x v="1"/>
    <s v="Furniture"/>
    <s v="South"/>
    <n v="4"/>
    <n v="0"/>
    <n v="840"/>
    <n v="200.44"/>
  </r>
  <r>
    <s v="ORD-00474"/>
    <d v="2025-05-23T00:00:00"/>
    <s v="Customer 027"/>
    <x v="0"/>
    <s v="Technology"/>
    <s v="South"/>
    <n v="3"/>
    <n v="0"/>
    <n v="105"/>
    <n v="29.53"/>
  </r>
  <r>
    <s v="ORD-00475"/>
    <d v="2025-10-02T00:00:00"/>
    <s v="Customer 084"/>
    <x v="7"/>
    <s v="Technology"/>
    <s v="North"/>
    <n v="4"/>
    <n v="0.2"/>
    <n v="224"/>
    <n v="53.91"/>
  </r>
  <r>
    <s v="ORD-00476"/>
    <d v="2025-06-08T00:00:00"/>
    <s v="Customer 012"/>
    <x v="1"/>
    <s v="Furniture"/>
    <s v="West"/>
    <n v="4"/>
    <n v="0.05"/>
    <n v="798"/>
    <n v="343.85"/>
  </r>
  <r>
    <s v="ORD-00477"/>
    <d v="2025-03-01T00:00:00"/>
    <s v="Customer 086"/>
    <x v="6"/>
    <s v="Office Supplies"/>
    <s v="South"/>
    <n v="5"/>
    <n v="0.2"/>
    <n v="72"/>
    <n v="31.09"/>
  </r>
  <r>
    <s v="ORD-00478"/>
    <d v="2025-03-03T00:00:00"/>
    <s v="Customer 045"/>
    <x v="9"/>
    <s v="Technology"/>
    <s v="East"/>
    <n v="2"/>
    <n v="0"/>
    <n v="2400"/>
    <n v="950.24"/>
  </r>
  <r>
    <s v="ORD-00479"/>
    <d v="2025-03-27T00:00:00"/>
    <s v="Customer 016"/>
    <x v="7"/>
    <s v="Technology"/>
    <s v="North"/>
    <n v="2"/>
    <n v="0.1"/>
    <n v="126"/>
    <n v="26.22"/>
  </r>
  <r>
    <s v="ORD-00480"/>
    <d v="2025-06-21T00:00:00"/>
    <s v="Customer 092"/>
    <x v="11"/>
    <s v="Furniture"/>
    <s v="North"/>
    <n v="3"/>
    <n v="0.2"/>
    <n v="456"/>
    <n v="195.59"/>
  </r>
  <r>
    <s v="ORD-00481"/>
    <d v="2025-09-12T00:00:00"/>
    <s v="Customer 073"/>
    <x v="6"/>
    <s v="Office Supplies"/>
    <s v="South"/>
    <n v="5"/>
    <n v="0.1"/>
    <n v="81"/>
    <n v="34.97"/>
  </r>
  <r>
    <s v="ORD-00482"/>
    <d v="2025-07-08T00:00:00"/>
    <s v="Customer 087"/>
    <x v="3"/>
    <s v="Furniture"/>
    <s v="North"/>
    <n v="3"/>
    <n v="0"/>
    <n v="840"/>
    <n v="130.11000000000001"/>
  </r>
  <r>
    <s v="ORD-00483"/>
    <d v="2025-04-27T00:00:00"/>
    <s v="Customer 002"/>
    <x v="1"/>
    <s v="Furniture"/>
    <s v="South"/>
    <n v="5"/>
    <n v="0"/>
    <n v="1050"/>
    <n v="457.24"/>
  </r>
  <r>
    <s v="ORD-00484"/>
    <d v="2025-01-24T00:00:00"/>
    <s v="Customer 023"/>
    <x v="6"/>
    <s v="Office Supplies"/>
    <s v="North"/>
    <n v="3"/>
    <n v="0.15"/>
    <n v="45.9"/>
    <n v="6.72"/>
  </r>
  <r>
    <s v="ORD-00485"/>
    <d v="2025-10-11T00:00:00"/>
    <s v="Customer 054"/>
    <x v="1"/>
    <s v="Furniture"/>
    <s v="East"/>
    <n v="4"/>
    <n v="0.05"/>
    <n v="798"/>
    <n v="274.36"/>
  </r>
  <r>
    <s v="ORD-00486"/>
    <d v="2025-05-19T00:00:00"/>
    <s v="Customer 087"/>
    <x v="0"/>
    <s v="Technology"/>
    <s v="North"/>
    <n v="5"/>
    <n v="0.1"/>
    <n v="157.5"/>
    <n v="64.67"/>
  </r>
  <r>
    <s v="ORD-00487"/>
    <d v="2025-04-02T00:00:00"/>
    <s v="Customer 009"/>
    <x v="2"/>
    <s v="Furniture"/>
    <s v="West"/>
    <n v="5"/>
    <n v="0"/>
    <n v="275"/>
    <n v="37.17"/>
  </r>
  <r>
    <s v="ORD-00488"/>
    <d v="2025-05-25T00:00:00"/>
    <s v="Customer 002"/>
    <x v="4"/>
    <s v="Technology"/>
    <s v="East"/>
    <n v="3"/>
    <n v="0"/>
    <n v="2550"/>
    <n v="682.07"/>
  </r>
  <r>
    <s v="ORD-00489"/>
    <d v="2025-04-13T00:00:00"/>
    <s v="Customer 032"/>
    <x v="4"/>
    <s v="Technology"/>
    <s v="West"/>
    <n v="5"/>
    <n v="0.1"/>
    <n v="3825"/>
    <n v="787.72"/>
  </r>
  <r>
    <s v="ORD-00490"/>
    <d v="2025-07-08T00:00:00"/>
    <s v="Customer 070"/>
    <x v="10"/>
    <s v="Office Supplies"/>
    <s v="South"/>
    <n v="4"/>
    <n v="0.05"/>
    <n v="95"/>
    <n v="19.79"/>
  </r>
  <r>
    <s v="ORD-00491"/>
    <d v="2025-03-19T00:00:00"/>
    <s v="Customer 045"/>
    <x v="9"/>
    <s v="Technology"/>
    <s v="North"/>
    <n v="4"/>
    <n v="0"/>
    <n v="4800"/>
    <n v="1790.93"/>
  </r>
  <r>
    <s v="ORD-00492"/>
    <d v="2025-06-21T00:00:00"/>
    <s v="Customer 068"/>
    <x v="9"/>
    <s v="Technology"/>
    <s v="South"/>
    <n v="4"/>
    <n v="0.1"/>
    <n v="4320"/>
    <n v="1795.81"/>
  </r>
  <r>
    <s v="ORD-00493"/>
    <d v="2025-08-03T00:00:00"/>
    <s v="Customer 012"/>
    <x v="6"/>
    <s v="Office Supplies"/>
    <s v="North"/>
    <n v="1"/>
    <n v="0.05"/>
    <n v="17.100000000000001"/>
    <n v="3.68"/>
  </r>
  <r>
    <s v="ORD-00494"/>
    <d v="2025-04-29T00:00:00"/>
    <s v="Customer 096"/>
    <x v="8"/>
    <s v="Office Supplies"/>
    <s v="North"/>
    <n v="4"/>
    <n v="0.1"/>
    <n v="864"/>
    <n v="258.08"/>
  </r>
  <r>
    <s v="ORD-00495"/>
    <d v="2025-10-25T00:00:00"/>
    <s v="Customer 051"/>
    <x v="0"/>
    <s v="Technology"/>
    <s v="North"/>
    <n v="5"/>
    <n v="0.05"/>
    <n v="166.25"/>
    <n v="39.85"/>
  </r>
  <r>
    <s v="ORD-00496"/>
    <d v="2025-10-31T00:00:00"/>
    <s v="Customer 017"/>
    <x v="10"/>
    <s v="Office Supplies"/>
    <s v="South"/>
    <n v="1"/>
    <n v="0.15"/>
    <n v="21.25"/>
    <n v="4.92"/>
  </r>
  <r>
    <s v="ORD-00497"/>
    <d v="2025-05-30T00:00:00"/>
    <s v="Customer 095"/>
    <x v="4"/>
    <s v="Technology"/>
    <s v="East"/>
    <n v="3"/>
    <n v="0.15"/>
    <n v="2167.5"/>
    <n v="474.16"/>
  </r>
  <r>
    <s v="ORD-00498"/>
    <d v="2025-06-12T00:00:00"/>
    <s v="Customer 026"/>
    <x v="6"/>
    <s v="Office Supplies"/>
    <s v="South"/>
    <n v="3"/>
    <n v="0.05"/>
    <n v="51.3"/>
    <n v="21.82"/>
  </r>
  <r>
    <s v="ORD-00499"/>
    <d v="2025-10-27T00:00:00"/>
    <s v="Customer 060"/>
    <x v="0"/>
    <s v="Technology"/>
    <s v="East"/>
    <n v="2"/>
    <n v="0"/>
    <n v="70"/>
    <n v="27.7"/>
  </r>
  <r>
    <s v="ORD-00500"/>
    <d v="2025-07-28T00:00:00"/>
    <s v="Customer 027"/>
    <x v="0"/>
    <s v="Technology"/>
    <s v="West"/>
    <n v="5"/>
    <n v="0.1"/>
    <n v="157.5"/>
    <n v="20.74"/>
  </r>
  <r>
    <s v="ORD-00501"/>
    <d v="2025-06-07T00:00:00"/>
    <s v="Customer 088"/>
    <x v="6"/>
    <s v="Office Supplies"/>
    <s v="East"/>
    <n v="3"/>
    <n v="0"/>
    <n v="54"/>
    <n v="22.69"/>
  </r>
  <r>
    <s v="ORD-00502"/>
    <d v="2025-12-27T00:00:00"/>
    <s v="Customer 042"/>
    <x v="1"/>
    <s v="Furniture"/>
    <s v="South"/>
    <n v="5"/>
    <n v="0"/>
    <n v="1050"/>
    <n v="398"/>
  </r>
  <r>
    <s v="ORD-00503"/>
    <d v="2025-02-16T00:00:00"/>
    <s v="Customer 007"/>
    <x v="1"/>
    <s v="Furniture"/>
    <s v="East"/>
    <n v="2"/>
    <n v="0.1"/>
    <n v="378"/>
    <n v="120.67"/>
  </r>
  <r>
    <s v="ORD-00504"/>
    <d v="2025-05-14T00:00:00"/>
    <s v="Customer 072"/>
    <x v="3"/>
    <s v="Furniture"/>
    <s v="South"/>
    <n v="1"/>
    <n v="0.15"/>
    <n v="238"/>
    <n v="39.979999999999997"/>
  </r>
  <r>
    <s v="ORD-00505"/>
    <d v="2025-02-18T00:00:00"/>
    <s v="Customer 008"/>
    <x v="6"/>
    <s v="Office Supplies"/>
    <s v="South"/>
    <n v="1"/>
    <n v="0.05"/>
    <n v="17.100000000000001"/>
    <n v="7.01"/>
  </r>
  <r>
    <s v="ORD-00506"/>
    <d v="2025-03-08T00:00:00"/>
    <s v="Customer 083"/>
    <x v="2"/>
    <s v="Furniture"/>
    <s v="North"/>
    <n v="4"/>
    <n v="0.1"/>
    <n v="198"/>
    <n v="44.26"/>
  </r>
  <r>
    <s v="ORD-00507"/>
    <d v="2025-10-26T00:00:00"/>
    <s v="Customer 009"/>
    <x v="10"/>
    <s v="Office Supplies"/>
    <s v="South"/>
    <n v="3"/>
    <n v="0"/>
    <n v="75"/>
    <n v="33.21"/>
  </r>
  <r>
    <s v="ORD-00508"/>
    <d v="2025-11-27T00:00:00"/>
    <s v="Customer 043"/>
    <x v="6"/>
    <s v="Office Supplies"/>
    <s v="North"/>
    <n v="2"/>
    <n v="0"/>
    <n v="36"/>
    <n v="5.45"/>
  </r>
  <r>
    <s v="ORD-00509"/>
    <d v="2025-01-22T00:00:00"/>
    <s v="Customer 056"/>
    <x v="6"/>
    <s v="Office Supplies"/>
    <s v="West"/>
    <n v="1"/>
    <n v="0.05"/>
    <n v="17.100000000000001"/>
    <n v="2.48"/>
  </r>
  <r>
    <s v="ORD-00510"/>
    <d v="2025-09-12T00:00:00"/>
    <s v="Customer 028"/>
    <x v="9"/>
    <s v="Technology"/>
    <s v="South"/>
    <n v="4"/>
    <n v="0.15"/>
    <n v="4080"/>
    <n v="1603.33"/>
  </r>
  <r>
    <s v="ORD-00511"/>
    <d v="2025-05-21T00:00:00"/>
    <s v="Customer 080"/>
    <x v="4"/>
    <s v="Technology"/>
    <s v="South"/>
    <n v="4"/>
    <n v="0.05"/>
    <n v="3230"/>
    <n v="1416.57"/>
  </r>
  <r>
    <s v="ORD-00512"/>
    <d v="2025-11-28T00:00:00"/>
    <s v="Customer 062"/>
    <x v="4"/>
    <s v="Technology"/>
    <s v="North"/>
    <n v="4"/>
    <n v="0.15"/>
    <n v="2890"/>
    <n v="458.59"/>
  </r>
  <r>
    <s v="ORD-00513"/>
    <d v="2025-02-14T00:00:00"/>
    <s v="Customer 083"/>
    <x v="4"/>
    <s v="Technology"/>
    <s v="South"/>
    <n v="4"/>
    <n v="0.05"/>
    <n v="3230"/>
    <n v="1006.64"/>
  </r>
  <r>
    <s v="ORD-00514"/>
    <d v="2025-11-19T00:00:00"/>
    <s v="Customer 046"/>
    <x v="8"/>
    <s v="Office Supplies"/>
    <s v="West"/>
    <n v="1"/>
    <n v="0.15"/>
    <n v="204"/>
    <n v="39.159999999999997"/>
  </r>
  <r>
    <s v="ORD-00515"/>
    <d v="2025-10-06T00:00:00"/>
    <s v="Customer 050"/>
    <x v="6"/>
    <s v="Office Supplies"/>
    <s v="East"/>
    <n v="3"/>
    <n v="0.2"/>
    <n v="43.2"/>
    <n v="12.28"/>
  </r>
  <r>
    <s v="ORD-00516"/>
    <d v="2025-04-03T00:00:00"/>
    <s v="Customer 100"/>
    <x v="9"/>
    <s v="Technology"/>
    <s v="East"/>
    <n v="3"/>
    <n v="0.2"/>
    <n v="2880"/>
    <n v="1087.8399999999999"/>
  </r>
  <r>
    <s v="ORD-00517"/>
    <d v="2025-01-30T00:00:00"/>
    <s v="Customer 030"/>
    <x v="6"/>
    <s v="Office Supplies"/>
    <s v="South"/>
    <n v="5"/>
    <n v="0.1"/>
    <n v="81"/>
    <n v="15.95"/>
  </r>
  <r>
    <s v="ORD-00518"/>
    <d v="2025-02-21T00:00:00"/>
    <s v="Customer 095"/>
    <x v="2"/>
    <s v="Furniture"/>
    <s v="North"/>
    <n v="2"/>
    <n v="0.1"/>
    <n v="99"/>
    <n v="27.11"/>
  </r>
  <r>
    <s v="ORD-00519"/>
    <d v="2025-04-23T00:00:00"/>
    <s v="Customer 023"/>
    <x v="10"/>
    <s v="Office Supplies"/>
    <s v="South"/>
    <n v="4"/>
    <n v="0.1"/>
    <n v="90"/>
    <n v="12.72"/>
  </r>
  <r>
    <s v="ORD-00520"/>
    <d v="2025-05-02T00:00:00"/>
    <s v="Customer 004"/>
    <x v="10"/>
    <s v="Office Supplies"/>
    <s v="East"/>
    <n v="3"/>
    <n v="0.1"/>
    <n v="67.5"/>
    <n v="10.02"/>
  </r>
  <r>
    <s v="ORD-00521"/>
    <d v="2025-10-18T00:00:00"/>
    <s v="Customer 064"/>
    <x v="10"/>
    <s v="Office Supplies"/>
    <s v="East"/>
    <n v="2"/>
    <n v="0.2"/>
    <n v="40"/>
    <n v="5.48"/>
  </r>
  <r>
    <s v="ORD-00522"/>
    <d v="2025-03-31T00:00:00"/>
    <s v="Customer 078"/>
    <x v="6"/>
    <s v="Office Supplies"/>
    <s v="South"/>
    <n v="1"/>
    <n v="0"/>
    <n v="18"/>
    <n v="7.77"/>
  </r>
  <r>
    <s v="ORD-00523"/>
    <d v="2025-01-11T00:00:00"/>
    <s v="Customer 079"/>
    <x v="8"/>
    <s v="Office Supplies"/>
    <s v="South"/>
    <n v="4"/>
    <n v="0"/>
    <n v="960"/>
    <n v="326.91000000000003"/>
  </r>
  <r>
    <s v="ORD-00524"/>
    <d v="2025-03-08T00:00:00"/>
    <s v="Customer 019"/>
    <x v="7"/>
    <s v="Technology"/>
    <s v="South"/>
    <n v="2"/>
    <n v="0.1"/>
    <n v="126"/>
    <n v="54.22"/>
  </r>
  <r>
    <s v="ORD-00525"/>
    <d v="2025-02-26T00:00:00"/>
    <s v="Customer 085"/>
    <x v="8"/>
    <s v="Office Supplies"/>
    <s v="West"/>
    <n v="3"/>
    <n v="0"/>
    <n v="720"/>
    <n v="235.23"/>
  </r>
  <r>
    <s v="ORD-00526"/>
    <d v="2025-10-28T00:00:00"/>
    <s v="Customer 021"/>
    <x v="0"/>
    <s v="Technology"/>
    <s v="West"/>
    <n v="3"/>
    <n v="0.1"/>
    <n v="94.5"/>
    <n v="32.46"/>
  </r>
  <r>
    <s v="ORD-00527"/>
    <d v="2025-11-24T00:00:00"/>
    <s v="Customer 072"/>
    <x v="6"/>
    <s v="Office Supplies"/>
    <s v="East"/>
    <n v="3"/>
    <n v="0.05"/>
    <n v="51.3"/>
    <n v="11.11"/>
  </r>
  <r>
    <s v="ORD-00528"/>
    <d v="2025-04-25T00:00:00"/>
    <s v="Customer 094"/>
    <x v="5"/>
    <s v="Technology"/>
    <s v="East"/>
    <n v="5"/>
    <n v="0.05"/>
    <n v="1520"/>
    <n v="494.2"/>
  </r>
  <r>
    <s v="ORD-00529"/>
    <d v="2025-03-07T00:00:00"/>
    <s v="Customer 099"/>
    <x v="3"/>
    <s v="Furniture"/>
    <s v="North"/>
    <n v="1"/>
    <n v="0.2"/>
    <n v="224"/>
    <n v="71.849999999999994"/>
  </r>
  <r>
    <s v="ORD-00530"/>
    <d v="2025-04-04T00:00:00"/>
    <s v="Customer 073"/>
    <x v="10"/>
    <s v="Office Supplies"/>
    <s v="North"/>
    <n v="3"/>
    <n v="0.2"/>
    <n v="60"/>
    <n v="22.63"/>
  </r>
  <r>
    <s v="ORD-00531"/>
    <d v="2025-09-12T00:00:00"/>
    <s v="Customer 041"/>
    <x v="3"/>
    <s v="Furniture"/>
    <s v="South"/>
    <n v="3"/>
    <n v="0"/>
    <n v="840"/>
    <n v="312.02999999999997"/>
  </r>
  <r>
    <s v="ORD-00532"/>
    <d v="2025-11-22T00:00:00"/>
    <s v="Customer 027"/>
    <x v="0"/>
    <s v="Technology"/>
    <s v="South"/>
    <n v="3"/>
    <n v="0.15"/>
    <n v="89.25"/>
    <n v="39.83"/>
  </r>
  <r>
    <s v="ORD-00533"/>
    <d v="2025-12-21T00:00:00"/>
    <s v="Customer 093"/>
    <x v="0"/>
    <s v="Technology"/>
    <s v="North"/>
    <n v="3"/>
    <n v="0.1"/>
    <n v="94.5"/>
    <n v="17.98"/>
  </r>
  <r>
    <s v="ORD-00534"/>
    <d v="2025-01-25T00:00:00"/>
    <s v="Customer 053"/>
    <x v="11"/>
    <s v="Furniture"/>
    <s v="West"/>
    <n v="4"/>
    <n v="0.15"/>
    <n v="646"/>
    <n v="84.11"/>
  </r>
  <r>
    <s v="ORD-00535"/>
    <d v="2025-07-13T00:00:00"/>
    <s v="Customer 062"/>
    <x v="7"/>
    <s v="Technology"/>
    <s v="South"/>
    <n v="5"/>
    <n v="0.15"/>
    <n v="297.5"/>
    <n v="123.92"/>
  </r>
  <r>
    <s v="ORD-00536"/>
    <d v="2025-03-25T00:00:00"/>
    <s v="Customer 041"/>
    <x v="6"/>
    <s v="Office Supplies"/>
    <s v="East"/>
    <n v="1"/>
    <n v="0"/>
    <n v="18"/>
    <n v="6.35"/>
  </r>
  <r>
    <s v="ORD-00537"/>
    <d v="2025-02-23T00:00:00"/>
    <s v="Customer 021"/>
    <x v="0"/>
    <s v="Technology"/>
    <s v="North"/>
    <n v="3"/>
    <n v="0.05"/>
    <n v="99.75"/>
    <n v="15.66"/>
  </r>
  <r>
    <s v="ORD-00538"/>
    <d v="2025-10-08T00:00:00"/>
    <s v="Customer 062"/>
    <x v="0"/>
    <s v="Technology"/>
    <s v="North"/>
    <n v="3"/>
    <n v="0.2"/>
    <n v="84"/>
    <n v="10.49"/>
  </r>
  <r>
    <s v="ORD-00539"/>
    <d v="2025-08-09T00:00:00"/>
    <s v="Customer 021"/>
    <x v="5"/>
    <s v="Technology"/>
    <s v="North"/>
    <n v="2"/>
    <n v="0.2"/>
    <n v="512"/>
    <n v="80.069999999999993"/>
  </r>
  <r>
    <s v="ORD-00540"/>
    <d v="2025-02-21T00:00:00"/>
    <s v="Customer 071"/>
    <x v="7"/>
    <s v="Technology"/>
    <s v="East"/>
    <n v="2"/>
    <n v="0.05"/>
    <n v="133"/>
    <n v="41.89"/>
  </r>
  <r>
    <s v="ORD-00541"/>
    <d v="2025-12-05T00:00:00"/>
    <s v="Customer 051"/>
    <x v="4"/>
    <s v="Technology"/>
    <s v="West"/>
    <n v="3"/>
    <n v="0.05"/>
    <n v="2422.5"/>
    <n v="1013.45"/>
  </r>
  <r>
    <s v="ORD-00542"/>
    <d v="2025-03-20T00:00:00"/>
    <s v="Customer 038"/>
    <x v="9"/>
    <s v="Technology"/>
    <s v="West"/>
    <n v="3"/>
    <n v="0"/>
    <n v="3600"/>
    <n v="1112"/>
  </r>
  <r>
    <s v="ORD-00543"/>
    <d v="2025-04-13T00:00:00"/>
    <s v="Customer 038"/>
    <x v="0"/>
    <s v="Technology"/>
    <s v="North"/>
    <n v="1"/>
    <n v="0.05"/>
    <n v="33.25"/>
    <n v="13.09"/>
  </r>
  <r>
    <s v="ORD-00544"/>
    <d v="2025-08-31T00:00:00"/>
    <s v="Customer 085"/>
    <x v="0"/>
    <s v="Technology"/>
    <s v="East"/>
    <n v="3"/>
    <n v="0.15"/>
    <n v="89.25"/>
    <n v="26.29"/>
  </r>
  <r>
    <s v="ORD-00545"/>
    <d v="2025-02-16T00:00:00"/>
    <s v="Customer 049"/>
    <x v="5"/>
    <s v="Technology"/>
    <s v="East"/>
    <n v="5"/>
    <n v="0.15"/>
    <n v="1360"/>
    <n v="529.03"/>
  </r>
  <r>
    <s v="ORD-00546"/>
    <d v="2025-04-06T00:00:00"/>
    <s v="Customer 034"/>
    <x v="6"/>
    <s v="Office Supplies"/>
    <s v="South"/>
    <n v="1"/>
    <n v="0.1"/>
    <n v="16.2"/>
    <n v="4.9400000000000004"/>
  </r>
  <r>
    <s v="ORD-00547"/>
    <d v="2025-05-18T00:00:00"/>
    <s v="Customer 086"/>
    <x v="10"/>
    <s v="Office Supplies"/>
    <s v="North"/>
    <n v="1"/>
    <n v="0.05"/>
    <n v="23.75"/>
    <n v="4.79"/>
  </r>
  <r>
    <s v="ORD-00548"/>
    <d v="2025-02-13T00:00:00"/>
    <s v="Customer 097"/>
    <x v="5"/>
    <s v="Technology"/>
    <s v="South"/>
    <n v="3"/>
    <n v="0.2"/>
    <n v="768"/>
    <n v="240.68"/>
  </r>
  <r>
    <s v="ORD-00549"/>
    <d v="2025-10-11T00:00:00"/>
    <s v="Customer 069"/>
    <x v="9"/>
    <s v="Technology"/>
    <s v="West"/>
    <n v="4"/>
    <n v="0.2"/>
    <n v="3840"/>
    <n v="1197.51"/>
  </r>
  <r>
    <s v="ORD-00550"/>
    <d v="2025-10-21T00:00:00"/>
    <s v="Customer 092"/>
    <x v="2"/>
    <s v="Furniture"/>
    <s v="North"/>
    <n v="4"/>
    <n v="0.1"/>
    <n v="198"/>
    <n v="83.94"/>
  </r>
  <r>
    <s v="ORD-00551"/>
    <d v="2025-09-15T00:00:00"/>
    <s v="Customer 080"/>
    <x v="10"/>
    <s v="Office Supplies"/>
    <s v="South"/>
    <n v="5"/>
    <n v="0.2"/>
    <n v="100"/>
    <n v="22.64"/>
  </r>
  <r>
    <s v="ORD-00552"/>
    <d v="2025-03-03T00:00:00"/>
    <s v="Customer 025"/>
    <x v="6"/>
    <s v="Office Supplies"/>
    <s v="South"/>
    <n v="2"/>
    <n v="0.05"/>
    <n v="34.200000000000003"/>
    <n v="4.42"/>
  </r>
  <r>
    <s v="ORD-00553"/>
    <d v="2025-01-22T00:00:00"/>
    <s v="Customer 081"/>
    <x v="11"/>
    <s v="Furniture"/>
    <s v="South"/>
    <n v="1"/>
    <n v="0.15"/>
    <n v="161.5"/>
    <n v="61.91"/>
  </r>
  <r>
    <s v="ORD-00554"/>
    <d v="2025-11-01T00:00:00"/>
    <s v="Customer 072"/>
    <x v="4"/>
    <s v="Technology"/>
    <s v="West"/>
    <n v="3"/>
    <n v="0"/>
    <n v="2550"/>
    <n v="1074.27"/>
  </r>
  <r>
    <s v="ORD-00555"/>
    <d v="2025-10-10T00:00:00"/>
    <s v="Customer 002"/>
    <x v="7"/>
    <s v="Technology"/>
    <s v="West"/>
    <n v="3"/>
    <n v="0.2"/>
    <n v="168"/>
    <n v="50.2"/>
  </r>
  <r>
    <s v="ORD-00556"/>
    <d v="2025-02-27T00:00:00"/>
    <s v="Customer 075"/>
    <x v="11"/>
    <s v="Furniture"/>
    <s v="North"/>
    <n v="2"/>
    <n v="0.05"/>
    <n v="361"/>
    <n v="94.95"/>
  </r>
  <r>
    <s v="ORD-00557"/>
    <d v="2025-02-24T00:00:00"/>
    <s v="Customer 045"/>
    <x v="10"/>
    <s v="Office Supplies"/>
    <s v="West"/>
    <n v="1"/>
    <n v="0.1"/>
    <n v="22.5"/>
    <n v="3.68"/>
  </r>
  <r>
    <s v="ORD-00558"/>
    <d v="2025-05-16T00:00:00"/>
    <s v="Customer 005"/>
    <x v="11"/>
    <s v="Furniture"/>
    <s v="South"/>
    <n v="4"/>
    <n v="0.2"/>
    <n v="608"/>
    <n v="151.41999999999999"/>
  </r>
  <r>
    <s v="ORD-00559"/>
    <d v="2025-05-22T00:00:00"/>
    <s v="Customer 089"/>
    <x v="11"/>
    <s v="Furniture"/>
    <s v="West"/>
    <n v="2"/>
    <n v="0.2"/>
    <n v="304"/>
    <n v="75.739999999999995"/>
  </r>
  <r>
    <s v="ORD-00560"/>
    <d v="2025-01-20T00:00:00"/>
    <s v="Customer 061"/>
    <x v="11"/>
    <s v="Furniture"/>
    <s v="East"/>
    <n v="3"/>
    <n v="0.05"/>
    <n v="541.5"/>
    <n v="234.87"/>
  </r>
  <r>
    <s v="ORD-00561"/>
    <d v="2025-07-10T00:00:00"/>
    <s v="Customer 063"/>
    <x v="9"/>
    <s v="Technology"/>
    <s v="North"/>
    <n v="3"/>
    <n v="0.1"/>
    <n v="3240"/>
    <n v="1125.53"/>
  </r>
  <r>
    <s v="ORD-00562"/>
    <d v="2025-04-27T00:00:00"/>
    <s v="Customer 042"/>
    <x v="3"/>
    <s v="Furniture"/>
    <s v="East"/>
    <n v="3"/>
    <n v="0.15"/>
    <n v="714"/>
    <n v="138.91999999999999"/>
  </r>
  <r>
    <s v="ORD-00563"/>
    <d v="2025-08-02T00:00:00"/>
    <s v="Customer 053"/>
    <x v="10"/>
    <s v="Office Supplies"/>
    <s v="West"/>
    <n v="1"/>
    <n v="0.05"/>
    <n v="23.75"/>
    <n v="7.23"/>
  </r>
  <r>
    <s v="ORD-00564"/>
    <d v="2025-09-22T00:00:00"/>
    <s v="Customer 009"/>
    <x v="7"/>
    <s v="Technology"/>
    <s v="East"/>
    <n v="1"/>
    <n v="0.2"/>
    <n v="56"/>
    <n v="10.57"/>
  </r>
  <r>
    <s v="ORD-00565"/>
    <d v="2025-12-30T00:00:00"/>
    <s v="Customer 068"/>
    <x v="8"/>
    <s v="Office Supplies"/>
    <s v="North"/>
    <n v="4"/>
    <n v="0.05"/>
    <n v="912"/>
    <n v="175.5"/>
  </r>
  <r>
    <s v="ORD-00566"/>
    <d v="2025-03-30T00:00:00"/>
    <s v="Customer 059"/>
    <x v="2"/>
    <s v="Furniture"/>
    <s v="North"/>
    <n v="2"/>
    <n v="0"/>
    <n v="110"/>
    <n v="40.44"/>
  </r>
  <r>
    <s v="ORD-00567"/>
    <d v="2025-07-04T00:00:00"/>
    <s v="Customer 060"/>
    <x v="1"/>
    <s v="Furniture"/>
    <s v="West"/>
    <n v="2"/>
    <n v="0.1"/>
    <n v="378"/>
    <n v="124.15"/>
  </r>
  <r>
    <s v="ORD-00568"/>
    <d v="2025-11-22T00:00:00"/>
    <s v="Customer 077"/>
    <x v="0"/>
    <s v="Technology"/>
    <s v="West"/>
    <n v="1"/>
    <n v="0.05"/>
    <n v="33.25"/>
    <n v="10.88"/>
  </r>
  <r>
    <s v="ORD-00569"/>
    <d v="2025-04-01T00:00:00"/>
    <s v="Customer 021"/>
    <x v="6"/>
    <s v="Office Supplies"/>
    <s v="East"/>
    <n v="5"/>
    <n v="0.2"/>
    <n v="72"/>
    <n v="24.09"/>
  </r>
  <r>
    <s v="ORD-00570"/>
    <d v="2025-12-19T00:00:00"/>
    <s v="Customer 021"/>
    <x v="0"/>
    <s v="Technology"/>
    <s v="South"/>
    <n v="3"/>
    <n v="0"/>
    <n v="105"/>
    <n v="33.86"/>
  </r>
  <r>
    <s v="ORD-00571"/>
    <d v="2025-04-24T00:00:00"/>
    <s v="Customer 053"/>
    <x v="5"/>
    <s v="Technology"/>
    <s v="North"/>
    <n v="2"/>
    <n v="0.05"/>
    <n v="608"/>
    <n v="219.61"/>
  </r>
  <r>
    <s v="ORD-00572"/>
    <d v="2025-12-16T00:00:00"/>
    <s v="Customer 077"/>
    <x v="9"/>
    <s v="Technology"/>
    <s v="North"/>
    <n v="4"/>
    <n v="0.05"/>
    <n v="4560"/>
    <n v="1077.8399999999999"/>
  </r>
  <r>
    <s v="ORD-00573"/>
    <d v="2025-04-25T00:00:00"/>
    <s v="Customer 091"/>
    <x v="4"/>
    <s v="Technology"/>
    <s v="East"/>
    <n v="5"/>
    <n v="0.1"/>
    <n v="3825"/>
    <n v="821.59"/>
  </r>
  <r>
    <s v="ORD-00574"/>
    <d v="2025-08-05T00:00:00"/>
    <s v="Customer 060"/>
    <x v="11"/>
    <s v="Furniture"/>
    <s v="East"/>
    <n v="3"/>
    <n v="0.15"/>
    <n v="484.5"/>
    <n v="177.73"/>
  </r>
  <r>
    <s v="ORD-00575"/>
    <d v="2025-12-13T00:00:00"/>
    <s v="Customer 001"/>
    <x v="8"/>
    <s v="Office Supplies"/>
    <s v="East"/>
    <n v="5"/>
    <n v="0.15"/>
    <n v="1020"/>
    <n v="262.26"/>
  </r>
  <r>
    <s v="ORD-00576"/>
    <d v="2025-10-15T00:00:00"/>
    <s v="Customer 088"/>
    <x v="5"/>
    <s v="Technology"/>
    <s v="North"/>
    <n v="5"/>
    <n v="0.2"/>
    <n v="1280"/>
    <n v="456.6"/>
  </r>
  <r>
    <s v="ORD-00577"/>
    <d v="2025-09-04T00:00:00"/>
    <s v="Customer 036"/>
    <x v="0"/>
    <s v="Technology"/>
    <s v="East"/>
    <n v="3"/>
    <n v="0.1"/>
    <n v="94.5"/>
    <n v="22.55"/>
  </r>
  <r>
    <s v="ORD-00578"/>
    <d v="2025-12-02T00:00:00"/>
    <s v="Customer 098"/>
    <x v="1"/>
    <s v="Furniture"/>
    <s v="South"/>
    <n v="3"/>
    <n v="0.05"/>
    <n v="598.5"/>
    <n v="239.71"/>
  </r>
  <r>
    <s v="ORD-00579"/>
    <d v="2025-01-30T00:00:00"/>
    <s v="Customer 093"/>
    <x v="10"/>
    <s v="Office Supplies"/>
    <s v="North"/>
    <n v="4"/>
    <n v="0.1"/>
    <n v="90"/>
    <n v="20.28"/>
  </r>
  <r>
    <s v="ORD-00580"/>
    <d v="2025-12-02T00:00:00"/>
    <s v="Customer 052"/>
    <x v="6"/>
    <s v="Office Supplies"/>
    <s v="West"/>
    <n v="3"/>
    <n v="0.1"/>
    <n v="48.6"/>
    <n v="7.32"/>
  </r>
  <r>
    <s v="ORD-00581"/>
    <d v="2025-01-19T00:00:00"/>
    <s v="Customer 092"/>
    <x v="10"/>
    <s v="Office Supplies"/>
    <s v="South"/>
    <n v="5"/>
    <n v="0.05"/>
    <n v="118.75"/>
    <n v="39.99"/>
  </r>
  <r>
    <s v="ORD-00582"/>
    <d v="2025-12-18T00:00:00"/>
    <s v="Customer 022"/>
    <x v="8"/>
    <s v="Office Supplies"/>
    <s v="South"/>
    <n v="4"/>
    <n v="0.1"/>
    <n v="864"/>
    <n v="244.15"/>
  </r>
  <r>
    <s v="ORD-00583"/>
    <d v="2025-05-31T00:00:00"/>
    <s v="Customer 093"/>
    <x v="0"/>
    <s v="Technology"/>
    <s v="South"/>
    <n v="4"/>
    <n v="0.05"/>
    <n v="133"/>
    <n v="27.33"/>
  </r>
  <r>
    <s v="ORD-00584"/>
    <d v="2025-12-15T00:00:00"/>
    <s v="Customer 096"/>
    <x v="7"/>
    <s v="Technology"/>
    <s v="East"/>
    <n v="1"/>
    <n v="0.05"/>
    <n v="66.5"/>
    <n v="22.13"/>
  </r>
  <r>
    <s v="ORD-00585"/>
    <d v="2025-08-04T00:00:00"/>
    <s v="Customer 060"/>
    <x v="7"/>
    <s v="Technology"/>
    <s v="North"/>
    <n v="3"/>
    <n v="0.1"/>
    <n v="189"/>
    <n v="48.53"/>
  </r>
  <r>
    <s v="ORD-00586"/>
    <d v="2025-08-29T00:00:00"/>
    <s v="Customer 010"/>
    <x v="9"/>
    <s v="Technology"/>
    <s v="West"/>
    <n v="5"/>
    <n v="0.2"/>
    <n v="4800"/>
    <n v="664.23"/>
  </r>
  <r>
    <s v="ORD-00587"/>
    <d v="2025-04-10T00:00:00"/>
    <s v="Customer 053"/>
    <x v="8"/>
    <s v="Office Supplies"/>
    <s v="North"/>
    <n v="1"/>
    <n v="0.15"/>
    <n v="204"/>
    <n v="56.13"/>
  </r>
  <r>
    <s v="ORD-00588"/>
    <d v="2025-03-19T00:00:00"/>
    <s v="Customer 073"/>
    <x v="3"/>
    <s v="Furniture"/>
    <s v="West"/>
    <n v="2"/>
    <n v="0.1"/>
    <n v="504"/>
    <n v="158.74"/>
  </r>
  <r>
    <s v="ORD-00589"/>
    <d v="2025-03-15T00:00:00"/>
    <s v="Customer 081"/>
    <x v="7"/>
    <s v="Technology"/>
    <s v="South"/>
    <n v="2"/>
    <n v="0"/>
    <n v="140"/>
    <n v="40.47"/>
  </r>
  <r>
    <s v="ORD-00590"/>
    <d v="2025-06-10T00:00:00"/>
    <s v="Customer 027"/>
    <x v="5"/>
    <s v="Technology"/>
    <s v="South"/>
    <n v="1"/>
    <n v="0"/>
    <n v="320"/>
    <n v="96.26"/>
  </r>
  <r>
    <s v="ORD-00591"/>
    <d v="2025-10-23T00:00:00"/>
    <s v="Customer 056"/>
    <x v="3"/>
    <s v="Furniture"/>
    <s v="West"/>
    <n v="4"/>
    <n v="0"/>
    <n v="1120"/>
    <n v="456.17"/>
  </r>
  <r>
    <s v="ORD-00592"/>
    <d v="2025-07-26T00:00:00"/>
    <s v="Customer 069"/>
    <x v="11"/>
    <s v="Furniture"/>
    <s v="South"/>
    <n v="4"/>
    <n v="0.15"/>
    <n v="646"/>
    <n v="289.7"/>
  </r>
  <r>
    <s v="ORD-00593"/>
    <d v="2025-07-11T00:00:00"/>
    <s v="Customer 087"/>
    <x v="9"/>
    <s v="Technology"/>
    <s v="North"/>
    <n v="3"/>
    <n v="0.2"/>
    <n v="2880"/>
    <n v="1114.8800000000001"/>
  </r>
  <r>
    <s v="ORD-00594"/>
    <d v="2025-11-17T00:00:00"/>
    <s v="Customer 045"/>
    <x v="1"/>
    <s v="Furniture"/>
    <s v="East"/>
    <n v="2"/>
    <n v="0.05"/>
    <n v="399"/>
    <n v="88.23"/>
  </r>
  <r>
    <s v="ORD-00595"/>
    <d v="2025-03-08T00:00:00"/>
    <s v="Customer 022"/>
    <x v="0"/>
    <s v="Technology"/>
    <s v="North"/>
    <n v="4"/>
    <n v="0.2"/>
    <n v="112"/>
    <n v="28.64"/>
  </r>
  <r>
    <s v="ORD-00596"/>
    <d v="2025-01-24T00:00:00"/>
    <s v="Customer 077"/>
    <x v="4"/>
    <s v="Technology"/>
    <s v="East"/>
    <n v="3"/>
    <n v="0.15"/>
    <n v="2167.5"/>
    <n v="454.78"/>
  </r>
  <r>
    <s v="ORD-00597"/>
    <d v="2025-08-11T00:00:00"/>
    <s v="Customer 063"/>
    <x v="5"/>
    <s v="Technology"/>
    <s v="East"/>
    <n v="2"/>
    <n v="0.1"/>
    <n v="576"/>
    <n v="69.849999999999994"/>
  </r>
  <r>
    <s v="ORD-00598"/>
    <d v="2025-04-07T00:00:00"/>
    <s v="Customer 094"/>
    <x v="3"/>
    <s v="Furniture"/>
    <s v="South"/>
    <n v="4"/>
    <n v="0"/>
    <n v="1120"/>
    <n v="419.58"/>
  </r>
  <r>
    <s v="ORD-00599"/>
    <d v="2025-04-19T00:00:00"/>
    <s v="Customer 016"/>
    <x v="1"/>
    <s v="Furniture"/>
    <s v="East"/>
    <n v="1"/>
    <n v="0.2"/>
    <n v="168"/>
    <n v="47.62"/>
  </r>
  <r>
    <s v="ORD-00600"/>
    <d v="2025-12-31T00:00:00"/>
    <s v="Customer 033"/>
    <x v="5"/>
    <s v="Technology"/>
    <s v="North"/>
    <n v="1"/>
    <n v="0.15"/>
    <n v="272"/>
    <n v="43.72"/>
  </r>
  <r>
    <s v="ORD-00601"/>
    <d v="2025-11-01T00:00:00"/>
    <s v="Customer 015"/>
    <x v="9"/>
    <s v="Technology"/>
    <s v="West"/>
    <n v="1"/>
    <n v="0"/>
    <n v="1200"/>
    <n v="520.9"/>
  </r>
  <r>
    <s v="ORD-00602"/>
    <d v="2025-08-16T00:00:00"/>
    <s v="Customer 090"/>
    <x v="11"/>
    <s v="Furniture"/>
    <s v="South"/>
    <n v="1"/>
    <n v="0.2"/>
    <n v="152"/>
    <n v="55.72"/>
  </r>
  <r>
    <s v="ORD-00603"/>
    <d v="2025-04-16T00:00:00"/>
    <s v="Customer 013"/>
    <x v="1"/>
    <s v="Furniture"/>
    <s v="East"/>
    <n v="1"/>
    <n v="0.1"/>
    <n v="189"/>
    <n v="58.8"/>
  </r>
  <r>
    <s v="ORD-00604"/>
    <d v="2025-11-15T00:00:00"/>
    <s v="Customer 014"/>
    <x v="10"/>
    <s v="Office Supplies"/>
    <s v="North"/>
    <n v="2"/>
    <n v="0.15"/>
    <n v="42.5"/>
    <n v="7.48"/>
  </r>
  <r>
    <s v="ORD-00605"/>
    <d v="2025-05-25T00:00:00"/>
    <s v="Customer 026"/>
    <x v="0"/>
    <s v="Technology"/>
    <s v="East"/>
    <n v="1"/>
    <n v="0.15"/>
    <n v="29.75"/>
    <n v="11.44"/>
  </r>
  <r>
    <s v="ORD-00606"/>
    <d v="2025-09-25T00:00:00"/>
    <s v="Customer 006"/>
    <x v="2"/>
    <s v="Furniture"/>
    <s v="West"/>
    <n v="3"/>
    <n v="0.15"/>
    <n v="140.25"/>
    <n v="49.44"/>
  </r>
  <r>
    <s v="ORD-00607"/>
    <d v="2025-04-17T00:00:00"/>
    <s v="Customer 002"/>
    <x v="1"/>
    <s v="Furniture"/>
    <s v="North"/>
    <n v="4"/>
    <n v="0.1"/>
    <n v="756"/>
    <n v="281.7"/>
  </r>
  <r>
    <s v="ORD-00608"/>
    <d v="2025-02-26T00:00:00"/>
    <s v="Customer 100"/>
    <x v="10"/>
    <s v="Office Supplies"/>
    <s v="North"/>
    <n v="4"/>
    <n v="0.05"/>
    <n v="95"/>
    <n v="12.98"/>
  </r>
  <r>
    <s v="ORD-00609"/>
    <d v="2025-02-21T00:00:00"/>
    <s v="Customer 038"/>
    <x v="4"/>
    <s v="Technology"/>
    <s v="East"/>
    <n v="2"/>
    <n v="0.15"/>
    <n v="1445"/>
    <n v="178.8"/>
  </r>
  <r>
    <s v="ORD-00610"/>
    <d v="2025-08-26T00:00:00"/>
    <s v="Customer 038"/>
    <x v="9"/>
    <s v="Technology"/>
    <s v="East"/>
    <n v="1"/>
    <n v="0.05"/>
    <n v="1140"/>
    <n v="184.15"/>
  </r>
  <r>
    <s v="ORD-00611"/>
    <d v="2025-12-13T00:00:00"/>
    <s v="Customer 098"/>
    <x v="7"/>
    <s v="Technology"/>
    <s v="North"/>
    <n v="4"/>
    <n v="0"/>
    <n v="280"/>
    <n v="117.22"/>
  </r>
  <r>
    <s v="ORD-00612"/>
    <d v="2025-01-05T00:00:00"/>
    <s v="Customer 057"/>
    <x v="3"/>
    <s v="Furniture"/>
    <s v="East"/>
    <n v="2"/>
    <n v="0.1"/>
    <n v="504"/>
    <n v="167.34"/>
  </r>
  <r>
    <s v="ORD-00613"/>
    <d v="2025-02-17T00:00:00"/>
    <s v="Customer 052"/>
    <x v="7"/>
    <s v="Technology"/>
    <s v="West"/>
    <n v="3"/>
    <n v="0.05"/>
    <n v="199.5"/>
    <n v="82.28"/>
  </r>
  <r>
    <s v="ORD-00614"/>
    <d v="2025-05-20T00:00:00"/>
    <s v="Customer 022"/>
    <x v="11"/>
    <s v="Furniture"/>
    <s v="North"/>
    <n v="4"/>
    <n v="0.15"/>
    <n v="646"/>
    <n v="152.38"/>
  </r>
  <r>
    <s v="ORD-00615"/>
    <d v="2025-03-09T00:00:00"/>
    <s v="Customer 076"/>
    <x v="1"/>
    <s v="Furniture"/>
    <s v="West"/>
    <n v="1"/>
    <n v="0.05"/>
    <n v="199.5"/>
    <n v="82.95"/>
  </r>
  <r>
    <s v="ORD-00616"/>
    <d v="2025-10-19T00:00:00"/>
    <s v="Customer 100"/>
    <x v="5"/>
    <s v="Technology"/>
    <s v="East"/>
    <n v="4"/>
    <n v="0.05"/>
    <n v="1216"/>
    <n v="301.89"/>
  </r>
  <r>
    <s v="ORD-00617"/>
    <d v="2025-11-10T00:00:00"/>
    <s v="Customer 015"/>
    <x v="9"/>
    <s v="Technology"/>
    <s v="West"/>
    <n v="2"/>
    <n v="0.15"/>
    <n v="2040"/>
    <n v="298.39"/>
  </r>
  <r>
    <s v="ORD-00618"/>
    <d v="2025-08-14T00:00:00"/>
    <s v="Customer 002"/>
    <x v="9"/>
    <s v="Technology"/>
    <s v="South"/>
    <n v="1"/>
    <n v="0.1"/>
    <n v="1080"/>
    <n v="252.57"/>
  </r>
  <r>
    <s v="ORD-00619"/>
    <d v="2025-12-09T00:00:00"/>
    <s v="Customer 080"/>
    <x v="7"/>
    <s v="Technology"/>
    <s v="North"/>
    <n v="5"/>
    <n v="0.2"/>
    <n v="280"/>
    <n v="62.41"/>
  </r>
  <r>
    <s v="ORD-00620"/>
    <d v="2025-08-10T00:00:00"/>
    <s v="Customer 087"/>
    <x v="5"/>
    <s v="Technology"/>
    <s v="West"/>
    <n v="2"/>
    <n v="0.15"/>
    <n v="544"/>
    <n v="182.73"/>
  </r>
  <r>
    <s v="ORD-00621"/>
    <d v="2025-03-18T00:00:00"/>
    <s v="Customer 021"/>
    <x v="8"/>
    <s v="Office Supplies"/>
    <s v="West"/>
    <n v="5"/>
    <n v="0"/>
    <n v="1200"/>
    <n v="535.39"/>
  </r>
  <r>
    <s v="ORD-00622"/>
    <d v="2025-09-11T00:00:00"/>
    <s v="Customer 043"/>
    <x v="3"/>
    <s v="Furniture"/>
    <s v="East"/>
    <n v="1"/>
    <n v="0.15"/>
    <n v="238"/>
    <n v="81.92"/>
  </r>
  <r>
    <s v="ORD-00623"/>
    <d v="2025-01-26T00:00:00"/>
    <s v="Customer 052"/>
    <x v="8"/>
    <s v="Office Supplies"/>
    <s v="South"/>
    <n v="2"/>
    <n v="0.2"/>
    <n v="384"/>
    <n v="91.28"/>
  </r>
  <r>
    <s v="ORD-00624"/>
    <d v="2025-02-10T00:00:00"/>
    <s v="Customer 064"/>
    <x v="6"/>
    <s v="Office Supplies"/>
    <s v="West"/>
    <n v="4"/>
    <n v="0.2"/>
    <n v="57.6"/>
    <n v="17.399999999999999"/>
  </r>
  <r>
    <s v="ORD-00625"/>
    <d v="2025-06-11T00:00:00"/>
    <s v="Customer 053"/>
    <x v="0"/>
    <s v="Technology"/>
    <s v="North"/>
    <n v="4"/>
    <n v="0"/>
    <n v="140"/>
    <n v="58.26"/>
  </r>
  <r>
    <s v="ORD-00626"/>
    <d v="2025-10-13T00:00:00"/>
    <s v="Customer 080"/>
    <x v="8"/>
    <s v="Office Supplies"/>
    <s v="East"/>
    <n v="1"/>
    <n v="0"/>
    <n v="240"/>
    <n v="45.29"/>
  </r>
  <r>
    <s v="ORD-00627"/>
    <d v="2025-09-18T00:00:00"/>
    <s v="Customer 047"/>
    <x v="8"/>
    <s v="Office Supplies"/>
    <s v="North"/>
    <n v="2"/>
    <n v="0.15"/>
    <n v="408"/>
    <n v="55.64"/>
  </r>
  <r>
    <s v="ORD-00628"/>
    <d v="2025-04-25T00:00:00"/>
    <s v="Customer 077"/>
    <x v="6"/>
    <s v="Office Supplies"/>
    <s v="West"/>
    <n v="3"/>
    <n v="0.2"/>
    <n v="43.2"/>
    <n v="8.5"/>
  </r>
  <r>
    <s v="ORD-00629"/>
    <d v="2025-12-03T00:00:00"/>
    <s v="Customer 085"/>
    <x v="7"/>
    <s v="Technology"/>
    <s v="South"/>
    <n v="4"/>
    <n v="0"/>
    <n v="280"/>
    <n v="117"/>
  </r>
  <r>
    <s v="ORD-00630"/>
    <d v="2025-01-02T00:00:00"/>
    <s v="Customer 048"/>
    <x v="7"/>
    <s v="Technology"/>
    <s v="North"/>
    <n v="3"/>
    <n v="0.1"/>
    <n v="189"/>
    <n v="50.89"/>
  </r>
  <r>
    <s v="ORD-00631"/>
    <d v="2025-01-24T00:00:00"/>
    <s v="Customer 096"/>
    <x v="3"/>
    <s v="Furniture"/>
    <s v="West"/>
    <n v="4"/>
    <n v="0.05"/>
    <n v="1064"/>
    <n v="190.24"/>
  </r>
  <r>
    <s v="ORD-00632"/>
    <d v="2025-02-24T00:00:00"/>
    <s v="Customer 051"/>
    <x v="4"/>
    <s v="Technology"/>
    <s v="South"/>
    <n v="5"/>
    <n v="0.05"/>
    <n v="4037.5"/>
    <n v="1567"/>
  </r>
  <r>
    <s v="ORD-00633"/>
    <d v="2025-08-23T00:00:00"/>
    <s v="Customer 006"/>
    <x v="2"/>
    <s v="Furniture"/>
    <s v="North"/>
    <n v="3"/>
    <n v="0"/>
    <n v="165"/>
    <n v="33.020000000000003"/>
  </r>
  <r>
    <s v="ORD-00634"/>
    <d v="2025-08-19T00:00:00"/>
    <s v="Customer 064"/>
    <x v="6"/>
    <s v="Office Supplies"/>
    <s v="North"/>
    <n v="5"/>
    <n v="0.2"/>
    <n v="72"/>
    <n v="29.2"/>
  </r>
  <r>
    <s v="ORD-00635"/>
    <d v="2025-09-29T00:00:00"/>
    <s v="Customer 075"/>
    <x v="1"/>
    <s v="Furniture"/>
    <s v="West"/>
    <n v="1"/>
    <n v="0.2"/>
    <n v="168"/>
    <n v="23.75"/>
  </r>
  <r>
    <s v="ORD-00636"/>
    <d v="2025-09-18T00:00:00"/>
    <s v="Customer 017"/>
    <x v="3"/>
    <s v="Furniture"/>
    <s v="North"/>
    <n v="5"/>
    <n v="0.05"/>
    <n v="1330"/>
    <n v="277.89"/>
  </r>
  <r>
    <s v="ORD-00637"/>
    <d v="2025-07-18T00:00:00"/>
    <s v="Customer 065"/>
    <x v="5"/>
    <s v="Technology"/>
    <s v="West"/>
    <n v="5"/>
    <n v="0.2"/>
    <n v="1280"/>
    <n v="203.15"/>
  </r>
  <r>
    <s v="ORD-00638"/>
    <d v="2025-08-03T00:00:00"/>
    <s v="Customer 044"/>
    <x v="10"/>
    <s v="Office Supplies"/>
    <s v="East"/>
    <n v="2"/>
    <n v="0.1"/>
    <n v="45"/>
    <n v="14.34"/>
  </r>
  <r>
    <s v="ORD-00639"/>
    <d v="2025-08-20T00:00:00"/>
    <s v="Customer 096"/>
    <x v="3"/>
    <s v="Furniture"/>
    <s v="East"/>
    <n v="2"/>
    <n v="0.15"/>
    <n v="476"/>
    <n v="119.56"/>
  </r>
  <r>
    <s v="ORD-00640"/>
    <d v="2025-12-26T00:00:00"/>
    <s v="Customer 026"/>
    <x v="8"/>
    <s v="Office Supplies"/>
    <s v="South"/>
    <n v="3"/>
    <n v="0.2"/>
    <n v="576"/>
    <n v="138.96"/>
  </r>
  <r>
    <s v="ORD-00641"/>
    <d v="2025-11-16T00:00:00"/>
    <s v="Customer 017"/>
    <x v="1"/>
    <s v="Furniture"/>
    <s v="South"/>
    <n v="3"/>
    <n v="0.1"/>
    <n v="567"/>
    <n v="82.79"/>
  </r>
  <r>
    <s v="ORD-00642"/>
    <d v="2025-09-15T00:00:00"/>
    <s v="Customer 072"/>
    <x v="8"/>
    <s v="Office Supplies"/>
    <s v="West"/>
    <n v="3"/>
    <n v="0"/>
    <n v="720"/>
    <n v="143.24"/>
  </r>
  <r>
    <s v="ORD-00643"/>
    <d v="2025-10-26T00:00:00"/>
    <s v="Customer 055"/>
    <x v="10"/>
    <s v="Office Supplies"/>
    <s v="North"/>
    <n v="4"/>
    <n v="0.2"/>
    <n v="80"/>
    <n v="28.45"/>
  </r>
  <r>
    <s v="ORD-00644"/>
    <d v="2025-09-25T00:00:00"/>
    <s v="Customer 086"/>
    <x v="0"/>
    <s v="Technology"/>
    <s v="North"/>
    <n v="1"/>
    <n v="0.15"/>
    <n v="29.75"/>
    <n v="11.96"/>
  </r>
  <r>
    <s v="ORD-00645"/>
    <d v="2025-04-13T00:00:00"/>
    <s v="Customer 019"/>
    <x v="4"/>
    <s v="Technology"/>
    <s v="North"/>
    <n v="2"/>
    <n v="0.1"/>
    <n v="1530"/>
    <n v="343.46"/>
  </r>
  <r>
    <s v="ORD-00646"/>
    <d v="2025-12-20T00:00:00"/>
    <s v="Customer 058"/>
    <x v="4"/>
    <s v="Technology"/>
    <s v="North"/>
    <n v="2"/>
    <n v="0.2"/>
    <n v="1360"/>
    <n v="597.5"/>
  </r>
  <r>
    <s v="ORD-00647"/>
    <d v="2025-11-12T00:00:00"/>
    <s v="Customer 072"/>
    <x v="5"/>
    <s v="Technology"/>
    <s v="West"/>
    <n v="5"/>
    <n v="0.05"/>
    <n v="1520"/>
    <n v="311.61"/>
  </r>
  <r>
    <s v="ORD-00648"/>
    <d v="2025-05-02T00:00:00"/>
    <s v="Customer 050"/>
    <x v="8"/>
    <s v="Office Supplies"/>
    <s v="West"/>
    <n v="3"/>
    <n v="0"/>
    <n v="720"/>
    <n v="103.87"/>
  </r>
  <r>
    <s v="ORD-00649"/>
    <d v="2025-12-17T00:00:00"/>
    <s v="Customer 033"/>
    <x v="7"/>
    <s v="Technology"/>
    <s v="South"/>
    <n v="5"/>
    <n v="0"/>
    <n v="350"/>
    <n v="156"/>
  </r>
  <r>
    <s v="ORD-00650"/>
    <d v="2025-11-14T00:00:00"/>
    <s v="Customer 070"/>
    <x v="6"/>
    <s v="Office Supplies"/>
    <s v="South"/>
    <n v="2"/>
    <n v="0.1"/>
    <n v="32.4"/>
    <n v="6.51"/>
  </r>
  <r>
    <s v="ORD-00651"/>
    <d v="2025-04-10T00:00:00"/>
    <s v="Customer 010"/>
    <x v="4"/>
    <s v="Technology"/>
    <s v="South"/>
    <n v="4"/>
    <n v="0.05"/>
    <m/>
    <n v="405.24"/>
  </r>
  <r>
    <s v="ORD-00652"/>
    <d v="2025-03-30T00:00:00"/>
    <s v="Customer 055"/>
    <x v="1"/>
    <s v="Furniture"/>
    <s v="East"/>
    <n v="5"/>
    <n v="0"/>
    <n v="1050"/>
    <n v="341.8"/>
  </r>
  <r>
    <s v="ORD-00653"/>
    <d v="2025-10-12T00:00:00"/>
    <s v="Customer 033"/>
    <x v="4"/>
    <s v="Technology"/>
    <s v="North"/>
    <n v="2"/>
    <n v="0.05"/>
    <n v="1615"/>
    <n v="415.51"/>
  </r>
  <r>
    <s v="ORD-00654"/>
    <d v="2025-06-19T00:00:00"/>
    <s v="Customer 042"/>
    <x v="6"/>
    <s v="Office Supplies"/>
    <s v="North"/>
    <n v="2"/>
    <n v="0"/>
    <n v="36"/>
    <n v="14.37"/>
  </r>
  <r>
    <s v="ORD-00655"/>
    <d v="2025-11-17T00:00:00"/>
    <s v="Customer 071"/>
    <x v="10"/>
    <s v="Office Supplies"/>
    <s v="East"/>
    <n v="3"/>
    <n v="0.15"/>
    <n v="63.75"/>
    <n v="12.07"/>
  </r>
  <r>
    <s v="ORD-00656"/>
    <d v="2025-02-07T00:00:00"/>
    <s v="Customer 024"/>
    <x v="1"/>
    <s v="Furniture"/>
    <s v="North"/>
    <n v="3"/>
    <n v="0.2"/>
    <n v="504"/>
    <n v="190.22"/>
  </r>
  <r>
    <s v="ORD-00657"/>
    <d v="2025-09-16T00:00:00"/>
    <s v="Customer 012"/>
    <x v="3"/>
    <s v="Furniture"/>
    <s v="East"/>
    <n v="4"/>
    <n v="0.2"/>
    <n v="896"/>
    <n v="244.41"/>
  </r>
  <r>
    <s v="ORD-00658"/>
    <d v="2025-04-24T00:00:00"/>
    <s v="Customer 028"/>
    <x v="2"/>
    <s v="Furniture"/>
    <s v="West"/>
    <n v="3"/>
    <n v="0.1"/>
    <n v="148.5"/>
    <n v="49.14"/>
  </r>
  <r>
    <s v="ORD-00659"/>
    <d v="2025-10-15T00:00:00"/>
    <s v="Customer 058"/>
    <x v="5"/>
    <s v="Technology"/>
    <s v="South"/>
    <n v="1"/>
    <n v="0"/>
    <n v="320"/>
    <n v="73.36"/>
  </r>
  <r>
    <s v="ORD-00660"/>
    <d v="2025-11-25T00:00:00"/>
    <s v="Customer 088"/>
    <x v="10"/>
    <s v="Office Supplies"/>
    <s v="East"/>
    <n v="5"/>
    <n v="0.05"/>
    <n v="118.75"/>
    <n v="15.86"/>
  </r>
  <r>
    <s v="ORD-00661"/>
    <d v="2025-07-15T00:00:00"/>
    <s v="Customer 037"/>
    <x v="0"/>
    <s v="Technology"/>
    <s v="North"/>
    <n v="4"/>
    <n v="0.1"/>
    <n v="126"/>
    <n v="34.24"/>
  </r>
  <r>
    <s v="ORD-00662"/>
    <d v="2025-09-22T00:00:00"/>
    <s v="Customer 006"/>
    <x v="7"/>
    <s v="Technology"/>
    <s v="East"/>
    <n v="5"/>
    <n v="0.2"/>
    <n v="280"/>
    <n v="84.83"/>
  </r>
  <r>
    <s v="ORD-00663"/>
    <d v="2025-11-30T00:00:00"/>
    <s v="Customer 013"/>
    <x v="2"/>
    <s v="Furniture"/>
    <s v="South"/>
    <n v="3"/>
    <n v="0.2"/>
    <n v="132"/>
    <n v="55.81"/>
  </r>
  <r>
    <s v="ORD-00664"/>
    <d v="2025-10-03T00:00:00"/>
    <s v="Customer 081"/>
    <x v="8"/>
    <s v="Office Supplies"/>
    <s v="South"/>
    <n v="1"/>
    <n v="0"/>
    <n v="240"/>
    <n v="91.31"/>
  </r>
  <r>
    <s v="ORD-00665"/>
    <d v="2025-12-17T00:00:00"/>
    <s v="Customer 090"/>
    <x v="11"/>
    <s v="Furniture"/>
    <s v="West"/>
    <n v="1"/>
    <n v="0.05"/>
    <n v="180.5"/>
    <n v="49.19"/>
  </r>
  <r>
    <s v="ORD-00666"/>
    <d v="2025-11-28T00:00:00"/>
    <s v="Customer 043"/>
    <x v="0"/>
    <s v="Technology"/>
    <s v="North"/>
    <n v="2"/>
    <n v="0"/>
    <n v="70"/>
    <n v="20.89"/>
  </r>
  <r>
    <s v="ORD-00667"/>
    <d v="2025-02-14T00:00:00"/>
    <s v="Customer 072"/>
    <x v="0"/>
    <s v="Technology"/>
    <s v="North"/>
    <n v="1"/>
    <n v="0.05"/>
    <n v="33.25"/>
    <n v="6.25"/>
  </r>
  <r>
    <s v="ORD-00668"/>
    <d v="2025-10-22T00:00:00"/>
    <s v="Customer 081"/>
    <x v="2"/>
    <s v="Furniture"/>
    <s v="West"/>
    <n v="3"/>
    <n v="0.15"/>
    <n v="140.25"/>
    <n v="45.15"/>
  </r>
  <r>
    <s v="ORD-00669"/>
    <d v="2025-08-10T00:00:00"/>
    <s v="Customer 069"/>
    <x v="7"/>
    <s v="Technology"/>
    <s v="North"/>
    <n v="1"/>
    <n v="0.15"/>
    <n v="59.5"/>
    <n v="13.55"/>
  </r>
  <r>
    <s v="ORD-00670"/>
    <d v="2025-11-25T00:00:00"/>
    <s v="Customer 075"/>
    <x v="1"/>
    <s v="Furniture"/>
    <s v="North"/>
    <n v="5"/>
    <n v="0"/>
    <n v="1050"/>
    <n v="210.56"/>
  </r>
  <r>
    <s v="ORD-00671"/>
    <d v="2025-12-25T00:00:00"/>
    <s v="Customer 088"/>
    <x v="0"/>
    <s v="Technology"/>
    <s v="East"/>
    <n v="3"/>
    <n v="0.2"/>
    <n v="84"/>
    <n v="34.86"/>
  </r>
  <r>
    <s v="ORD-00672"/>
    <d v="2025-11-07T00:00:00"/>
    <s v="Customer 085"/>
    <x v="0"/>
    <s v="Technology"/>
    <s v="North"/>
    <n v="3"/>
    <n v="0.15"/>
    <n v="89.25"/>
    <n v="28.93"/>
  </r>
  <r>
    <s v="ORD-00673"/>
    <d v="2025-08-31T00:00:00"/>
    <s v="Customer 051"/>
    <x v="3"/>
    <s v="Furniture"/>
    <s v="East"/>
    <n v="5"/>
    <n v="0.05"/>
    <n v="1330"/>
    <n v="538.64"/>
  </r>
  <r>
    <s v="ORD-00674"/>
    <d v="2025-11-21T00:00:00"/>
    <s v="Customer 002"/>
    <x v="3"/>
    <s v="Furniture"/>
    <s v="South"/>
    <n v="3"/>
    <n v="0.1"/>
    <n v="756"/>
    <n v="101.35"/>
  </r>
  <r>
    <s v="ORD-00675"/>
    <d v="2025-03-05T00:00:00"/>
    <s v="Customer 069"/>
    <x v="9"/>
    <s v="Technology"/>
    <s v="North"/>
    <n v="1"/>
    <n v="0.2"/>
    <n v="960"/>
    <n v="242.98"/>
  </r>
  <r>
    <s v="ORD-00676"/>
    <d v="2025-06-06T00:00:00"/>
    <s v="Customer 083"/>
    <x v="2"/>
    <s v="Furniture"/>
    <s v="South"/>
    <n v="3"/>
    <n v="0.05"/>
    <n v="156.75"/>
    <n v="49.19"/>
  </r>
  <r>
    <s v="ORD-00677"/>
    <d v="2025-03-24T00:00:00"/>
    <s v="Customer 025"/>
    <x v="3"/>
    <s v="Furniture"/>
    <s v="North"/>
    <n v="2"/>
    <n v="0.2"/>
    <n v="448"/>
    <n v="78.19"/>
  </r>
  <r>
    <s v="ORD-00678"/>
    <d v="2025-04-03T00:00:00"/>
    <s v="Customer 071"/>
    <x v="5"/>
    <s v="Technology"/>
    <s v="West"/>
    <n v="5"/>
    <n v="0"/>
    <n v="1600"/>
    <n v="270.47000000000003"/>
  </r>
  <r>
    <s v="ORD-00679"/>
    <d v="2025-11-27T00:00:00"/>
    <s v="Customer 033"/>
    <x v="8"/>
    <s v="Office Supplies"/>
    <s v="North"/>
    <n v="1"/>
    <n v="0.1"/>
    <n v="216"/>
    <n v="49.32"/>
  </r>
  <r>
    <s v="ORD-00680"/>
    <d v="2025-04-12T00:00:00"/>
    <s v="Customer 046"/>
    <x v="1"/>
    <s v="Furniture"/>
    <s v="South"/>
    <n v="5"/>
    <n v="0.15"/>
    <n v="892.5"/>
    <n v="121.37"/>
  </r>
  <r>
    <s v="ORD-00681"/>
    <d v="2025-12-10T00:00:00"/>
    <s v="Customer 009"/>
    <x v="5"/>
    <s v="Technology"/>
    <s v="South"/>
    <n v="2"/>
    <n v="0"/>
    <n v="640"/>
    <n v="227.78"/>
  </r>
  <r>
    <s v="ORD-00682"/>
    <d v="2025-06-12T00:00:00"/>
    <s v="Customer 040"/>
    <x v="6"/>
    <s v="Office Supplies"/>
    <s v="South"/>
    <n v="4"/>
    <n v="0.1"/>
    <n v="64.8"/>
    <n v="15.98"/>
  </r>
  <r>
    <s v="ORD-00683"/>
    <d v="2025-10-17T00:00:00"/>
    <s v="Customer 022"/>
    <x v="10"/>
    <s v="Office Supplies"/>
    <s v="North"/>
    <n v="3"/>
    <n v="0.1"/>
    <n v="67.5"/>
    <n v="9.02"/>
  </r>
  <r>
    <s v="ORD-00684"/>
    <d v="2025-06-10T00:00:00"/>
    <s v="Customer 047"/>
    <x v="2"/>
    <s v="Furniture"/>
    <s v="South"/>
    <n v="2"/>
    <n v="0.15"/>
    <n v="93.5"/>
    <n v="33.54"/>
  </r>
  <r>
    <s v="ORD-00685"/>
    <d v="2025-12-14T00:00:00"/>
    <s v="Customer 046"/>
    <x v="1"/>
    <s v="Furniture"/>
    <s v="East"/>
    <n v="3"/>
    <n v="0.15"/>
    <n v="535.5"/>
    <n v="159.18"/>
  </r>
  <r>
    <s v="ORD-00686"/>
    <d v="2025-09-07T00:00:00"/>
    <s v="Customer 011"/>
    <x v="8"/>
    <s v="Office Supplies"/>
    <s v="East"/>
    <n v="1"/>
    <n v="0.05"/>
    <n v="228"/>
    <n v="54.03"/>
  </r>
  <r>
    <s v="ORD-00687"/>
    <d v="2025-03-13T00:00:00"/>
    <s v="Customer 081"/>
    <x v="8"/>
    <s v="Office Supplies"/>
    <s v="North"/>
    <n v="2"/>
    <n v="0.1"/>
    <n v="432"/>
    <n v="89.83"/>
  </r>
  <r>
    <s v="ORD-00688"/>
    <d v="2025-02-08T00:00:00"/>
    <s v="Customer 075"/>
    <x v="9"/>
    <s v="Technology"/>
    <s v="West"/>
    <n v="5"/>
    <n v="0"/>
    <n v="6000"/>
    <n v="1090.97"/>
  </r>
  <r>
    <s v="ORD-00689"/>
    <d v="2025-10-30T00:00:00"/>
    <s v="Customer 070"/>
    <x v="2"/>
    <s v="Furniture"/>
    <s v="West"/>
    <n v="1"/>
    <n v="0.2"/>
    <n v="44"/>
    <n v="16.02"/>
  </r>
  <r>
    <s v="ORD-00690"/>
    <d v="2025-12-01T00:00:00"/>
    <s v="Customer 099"/>
    <x v="3"/>
    <s v="Furniture"/>
    <s v="East"/>
    <n v="3"/>
    <n v="0.15"/>
    <n v="714"/>
    <n v="268.68"/>
  </r>
  <r>
    <s v="ORD-00691"/>
    <d v="2025-03-10T00:00:00"/>
    <s v="Customer 047"/>
    <x v="6"/>
    <s v="Office Supplies"/>
    <s v="North"/>
    <n v="5"/>
    <n v="0.2"/>
    <n v="72"/>
    <n v="30.25"/>
  </r>
  <r>
    <s v="ORD-00692"/>
    <d v="2025-12-06T00:00:00"/>
    <s v="Customer 018"/>
    <x v="2"/>
    <s v="Furniture"/>
    <s v="West"/>
    <n v="5"/>
    <n v="0.05"/>
    <n v="261.25"/>
    <n v="52.28"/>
  </r>
  <r>
    <s v="ORD-00693"/>
    <d v="2025-03-23T00:00:00"/>
    <s v="Customer 019"/>
    <x v="3"/>
    <s v="Furniture"/>
    <s v="West"/>
    <n v="5"/>
    <n v="0.2"/>
    <n v="1120"/>
    <n v="260.27999999999997"/>
  </r>
  <r>
    <s v="ORD-00694"/>
    <d v="2025-07-03T00:00:00"/>
    <s v="Customer 034"/>
    <x v="9"/>
    <s v="Technology"/>
    <s v="East"/>
    <n v="2"/>
    <n v="0.15"/>
    <n v="2040"/>
    <n v="761.99"/>
  </r>
  <r>
    <s v="ORD-00695"/>
    <d v="2025-04-30T00:00:00"/>
    <s v="Customer 047"/>
    <x v="9"/>
    <s v="Technology"/>
    <s v="West"/>
    <n v="2"/>
    <n v="0.2"/>
    <n v="1920"/>
    <n v="288.86"/>
  </r>
  <r>
    <s v="ORD-00696"/>
    <d v="2025-08-29T00:00:00"/>
    <s v="Customer 042"/>
    <x v="6"/>
    <s v="Office Supplies"/>
    <s v="North"/>
    <n v="1"/>
    <n v="0"/>
    <n v="18"/>
    <n v="2.2799999999999998"/>
  </r>
  <r>
    <s v="ORD-00697"/>
    <d v="2025-12-27T00:00:00"/>
    <s v="Customer 073"/>
    <x v="8"/>
    <s v="Office Supplies"/>
    <s v="South"/>
    <n v="3"/>
    <n v="0.1"/>
    <n v="648"/>
    <n v="167.87"/>
  </r>
  <r>
    <s v="ORD-00698"/>
    <d v="2025-07-12T00:00:00"/>
    <s v="Customer 010"/>
    <x v="5"/>
    <s v="Technology"/>
    <s v="East"/>
    <n v="4"/>
    <n v="0.1"/>
    <n v="1152"/>
    <n v="294.99"/>
  </r>
  <r>
    <s v="ORD-00699"/>
    <d v="2025-07-12T00:00:00"/>
    <s v="Customer 045"/>
    <x v="2"/>
    <s v="Furniture"/>
    <s v="West"/>
    <n v="5"/>
    <n v="0.15"/>
    <n v="233.75"/>
    <n v="77.97"/>
  </r>
  <r>
    <s v="ORD-00700"/>
    <d v="2025-09-04T00:00:00"/>
    <s v="Customer 057"/>
    <x v="10"/>
    <s v="Office Supplies"/>
    <s v="South"/>
    <n v="1"/>
    <n v="0.2"/>
    <n v="20"/>
    <n v="3.18"/>
  </r>
  <r>
    <s v="ORD-00701"/>
    <d v="2025-04-28T00:00:00"/>
    <s v="Customer 024"/>
    <x v="0"/>
    <s v="Technology"/>
    <s v="South"/>
    <n v="5"/>
    <n v="0.1"/>
    <n v="157.5"/>
    <n v="59.88"/>
  </r>
  <r>
    <s v="ORD-00702"/>
    <d v="2025-07-05T00:00:00"/>
    <s v="Customer 043"/>
    <x v="10"/>
    <s v="Office Supplies"/>
    <s v="North"/>
    <n v="1"/>
    <n v="0.05"/>
    <n v="23.75"/>
    <n v="7.44"/>
  </r>
  <r>
    <s v="ORD-00703"/>
    <d v="2025-09-04T00:00:00"/>
    <s v="Customer 021"/>
    <x v="5"/>
    <s v="Technology"/>
    <s v="West"/>
    <n v="4"/>
    <n v="0.15"/>
    <n v="1088"/>
    <n v="413.95"/>
  </r>
  <r>
    <s v="ORD-00704"/>
    <d v="2025-01-12T00:00:00"/>
    <s v="Customer 021"/>
    <x v="2"/>
    <s v="Furniture"/>
    <s v="South"/>
    <n v="1"/>
    <n v="0.05"/>
    <n v="52.25"/>
    <n v="13.62"/>
  </r>
  <r>
    <s v="ORD-00705"/>
    <d v="2025-11-19T00:00:00"/>
    <s v="Customer 022"/>
    <x v="8"/>
    <s v="Office Supplies"/>
    <s v="East"/>
    <n v="1"/>
    <n v="0.2"/>
    <n v="192"/>
    <n v="77.09"/>
  </r>
  <r>
    <s v="ORD-00706"/>
    <d v="2025-04-03T00:00:00"/>
    <s v="Customer 082"/>
    <x v="8"/>
    <s v="Office Supplies"/>
    <s v="North"/>
    <n v="4"/>
    <n v="0.2"/>
    <n v="768"/>
    <n v="99.95"/>
  </r>
  <r>
    <s v="ORD-00707"/>
    <d v="2025-12-05T00:00:00"/>
    <s v="Customer 061"/>
    <x v="4"/>
    <s v="Technology"/>
    <s v="West"/>
    <n v="1"/>
    <n v="0.05"/>
    <n v="807.5"/>
    <n v="243.67"/>
  </r>
  <r>
    <s v="ORD-00708"/>
    <d v="2025-03-29T00:00:00"/>
    <s v="Customer 075"/>
    <x v="2"/>
    <s v="Furniture"/>
    <s v="South"/>
    <n v="4"/>
    <n v="0.2"/>
    <n v="176"/>
    <n v="70.91"/>
  </r>
  <r>
    <s v="ORD-00709"/>
    <d v="2025-11-16T00:00:00"/>
    <s v="Customer 088"/>
    <x v="5"/>
    <s v="Technology"/>
    <s v="East"/>
    <n v="5"/>
    <n v="0.1"/>
    <n v="1440"/>
    <n v="568.29999999999995"/>
  </r>
  <r>
    <s v="ORD-00710"/>
    <d v="2025-08-21T00:00:00"/>
    <s v="Customer 050"/>
    <x v="10"/>
    <s v="Office Supplies"/>
    <s v="South"/>
    <n v="5"/>
    <n v="0"/>
    <n v="125"/>
    <n v="46.77"/>
  </r>
  <r>
    <s v="ORD-00711"/>
    <d v="2025-02-25T00:00:00"/>
    <s v="Customer 065"/>
    <x v="9"/>
    <s v="Technology"/>
    <s v="West"/>
    <n v="2"/>
    <n v="0.2"/>
    <n v="1920"/>
    <n v="319.36"/>
  </r>
  <r>
    <s v="ORD-00712"/>
    <d v="2025-03-18T00:00:00"/>
    <s v="Customer 079"/>
    <x v="10"/>
    <s v="Office Supplies"/>
    <s v="North"/>
    <n v="1"/>
    <n v="0.05"/>
    <n v="23.75"/>
    <n v="6.96"/>
  </r>
  <r>
    <s v="ORD-00713"/>
    <d v="2025-09-30T00:00:00"/>
    <s v="Customer 017"/>
    <x v="8"/>
    <s v="Office Supplies"/>
    <s v="North"/>
    <n v="1"/>
    <n v="0"/>
    <n v="240"/>
    <n v="69.81"/>
  </r>
  <r>
    <s v="ORD-00714"/>
    <d v="2025-12-14T00:00:00"/>
    <s v="Customer 006"/>
    <x v="5"/>
    <s v="Technology"/>
    <s v="West"/>
    <n v="4"/>
    <n v="0.2"/>
    <n v="1024"/>
    <n v="318.64"/>
  </r>
  <r>
    <s v="ORD-00715"/>
    <d v="2025-04-28T00:00:00"/>
    <s v="Customer 095"/>
    <x v="6"/>
    <s v="Office Supplies"/>
    <s v="North"/>
    <n v="4"/>
    <n v="0.1"/>
    <n v="64.8"/>
    <n v="16.559999999999999"/>
  </r>
  <r>
    <s v="ORD-00716"/>
    <d v="2025-08-06T00:00:00"/>
    <s v="Customer 011"/>
    <x v="3"/>
    <s v="Furniture"/>
    <s v="East"/>
    <n v="3"/>
    <n v="0.15"/>
    <n v="714"/>
    <n v="140.85"/>
  </r>
  <r>
    <s v="ORD-00717"/>
    <d v="2025-11-03T00:00:00"/>
    <s v="Customer 091"/>
    <x v="8"/>
    <s v="Office Supplies"/>
    <s v="North"/>
    <n v="4"/>
    <n v="0.1"/>
    <n v="864"/>
    <n v="334.91"/>
  </r>
  <r>
    <s v="ORD-00718"/>
    <d v="2025-10-23T00:00:00"/>
    <s v="Customer 084"/>
    <x v="8"/>
    <s v="Office Supplies"/>
    <s v="South"/>
    <n v="1"/>
    <n v="0.2"/>
    <n v="192"/>
    <n v="85.94"/>
  </r>
  <r>
    <s v="ORD-00719"/>
    <d v="2025-12-19T00:00:00"/>
    <s v="Customer 055"/>
    <x v="7"/>
    <s v="Technology"/>
    <s v="East"/>
    <n v="4"/>
    <n v="0.1"/>
    <n v="252"/>
    <n v="104.54"/>
  </r>
  <r>
    <s v="ORD-00720"/>
    <d v="2025-05-14T00:00:00"/>
    <s v="Customer 036"/>
    <x v="8"/>
    <s v="Office Supplies"/>
    <s v="West"/>
    <n v="4"/>
    <n v="0.2"/>
    <n v="768"/>
    <n v="252.93"/>
  </r>
  <r>
    <s v="ORD-00721"/>
    <d v="2025-04-15T00:00:00"/>
    <s v="Customer 048"/>
    <x v="11"/>
    <s v="Furniture"/>
    <s v="West"/>
    <n v="5"/>
    <n v="0.2"/>
    <n v="760"/>
    <n v="221"/>
  </r>
  <r>
    <s v="ORD-00722"/>
    <d v="2025-05-10T00:00:00"/>
    <s v="Customer 051"/>
    <x v="4"/>
    <s v="Technology"/>
    <s v="South"/>
    <n v="5"/>
    <n v="0.1"/>
    <n v="3825"/>
    <n v="744.02"/>
  </r>
  <r>
    <s v="ORD-00723"/>
    <d v="2025-12-04T00:00:00"/>
    <s v="Customer 021"/>
    <x v="0"/>
    <s v="Technology"/>
    <s v="North"/>
    <n v="2"/>
    <n v="0.15"/>
    <n v="59.5"/>
    <n v="11.4"/>
  </r>
  <r>
    <s v="ORD-00724"/>
    <d v="2025-04-20T00:00:00"/>
    <s v="Customer 079"/>
    <x v="8"/>
    <s v="Office Supplies"/>
    <s v="North"/>
    <n v="4"/>
    <n v="0.1"/>
    <n v="864"/>
    <n v="160.46"/>
  </r>
  <r>
    <s v="ORD-00725"/>
    <d v="2025-03-24T00:00:00"/>
    <s v="Customer 061"/>
    <x v="11"/>
    <s v="Furniture"/>
    <s v="West"/>
    <n v="1"/>
    <n v="0"/>
    <n v="190"/>
    <n v="33.880000000000003"/>
  </r>
  <r>
    <s v="ORD-00726"/>
    <d v="2025-02-15T00:00:00"/>
    <s v="Customer 078"/>
    <x v="0"/>
    <s v="Technology"/>
    <s v="North"/>
    <n v="3"/>
    <n v="0.05"/>
    <n v="99.75"/>
    <n v="32.68"/>
  </r>
  <r>
    <s v="ORD-00727"/>
    <d v="2025-07-16T00:00:00"/>
    <s v="Customer 077"/>
    <x v="11"/>
    <s v="Furniture"/>
    <s v="North"/>
    <n v="5"/>
    <n v="0.2"/>
    <n v="760"/>
    <n v="270.14999999999998"/>
  </r>
  <r>
    <s v="ORD-00728"/>
    <d v="2025-03-31T00:00:00"/>
    <s v="Customer 085"/>
    <x v="5"/>
    <s v="Technology"/>
    <s v="East"/>
    <n v="4"/>
    <n v="0.15"/>
    <n v="1088"/>
    <n v="485.75"/>
  </r>
  <r>
    <s v="ORD-00729"/>
    <d v="2025-04-10T00:00:00"/>
    <s v="Customer 030"/>
    <x v="9"/>
    <s v="Technology"/>
    <s v="South"/>
    <n v="5"/>
    <n v="0.2"/>
    <n v="4800"/>
    <n v="1342.95"/>
  </r>
  <r>
    <s v="ORD-00730"/>
    <d v="2025-12-12T00:00:00"/>
    <s v="Customer 021"/>
    <x v="9"/>
    <s v="Technology"/>
    <s v="North"/>
    <n v="3"/>
    <n v="0.05"/>
    <n v="3420"/>
    <n v="799.75"/>
  </r>
  <r>
    <s v="ORD-00731"/>
    <d v="2025-05-22T00:00:00"/>
    <s v="Customer 026"/>
    <x v="11"/>
    <s v="Furniture"/>
    <s v="North"/>
    <n v="3"/>
    <n v="0.15"/>
    <n v="484.5"/>
    <n v="153.19999999999999"/>
  </r>
  <r>
    <s v="ORD-00732"/>
    <d v="2025-12-27T00:00:00"/>
    <s v="Customer 072"/>
    <x v="0"/>
    <s v="Technology"/>
    <s v="East"/>
    <n v="1"/>
    <n v="0.2"/>
    <n v="28"/>
    <n v="9.9700000000000006"/>
  </r>
  <r>
    <s v="ORD-00733"/>
    <d v="2025-06-27T00:00:00"/>
    <s v="Customer 059"/>
    <x v="4"/>
    <s v="Technology"/>
    <s v="West"/>
    <n v="2"/>
    <n v="0.2"/>
    <n v="1360"/>
    <n v="179.78"/>
  </r>
  <r>
    <s v="ORD-00734"/>
    <d v="2025-10-22T00:00:00"/>
    <s v="Customer 014"/>
    <x v="9"/>
    <s v="Technology"/>
    <s v="North"/>
    <n v="3"/>
    <n v="0.05"/>
    <n v="3420"/>
    <n v="1079.51"/>
  </r>
  <r>
    <s v="ORD-00735"/>
    <d v="2025-09-15T00:00:00"/>
    <s v="Customer 033"/>
    <x v="4"/>
    <s v="Technology"/>
    <s v="East"/>
    <n v="3"/>
    <n v="0"/>
    <n v="2550"/>
    <n v="471.82"/>
  </r>
  <r>
    <s v="ORD-00736"/>
    <d v="2025-12-22T00:00:00"/>
    <s v="Customer 032"/>
    <x v="6"/>
    <s v="Office Supplies"/>
    <s v="East"/>
    <n v="4"/>
    <n v="0.2"/>
    <n v="57.6"/>
    <n v="16.73"/>
  </r>
  <r>
    <s v="ORD-00737"/>
    <d v="2025-08-23T00:00:00"/>
    <s v="Customer 062"/>
    <x v="5"/>
    <s v="Technology"/>
    <s v="North"/>
    <n v="4"/>
    <n v="0.2"/>
    <n v="1024"/>
    <n v="169.51"/>
  </r>
  <r>
    <s v="ORD-00738"/>
    <d v="2025-05-13T00:00:00"/>
    <s v="Customer 030"/>
    <x v="0"/>
    <s v="Technology"/>
    <s v="East"/>
    <n v="4"/>
    <n v="0.05"/>
    <n v="133"/>
    <n v="30.14"/>
  </r>
  <r>
    <s v="ORD-00739"/>
    <d v="2025-07-31T00:00:00"/>
    <s v="Customer 034"/>
    <x v="7"/>
    <s v="Technology"/>
    <s v="South"/>
    <n v="5"/>
    <n v="0.2"/>
    <n v="280"/>
    <n v="125.1"/>
  </r>
  <r>
    <s v="ORD-00740"/>
    <d v="2025-05-28T00:00:00"/>
    <s v="Customer 023"/>
    <x v="0"/>
    <s v="Technology"/>
    <s v="West"/>
    <n v="4"/>
    <n v="0.1"/>
    <n v="126"/>
    <n v="53.54"/>
  </r>
  <r>
    <s v="ORD-00741"/>
    <d v="2025-06-10T00:00:00"/>
    <s v="Customer 096"/>
    <x v="7"/>
    <s v="Technology"/>
    <s v="South"/>
    <n v="2"/>
    <n v="0.2"/>
    <n v="112"/>
    <n v="40.450000000000003"/>
  </r>
  <r>
    <s v="ORD-00742"/>
    <d v="2025-09-13T00:00:00"/>
    <s v="Customer 034"/>
    <x v="1"/>
    <s v="Furniture"/>
    <s v="South"/>
    <n v="2"/>
    <n v="0.05"/>
    <n v="399"/>
    <n v="82.72"/>
  </r>
  <r>
    <s v="ORD-00743"/>
    <d v="2025-04-28T00:00:00"/>
    <s v="Customer 100"/>
    <x v="2"/>
    <s v="Furniture"/>
    <s v="North"/>
    <n v="2"/>
    <n v="0.2"/>
    <n v="88"/>
    <n v="29.26"/>
  </r>
  <r>
    <s v="ORD-00744"/>
    <d v="2025-03-03T00:00:00"/>
    <s v="Customer 070"/>
    <x v="0"/>
    <s v="Technology"/>
    <s v="North"/>
    <n v="4"/>
    <n v="0.2"/>
    <n v="112"/>
    <n v="50.16"/>
  </r>
  <r>
    <s v="ORD-00745"/>
    <d v="2025-09-04T00:00:00"/>
    <s v="Customer 074"/>
    <x v="7"/>
    <s v="Technology"/>
    <s v="East"/>
    <n v="5"/>
    <n v="0.1"/>
    <n v="315"/>
    <n v="90.57"/>
  </r>
  <r>
    <s v="ORD-00746"/>
    <d v="2025-09-09T00:00:00"/>
    <s v="Customer 097"/>
    <x v="3"/>
    <s v="Furniture"/>
    <s v="South"/>
    <n v="5"/>
    <n v="0.1"/>
    <n v="1260"/>
    <n v="401.56"/>
  </r>
  <r>
    <s v="ORD-00747"/>
    <d v="2025-01-28T00:00:00"/>
    <s v="Customer 005"/>
    <x v="8"/>
    <s v="Office Supplies"/>
    <s v="East"/>
    <n v="4"/>
    <n v="0.15"/>
    <n v="816"/>
    <n v="114.17"/>
  </r>
  <r>
    <s v="ORD-00748"/>
    <d v="2025-07-21T00:00:00"/>
    <s v="Customer 090"/>
    <x v="5"/>
    <s v="Technology"/>
    <s v="West"/>
    <n v="2"/>
    <n v="0.15"/>
    <n v="544"/>
    <n v="69.5"/>
  </r>
  <r>
    <s v="ORD-00749"/>
    <d v="2025-06-11T00:00:00"/>
    <s v="Customer 049"/>
    <x v="1"/>
    <s v="Furniture"/>
    <s v="North"/>
    <n v="1"/>
    <n v="0"/>
    <n v="210"/>
    <n v="47.78"/>
  </r>
  <r>
    <s v="ORD-00750"/>
    <d v="2025-06-16T00:00:00"/>
    <s v="Customer 034"/>
    <x v="7"/>
    <s v="Technology"/>
    <s v="South"/>
    <n v="5"/>
    <n v="0.1"/>
    <n v="315"/>
    <n v="122.3"/>
  </r>
  <r>
    <s v="ORD-00751"/>
    <d v="2025-05-18T00:00:00"/>
    <s v="Customer 064"/>
    <x v="6"/>
    <s v="Office Supplies"/>
    <s v="West"/>
    <n v="5"/>
    <n v="0.1"/>
    <n v="81"/>
    <n v="26.67"/>
  </r>
  <r>
    <s v="ORD-00752"/>
    <d v="2025-04-18T00:00:00"/>
    <s v="Customer 036"/>
    <x v="11"/>
    <s v="Furniture"/>
    <s v="West"/>
    <n v="3"/>
    <n v="0.1"/>
    <n v="513"/>
    <n v="86.22"/>
  </r>
  <r>
    <s v="ORD-00753"/>
    <d v="2025-04-03T00:00:00"/>
    <s v="Customer 013"/>
    <x v="10"/>
    <s v="Office Supplies"/>
    <s v="East"/>
    <n v="2"/>
    <n v="0.2"/>
    <n v="40"/>
    <n v="8.94"/>
  </r>
  <r>
    <s v="ORD-00754"/>
    <d v="2025-05-01T00:00:00"/>
    <s v="Customer 095"/>
    <x v="8"/>
    <s v="Office Supplies"/>
    <s v="South"/>
    <n v="4"/>
    <n v="0.15"/>
    <n v="816"/>
    <n v="314.39999999999998"/>
  </r>
  <r>
    <s v="ORD-00755"/>
    <d v="2025-08-31T00:00:00"/>
    <s v="Customer 081"/>
    <x v="9"/>
    <s v="Technology"/>
    <s v="East"/>
    <n v="2"/>
    <n v="0.15"/>
    <n v="2040"/>
    <n v="581.66999999999996"/>
  </r>
  <r>
    <s v="ORD-00756"/>
    <d v="2025-09-07T00:00:00"/>
    <s v="Customer 007"/>
    <x v="4"/>
    <s v="Technology"/>
    <s v="West"/>
    <n v="3"/>
    <n v="0.2"/>
    <n v="2040"/>
    <n v="340.06"/>
  </r>
  <r>
    <s v="ORD-00757"/>
    <d v="2025-02-20T00:00:00"/>
    <s v="Customer 033"/>
    <x v="1"/>
    <s v="Furniture"/>
    <s v="West"/>
    <n v="2"/>
    <n v="0"/>
    <n v="420"/>
    <n v="159.13999999999999"/>
  </r>
  <r>
    <s v="ORD-00758"/>
    <d v="2025-11-19T00:00:00"/>
    <s v="Customer 047"/>
    <x v="0"/>
    <s v="Technology"/>
    <s v="East"/>
    <n v="4"/>
    <n v="0.1"/>
    <n v="126"/>
    <n v="45.9"/>
  </r>
  <r>
    <s v="ORD-00759"/>
    <d v="2025-06-26T00:00:00"/>
    <s v="Customer 087"/>
    <x v="9"/>
    <s v="Technology"/>
    <s v="South"/>
    <n v="4"/>
    <n v="0"/>
    <n v="4800"/>
    <n v="1603.87"/>
  </r>
  <r>
    <s v="ORD-00760"/>
    <d v="2025-10-23T00:00:00"/>
    <s v="Customer 037"/>
    <x v="10"/>
    <s v="Office Supplies"/>
    <s v="East"/>
    <n v="5"/>
    <n v="0.05"/>
    <n v="118.75"/>
    <n v="15.06"/>
  </r>
  <r>
    <s v="ORD-00761"/>
    <d v="2025-06-16T00:00:00"/>
    <s v="Customer 058"/>
    <x v="5"/>
    <s v="Technology"/>
    <s v="North"/>
    <n v="5"/>
    <n v="0.15"/>
    <n v="1360"/>
    <n v="264.29000000000002"/>
  </r>
  <r>
    <s v="ORD-00762"/>
    <d v="2025-07-15T00:00:00"/>
    <s v="Customer 019"/>
    <x v="10"/>
    <s v="Office Supplies"/>
    <s v="South"/>
    <n v="3"/>
    <n v="0.15"/>
    <n v="63.75"/>
    <n v="15.4"/>
  </r>
  <r>
    <s v="ORD-00763"/>
    <d v="2025-11-24T00:00:00"/>
    <s v="Customer 010"/>
    <x v="7"/>
    <s v="Technology"/>
    <s v="North"/>
    <n v="4"/>
    <n v="0.2"/>
    <n v="224"/>
    <n v="58.54"/>
  </r>
  <r>
    <s v="ORD-00764"/>
    <d v="2025-03-24T00:00:00"/>
    <s v="Customer 038"/>
    <x v="7"/>
    <s v="Technology"/>
    <s v="East"/>
    <n v="2"/>
    <n v="0.1"/>
    <n v="126"/>
    <n v="43.52"/>
  </r>
  <r>
    <s v="ORD-00765"/>
    <d v="2025-11-06T00:00:00"/>
    <s v="Customer 100"/>
    <x v="5"/>
    <s v="Technology"/>
    <s v="East"/>
    <n v="4"/>
    <n v="0.1"/>
    <n v="1152"/>
    <n v="180.94"/>
  </r>
  <r>
    <s v="ORD-00766"/>
    <d v="2025-10-28T00:00:00"/>
    <s v="Customer 003"/>
    <x v="8"/>
    <s v="Office Supplies"/>
    <s v="South"/>
    <n v="4"/>
    <n v="0.15"/>
    <n v="816"/>
    <n v="322.14"/>
  </r>
  <r>
    <s v="ORD-00767"/>
    <d v="2025-05-01T00:00:00"/>
    <s v="Customer 051"/>
    <x v="5"/>
    <s v="Technology"/>
    <s v="North"/>
    <n v="3"/>
    <n v="0"/>
    <n v="960"/>
    <n v="365.29"/>
  </r>
  <r>
    <s v="ORD-00768"/>
    <d v="2025-02-18T00:00:00"/>
    <s v="Customer 099"/>
    <x v="0"/>
    <s v="Technology"/>
    <s v="West"/>
    <n v="4"/>
    <n v="0.2"/>
    <n v="112"/>
    <n v="48.41"/>
  </r>
  <r>
    <s v="ORD-00769"/>
    <d v="2025-09-26T00:00:00"/>
    <s v="Customer 011"/>
    <x v="0"/>
    <s v="Technology"/>
    <s v="West"/>
    <n v="1"/>
    <n v="0.1"/>
    <n v="31.5"/>
    <n v="7.75"/>
  </r>
  <r>
    <s v="ORD-00770"/>
    <d v="2025-06-08T00:00:00"/>
    <s v="Customer 017"/>
    <x v="2"/>
    <s v="Furniture"/>
    <s v="South"/>
    <n v="2"/>
    <n v="0.1"/>
    <n v="99"/>
    <n v="30.07"/>
  </r>
  <r>
    <s v="ORD-00771"/>
    <d v="2025-09-27T00:00:00"/>
    <s v="Customer 042"/>
    <x v="3"/>
    <s v="Furniture"/>
    <s v="West"/>
    <n v="1"/>
    <n v="0"/>
    <n v="280"/>
    <n v="64.69"/>
  </r>
  <r>
    <s v="ORD-00772"/>
    <d v="2025-08-28T00:00:00"/>
    <s v="Customer 090"/>
    <x v="8"/>
    <s v="Office Supplies"/>
    <s v="South"/>
    <n v="3"/>
    <n v="0.2"/>
    <n v="576"/>
    <n v="174.64"/>
  </r>
  <r>
    <s v="ORD-00773"/>
    <d v="2025-10-30T00:00:00"/>
    <s v="Customer 082"/>
    <x v="10"/>
    <s v="Office Supplies"/>
    <s v="East"/>
    <n v="4"/>
    <n v="0.2"/>
    <n v="80"/>
    <n v="24.52"/>
  </r>
  <r>
    <s v="ORD-00774"/>
    <d v="2025-06-27T00:00:00"/>
    <s v="Customer 057"/>
    <x v="6"/>
    <s v="Office Supplies"/>
    <s v="East"/>
    <n v="5"/>
    <n v="0.05"/>
    <n v="85.5"/>
    <n v="15.77"/>
  </r>
  <r>
    <s v="ORD-00775"/>
    <d v="2025-07-07T00:00:00"/>
    <s v="Customer 001"/>
    <x v="11"/>
    <s v="Furniture"/>
    <s v="South"/>
    <n v="3"/>
    <n v="0.05"/>
    <n v="541.5"/>
    <n v="189.43"/>
  </r>
  <r>
    <s v="ORD-00776"/>
    <d v="2025-06-26T00:00:00"/>
    <s v="Customer 063"/>
    <x v="4"/>
    <s v="Technology"/>
    <s v="West"/>
    <n v="4"/>
    <n v="0.2"/>
    <n v="2720"/>
    <n v="1216.53"/>
  </r>
  <r>
    <s v="ORD-00777"/>
    <d v="2025-06-03T00:00:00"/>
    <s v="Customer 001"/>
    <x v="9"/>
    <s v="Technology"/>
    <s v="East"/>
    <n v="4"/>
    <n v="0.1"/>
    <n v="4320"/>
    <n v="1092.9100000000001"/>
  </r>
  <r>
    <s v="ORD-00778"/>
    <d v="2025-04-07T00:00:00"/>
    <s v="Customer 021"/>
    <x v="11"/>
    <s v="Furniture"/>
    <s v="West"/>
    <n v="5"/>
    <n v="0.15"/>
    <n v="807.5"/>
    <n v="258.18"/>
  </r>
  <r>
    <s v="ORD-00779"/>
    <d v="2025-07-13T00:00:00"/>
    <s v="Customer 031"/>
    <x v="2"/>
    <s v="Furniture"/>
    <s v="East"/>
    <n v="3"/>
    <n v="0"/>
    <n v="165"/>
    <n v="51.26"/>
  </r>
  <r>
    <s v="ORD-00780"/>
    <d v="2025-05-26T00:00:00"/>
    <s v="Customer 009"/>
    <x v="5"/>
    <s v="Technology"/>
    <s v="South"/>
    <n v="5"/>
    <n v="0.1"/>
    <n v="1440"/>
    <n v="451.79"/>
  </r>
  <r>
    <s v="ORD-00781"/>
    <d v="2025-03-11T00:00:00"/>
    <s v="Customer 035"/>
    <x v="4"/>
    <s v="Technology"/>
    <s v="West"/>
    <n v="1"/>
    <n v="0.15"/>
    <n v="722.5"/>
    <n v="177.84"/>
  </r>
  <r>
    <s v="ORD-00782"/>
    <d v="2025-04-07T00:00:00"/>
    <s v="Customer 069"/>
    <x v="7"/>
    <s v="Technology"/>
    <s v="North"/>
    <n v="1"/>
    <n v="0.05"/>
    <n v="66.5"/>
    <n v="28.84"/>
  </r>
  <r>
    <s v="ORD-00783"/>
    <d v="2025-04-06T00:00:00"/>
    <s v="Customer 057"/>
    <x v="0"/>
    <s v="Technology"/>
    <s v="North"/>
    <n v="3"/>
    <n v="0.1"/>
    <n v="94.5"/>
    <n v="38.630000000000003"/>
  </r>
  <r>
    <s v="ORD-00784"/>
    <d v="2025-04-30T00:00:00"/>
    <s v="Customer 044"/>
    <x v="0"/>
    <s v="Technology"/>
    <s v="West"/>
    <n v="2"/>
    <n v="0"/>
    <n v="70"/>
    <n v="20.100000000000001"/>
  </r>
  <r>
    <s v="ORD-00785"/>
    <d v="2025-06-09T00:00:00"/>
    <s v="Customer 005"/>
    <x v="6"/>
    <s v="Office Supplies"/>
    <s v="East"/>
    <n v="3"/>
    <n v="0.15"/>
    <n v="45.9"/>
    <n v="10.1"/>
  </r>
  <r>
    <s v="ORD-00786"/>
    <d v="2025-02-11T00:00:00"/>
    <s v="Customer 010"/>
    <x v="3"/>
    <s v="Furniture"/>
    <s v="West"/>
    <n v="1"/>
    <n v="0.1"/>
    <n v="252"/>
    <n v="48.9"/>
  </r>
  <r>
    <s v="ORD-00787"/>
    <d v="2025-04-03T00:00:00"/>
    <s v="Customer 016"/>
    <x v="2"/>
    <s v="Furniture"/>
    <s v="South"/>
    <n v="3"/>
    <n v="0.15"/>
    <n v="140.25"/>
    <n v="24.78"/>
  </r>
  <r>
    <s v="ORD-00788"/>
    <d v="2025-07-17T00:00:00"/>
    <s v="Customer 095"/>
    <x v="6"/>
    <s v="Office Supplies"/>
    <s v="North"/>
    <n v="2"/>
    <n v="0"/>
    <n v="36"/>
    <n v="13.83"/>
  </r>
  <r>
    <s v="ORD-00789"/>
    <d v="2025-09-24T00:00:00"/>
    <s v="Customer 040"/>
    <x v="5"/>
    <s v="Technology"/>
    <s v="East"/>
    <n v="2"/>
    <n v="0.15"/>
    <n v="544"/>
    <n v="174.94"/>
  </r>
  <r>
    <s v="ORD-00790"/>
    <d v="2025-03-23T00:00:00"/>
    <s v="Customer 033"/>
    <x v="5"/>
    <s v="Technology"/>
    <s v="West"/>
    <n v="1"/>
    <n v="0.2"/>
    <n v="256"/>
    <n v="71.19"/>
  </r>
  <r>
    <s v="ORD-00791"/>
    <d v="2025-11-23T00:00:00"/>
    <s v="Customer 086"/>
    <x v="4"/>
    <s v="Technology"/>
    <s v="South"/>
    <n v="2"/>
    <n v="0.1"/>
    <n v="1530"/>
    <n v="240.39"/>
  </r>
  <r>
    <s v="ORD-00792"/>
    <d v="2025-02-27T00:00:00"/>
    <s v="Customer 036"/>
    <x v="2"/>
    <s v="Furniture"/>
    <s v="North"/>
    <n v="4"/>
    <n v="0.1"/>
    <n v="198"/>
    <n v="88.12"/>
  </r>
  <r>
    <s v="ORD-00793"/>
    <d v="2025-07-22T00:00:00"/>
    <s v="Customer 089"/>
    <x v="2"/>
    <s v="Furniture"/>
    <s v="West"/>
    <n v="1"/>
    <n v="0"/>
    <n v="55"/>
    <n v="14.2"/>
  </r>
  <r>
    <s v="ORD-00794"/>
    <d v="2025-12-19T00:00:00"/>
    <s v="Customer 032"/>
    <x v="10"/>
    <s v="Office Supplies"/>
    <s v="South"/>
    <n v="2"/>
    <n v="0.1"/>
    <n v="45"/>
    <n v="8.8000000000000007"/>
  </r>
  <r>
    <s v="ORD-00795"/>
    <d v="2025-09-13T00:00:00"/>
    <s v="Customer 098"/>
    <x v="0"/>
    <s v="Technology"/>
    <s v="North"/>
    <n v="5"/>
    <n v="0.1"/>
    <n v="157.5"/>
    <n v="22.49"/>
  </r>
  <r>
    <s v="ORD-00796"/>
    <d v="2025-01-31T00:00:00"/>
    <s v="Customer 017"/>
    <x v="7"/>
    <s v="Technology"/>
    <s v="West"/>
    <n v="2"/>
    <n v="0.2"/>
    <n v="112"/>
    <n v="21.15"/>
  </r>
  <r>
    <s v="ORD-00797"/>
    <d v="2025-04-30T00:00:00"/>
    <s v="Customer 057"/>
    <x v="7"/>
    <s v="Technology"/>
    <s v="South"/>
    <n v="5"/>
    <n v="0.1"/>
    <n v="315"/>
    <n v="58.02"/>
  </r>
  <r>
    <s v="ORD-00798"/>
    <d v="2025-01-11T00:00:00"/>
    <s v="Customer 033"/>
    <x v="1"/>
    <s v="Furniture"/>
    <s v="North"/>
    <n v="4"/>
    <n v="0.1"/>
    <n v="756"/>
    <n v="159.47999999999999"/>
  </r>
  <r>
    <s v="ORD-00799"/>
    <d v="2025-09-06T00:00:00"/>
    <s v="Customer 090"/>
    <x v="1"/>
    <s v="Furniture"/>
    <s v="West"/>
    <n v="4"/>
    <n v="0.2"/>
    <n v="672"/>
    <n v="237.04"/>
  </r>
  <r>
    <s v="ORD-00800"/>
    <d v="2025-04-08T00:00:00"/>
    <s v="Customer 094"/>
    <x v="10"/>
    <s v="Office Supplies"/>
    <s v="West"/>
    <n v="2"/>
    <n v="0.2"/>
    <n v="40"/>
    <n v="13.41"/>
  </r>
  <r>
    <s v="ORD-00801"/>
    <d v="2025-05-21T00:00:00"/>
    <s v="Customer 020"/>
    <x v="10"/>
    <s v="Office Supplies"/>
    <s v="West"/>
    <n v="5"/>
    <n v="0.05"/>
    <n v="118.75"/>
    <n v="50.74"/>
  </r>
  <r>
    <s v="ORD-00802"/>
    <d v="2025-06-01T00:00:00"/>
    <s v="Customer 100"/>
    <x v="4"/>
    <s v="Technology"/>
    <s v="West"/>
    <n v="5"/>
    <n v="0.1"/>
    <n v="3825"/>
    <n v="1148.0899999999999"/>
  </r>
  <r>
    <s v="ORD-00803"/>
    <d v="2025-04-05T00:00:00"/>
    <s v="Customer 031"/>
    <x v="9"/>
    <s v="Technology"/>
    <s v="East"/>
    <n v="5"/>
    <n v="0.1"/>
    <n v="5400"/>
    <n v="1047.1400000000001"/>
  </r>
  <r>
    <s v="ORD-00804"/>
    <d v="2025-02-02T00:00:00"/>
    <s v="Customer 088"/>
    <x v="5"/>
    <s v="Technology"/>
    <s v="West"/>
    <n v="5"/>
    <n v="0.15"/>
    <n v="1360"/>
    <n v="526.79"/>
  </r>
  <r>
    <s v="ORD-00805"/>
    <d v="2025-10-10T00:00:00"/>
    <s v="Customer 083"/>
    <x v="3"/>
    <s v="Furniture"/>
    <s v="East"/>
    <n v="5"/>
    <n v="0.1"/>
    <n v="1260"/>
    <n v="432.86"/>
  </r>
  <r>
    <s v="ORD-00806"/>
    <d v="2025-02-26T00:00:00"/>
    <s v="Customer 017"/>
    <x v="0"/>
    <s v="Technology"/>
    <s v="South"/>
    <n v="5"/>
    <n v="0"/>
    <n v="175"/>
    <n v="76.22"/>
  </r>
  <r>
    <s v="ORD-00807"/>
    <d v="2025-01-17T00:00:00"/>
    <s v="Customer 005"/>
    <x v="2"/>
    <s v="Furniture"/>
    <s v="West"/>
    <n v="1"/>
    <n v="0.15"/>
    <n v="46.75"/>
    <n v="18.079999999999998"/>
  </r>
  <r>
    <s v="ORD-00808"/>
    <d v="2025-12-03T00:00:00"/>
    <s v="Customer 033"/>
    <x v="6"/>
    <s v="Office Supplies"/>
    <s v="North"/>
    <n v="5"/>
    <n v="0.2"/>
    <n v="72"/>
    <n v="15.74"/>
  </r>
  <r>
    <s v="ORD-00809"/>
    <d v="2025-07-07T00:00:00"/>
    <s v="Customer 027"/>
    <x v="2"/>
    <s v="Furniture"/>
    <s v="West"/>
    <n v="5"/>
    <n v="0"/>
    <n v="275"/>
    <n v="122.56"/>
  </r>
  <r>
    <s v="ORD-00810"/>
    <d v="2025-02-10T00:00:00"/>
    <s v="Customer 054"/>
    <x v="6"/>
    <s v="Office Supplies"/>
    <s v="East"/>
    <n v="1"/>
    <n v="0.1"/>
    <n v="16.2"/>
    <n v="4.3099999999999996"/>
  </r>
  <r>
    <s v="ORD-00811"/>
    <d v="2025-12-29T00:00:00"/>
    <s v="Customer 094"/>
    <x v="9"/>
    <s v="Technology"/>
    <s v="North"/>
    <n v="5"/>
    <n v="0.1"/>
    <n v="5400"/>
    <n v="1487.28"/>
  </r>
  <r>
    <s v="ORD-00812"/>
    <d v="2025-06-05T00:00:00"/>
    <s v="Customer 093"/>
    <x v="0"/>
    <s v="Technology"/>
    <s v="South"/>
    <n v="2"/>
    <n v="0.2"/>
    <n v="56"/>
    <n v="23.41"/>
  </r>
  <r>
    <s v="ORD-00813"/>
    <d v="2025-09-30T00:00:00"/>
    <s v="Customer 032"/>
    <x v="11"/>
    <s v="Furniture"/>
    <s v="South"/>
    <n v="2"/>
    <n v="0.05"/>
    <n v="361"/>
    <n v="99.76"/>
  </r>
  <r>
    <s v="ORD-00814"/>
    <d v="2025-10-13T00:00:00"/>
    <s v="Customer 099"/>
    <x v="1"/>
    <s v="Furniture"/>
    <s v="East"/>
    <n v="5"/>
    <n v="0.15"/>
    <n v="892.5"/>
    <n v="181.88"/>
  </r>
  <r>
    <s v="ORD-00815"/>
    <d v="2025-12-12T00:00:00"/>
    <s v="Customer 024"/>
    <x v="6"/>
    <s v="Office Supplies"/>
    <s v="West"/>
    <n v="4"/>
    <n v="0"/>
    <n v="72"/>
    <n v="28.44"/>
  </r>
  <r>
    <s v="ORD-00816"/>
    <d v="2025-09-16T00:00:00"/>
    <s v="Customer 057"/>
    <x v="7"/>
    <s v="Technology"/>
    <s v="East"/>
    <n v="2"/>
    <n v="0.2"/>
    <n v="112"/>
    <n v="13.5"/>
  </r>
  <r>
    <s v="ORD-00817"/>
    <d v="2025-06-11T00:00:00"/>
    <s v="Customer 082"/>
    <x v="8"/>
    <s v="Office Supplies"/>
    <s v="West"/>
    <n v="3"/>
    <n v="0.1"/>
    <n v="648"/>
    <n v="203.42"/>
  </r>
  <r>
    <s v="ORD-00818"/>
    <d v="2025-06-15T00:00:00"/>
    <s v="Customer 049"/>
    <x v="10"/>
    <s v="Office Supplies"/>
    <s v="East"/>
    <n v="2"/>
    <n v="0.2"/>
    <n v="40"/>
    <n v="10.8"/>
  </r>
  <r>
    <s v="ORD-00819"/>
    <d v="2025-07-04T00:00:00"/>
    <s v="Customer 005"/>
    <x v="6"/>
    <s v="Office Supplies"/>
    <s v="East"/>
    <n v="4"/>
    <n v="0.15"/>
    <n v="61.2"/>
    <n v="27.54"/>
  </r>
  <r>
    <s v="ORD-00820"/>
    <d v="2025-11-02T00:00:00"/>
    <s v="Customer 039"/>
    <x v="9"/>
    <s v="Technology"/>
    <s v="North"/>
    <n v="5"/>
    <n v="0.05"/>
    <n v="5700"/>
    <n v="696.39"/>
  </r>
  <r>
    <s v="ORD-00821"/>
    <d v="2025-06-03T00:00:00"/>
    <s v="Customer 089"/>
    <x v="2"/>
    <s v="Furniture"/>
    <s v="East"/>
    <n v="2"/>
    <n v="0.1"/>
    <n v="99"/>
    <n v="43.84"/>
  </r>
  <r>
    <s v="ORD-00822"/>
    <d v="2025-10-11T00:00:00"/>
    <s v="Customer 020"/>
    <x v="8"/>
    <s v="Office Supplies"/>
    <s v="North"/>
    <n v="5"/>
    <n v="0.2"/>
    <n v="960"/>
    <n v="138.66999999999999"/>
  </r>
  <r>
    <s v="ORD-00823"/>
    <d v="2025-01-20T00:00:00"/>
    <s v="Customer 047"/>
    <x v="6"/>
    <s v="Office Supplies"/>
    <s v="South"/>
    <n v="3"/>
    <n v="0.05"/>
    <n v="51.3"/>
    <n v="20.74"/>
  </r>
  <r>
    <s v="ORD-00824"/>
    <d v="2025-04-30T00:00:00"/>
    <s v="Customer 073"/>
    <x v="4"/>
    <s v="Technology"/>
    <s v="South"/>
    <n v="3"/>
    <n v="0"/>
    <n v="2550"/>
    <n v="667.44"/>
  </r>
  <r>
    <s v="ORD-00825"/>
    <d v="2025-02-09T00:00:00"/>
    <s v="Customer 089"/>
    <x v="1"/>
    <s v="Furniture"/>
    <s v="North"/>
    <n v="3"/>
    <n v="0.15"/>
    <n v="535.5"/>
    <n v="210.42"/>
  </r>
  <r>
    <s v="ORD-00826"/>
    <d v="2025-11-01T00:00:00"/>
    <s v="Customer 074"/>
    <x v="5"/>
    <s v="Technology"/>
    <s v="West"/>
    <n v="3"/>
    <n v="0"/>
    <n v="960"/>
    <n v="200.49"/>
  </r>
  <r>
    <s v="ORD-00827"/>
    <d v="2025-02-10T00:00:00"/>
    <s v="Customer 056"/>
    <x v="9"/>
    <s v="Technology"/>
    <s v="West"/>
    <n v="3"/>
    <n v="0.1"/>
    <n v="3240"/>
    <n v="517.33000000000004"/>
  </r>
  <r>
    <s v="ORD-00828"/>
    <d v="2025-03-03T00:00:00"/>
    <s v="Customer 081"/>
    <x v="2"/>
    <s v="Furniture"/>
    <s v="West"/>
    <n v="5"/>
    <n v="0"/>
    <n v="275"/>
    <n v="66.22"/>
  </r>
  <r>
    <s v="ORD-00829"/>
    <d v="2025-01-28T00:00:00"/>
    <s v="Customer 073"/>
    <x v="4"/>
    <s v="Technology"/>
    <s v="South"/>
    <n v="5"/>
    <n v="0"/>
    <n v="4250"/>
    <n v="1464.66"/>
  </r>
  <r>
    <s v="ORD-00830"/>
    <d v="2025-06-17T00:00:00"/>
    <s v="Customer 094"/>
    <x v="8"/>
    <s v="Office Supplies"/>
    <s v="West"/>
    <n v="2"/>
    <n v="0.05"/>
    <n v="456"/>
    <n v="197.6"/>
  </r>
  <r>
    <s v="ORD-00831"/>
    <d v="2025-08-17T00:00:00"/>
    <s v="Customer 056"/>
    <x v="10"/>
    <s v="Office Supplies"/>
    <s v="East"/>
    <n v="5"/>
    <n v="0.2"/>
    <n v="100"/>
    <n v="42.03"/>
  </r>
  <r>
    <s v="ORD-00832"/>
    <d v="2025-07-21T00:00:00"/>
    <s v="Customer 074"/>
    <x v="3"/>
    <s v="Furniture"/>
    <s v="North"/>
    <n v="2"/>
    <n v="0.1"/>
    <n v="504"/>
    <n v="213.07"/>
  </r>
  <r>
    <s v="ORD-00833"/>
    <d v="2025-10-08T00:00:00"/>
    <s v="Customer 056"/>
    <x v="11"/>
    <s v="Furniture"/>
    <s v="South"/>
    <n v="3"/>
    <n v="0"/>
    <n v="570"/>
    <n v="181.54"/>
  </r>
  <r>
    <s v="ORD-00834"/>
    <d v="2025-03-11T00:00:00"/>
    <s v="Customer 084"/>
    <x v="6"/>
    <s v="Office Supplies"/>
    <s v="South"/>
    <n v="5"/>
    <n v="0.05"/>
    <n v="85.5"/>
    <n v="24.71"/>
  </r>
  <r>
    <s v="ORD-00835"/>
    <d v="2025-10-15T00:00:00"/>
    <s v="Customer 035"/>
    <x v="10"/>
    <s v="Office Supplies"/>
    <s v="West"/>
    <n v="5"/>
    <n v="0.05"/>
    <n v="118.75"/>
    <n v="43.94"/>
  </r>
  <r>
    <s v="ORD-00836"/>
    <d v="2025-06-15T00:00:00"/>
    <s v="Customer 053"/>
    <x v="5"/>
    <s v="Technology"/>
    <s v="West"/>
    <n v="5"/>
    <n v="0"/>
    <n v="1600"/>
    <n v="660.58"/>
  </r>
  <r>
    <s v="ORD-00837"/>
    <d v="2025-07-07T00:00:00"/>
    <s v="Customer 084"/>
    <x v="7"/>
    <s v="Technology"/>
    <s v="North"/>
    <n v="2"/>
    <n v="0.1"/>
    <n v="126"/>
    <n v="42.37"/>
  </r>
  <r>
    <s v="ORD-00838"/>
    <d v="2025-06-06T00:00:00"/>
    <s v="Customer 057"/>
    <x v="3"/>
    <s v="Furniture"/>
    <s v="South"/>
    <n v="3"/>
    <n v="0.2"/>
    <n v="672"/>
    <n v="120.21"/>
  </r>
  <r>
    <s v="ORD-00839"/>
    <d v="2025-08-14T00:00:00"/>
    <s v="Customer 020"/>
    <x v="9"/>
    <s v="Technology"/>
    <s v="North"/>
    <n v="2"/>
    <n v="0.05"/>
    <n v="2280"/>
    <n v="510.34"/>
  </r>
  <r>
    <s v="ORD-00840"/>
    <d v="2025-02-27T00:00:00"/>
    <s v="Customer 019"/>
    <x v="1"/>
    <s v="Furniture"/>
    <s v="East"/>
    <n v="1"/>
    <n v="0.05"/>
    <n v="199.5"/>
    <n v="27.3"/>
  </r>
  <r>
    <s v="ORD-00841"/>
    <d v="2025-01-08T00:00:00"/>
    <s v="Customer 003"/>
    <x v="7"/>
    <s v="Technology"/>
    <s v="East"/>
    <n v="1"/>
    <n v="0.1"/>
    <n v="63"/>
    <n v="18.989999999999998"/>
  </r>
  <r>
    <s v="ORD-00842"/>
    <d v="2025-04-18T00:00:00"/>
    <s v="Customer 067"/>
    <x v="1"/>
    <s v="Furniture"/>
    <s v="East"/>
    <n v="5"/>
    <n v="0.05"/>
    <n v="997.5"/>
    <n v="381.79"/>
  </r>
  <r>
    <s v="ORD-00843"/>
    <d v="2025-10-08T00:00:00"/>
    <s v="Customer 086"/>
    <x v="6"/>
    <s v="Office Supplies"/>
    <s v="North"/>
    <n v="5"/>
    <n v="0.05"/>
    <n v="85.5"/>
    <n v="18.86"/>
  </r>
  <r>
    <s v="ORD-00844"/>
    <d v="2025-07-12T00:00:00"/>
    <s v="Customer 008"/>
    <x v="10"/>
    <s v="Office Supplies"/>
    <s v="East"/>
    <n v="5"/>
    <n v="0"/>
    <n v="125"/>
    <n v="45.71"/>
  </r>
  <r>
    <s v="ORD-00845"/>
    <d v="2025-04-13T00:00:00"/>
    <s v="Customer 084"/>
    <x v="1"/>
    <s v="Furniture"/>
    <s v="North"/>
    <n v="5"/>
    <n v="0.1"/>
    <n v="945"/>
    <n v="408.7"/>
  </r>
  <r>
    <s v="ORD-00846"/>
    <d v="2025-02-04T00:00:00"/>
    <s v="Customer 003"/>
    <x v="11"/>
    <s v="Furniture"/>
    <s v="East"/>
    <n v="3"/>
    <n v="0.1"/>
    <n v="513"/>
    <n v="84.54"/>
  </r>
  <r>
    <s v="ORD-00847"/>
    <d v="2025-11-29T00:00:00"/>
    <s v="Customer 091"/>
    <x v="11"/>
    <s v="Furniture"/>
    <s v="North"/>
    <n v="2"/>
    <n v="0.15"/>
    <n v="323"/>
    <n v="91.14"/>
  </r>
  <r>
    <s v="ORD-00848"/>
    <d v="2025-06-11T00:00:00"/>
    <s v="Customer 026"/>
    <x v="6"/>
    <s v="Office Supplies"/>
    <s v="West"/>
    <n v="5"/>
    <n v="0.2"/>
    <n v="72"/>
    <n v="30.31"/>
  </r>
  <r>
    <s v="ORD-00849"/>
    <d v="2025-10-15T00:00:00"/>
    <s v="Customer 068"/>
    <x v="1"/>
    <s v="Furniture"/>
    <s v="East"/>
    <n v="1"/>
    <n v="0"/>
    <n v="210"/>
    <n v="77.36"/>
  </r>
  <r>
    <s v="ORD-00850"/>
    <d v="2025-06-20T00:00:00"/>
    <s v="Customer 088"/>
    <x v="6"/>
    <s v="Office Supplies"/>
    <s v="East"/>
    <n v="4"/>
    <n v="0.05"/>
    <n v="68.400000000000006"/>
    <n v="30.37"/>
  </r>
  <r>
    <s v="ORD-00851"/>
    <d v="2025-07-01T00:00:00"/>
    <s v="Customer 065"/>
    <x v="5"/>
    <s v="Technology"/>
    <s v="East"/>
    <n v="3"/>
    <n v="0.05"/>
    <n v="912"/>
    <n v="110.65"/>
  </r>
  <r>
    <s v="ORD-00852"/>
    <d v="2025-02-01T00:00:00"/>
    <s v="Customer 004"/>
    <x v="5"/>
    <s v="Technology"/>
    <s v="East"/>
    <n v="3"/>
    <n v="0.15"/>
    <n v="816"/>
    <n v="127.43"/>
  </r>
  <r>
    <s v="ORD-00853"/>
    <d v="2025-04-26T00:00:00"/>
    <s v="Customer 012"/>
    <x v="3"/>
    <s v="Furniture"/>
    <s v="West"/>
    <n v="3"/>
    <n v="0.15"/>
    <n v="714"/>
    <n v="166.51"/>
  </r>
  <r>
    <s v="ORD-00854"/>
    <d v="2025-09-24T00:00:00"/>
    <s v="Customer 074"/>
    <x v="5"/>
    <s v="Technology"/>
    <s v="South"/>
    <n v="5"/>
    <n v="0.05"/>
    <n v="1520"/>
    <n v="474.67"/>
  </r>
  <r>
    <s v="ORD-00855"/>
    <d v="2025-08-07T00:00:00"/>
    <s v="Customer 017"/>
    <x v="4"/>
    <s v="Technology"/>
    <s v="South"/>
    <n v="5"/>
    <n v="0.1"/>
    <n v="3825"/>
    <n v="1154.29"/>
  </r>
  <r>
    <s v="ORD-00856"/>
    <d v="2025-12-01T00:00:00"/>
    <s v="Customer 026"/>
    <x v="3"/>
    <s v="Furniture"/>
    <s v="South"/>
    <n v="5"/>
    <n v="0.2"/>
    <n v="1120"/>
    <n v="251.18"/>
  </r>
  <r>
    <s v="ORD-00857"/>
    <d v="2025-06-08T00:00:00"/>
    <s v="Customer 099"/>
    <x v="1"/>
    <s v="Furniture"/>
    <s v="South"/>
    <n v="5"/>
    <n v="0.05"/>
    <n v="997.5"/>
    <n v="307.31"/>
  </r>
  <r>
    <s v="ORD-00858"/>
    <d v="2025-12-02T00:00:00"/>
    <s v="Customer 069"/>
    <x v="10"/>
    <s v="Office Supplies"/>
    <s v="North"/>
    <n v="2"/>
    <n v="0.1"/>
    <n v="45"/>
    <n v="19.239999999999998"/>
  </r>
  <r>
    <s v="ORD-00859"/>
    <d v="2025-04-05T00:00:00"/>
    <s v="Customer 053"/>
    <x v="7"/>
    <s v="Technology"/>
    <s v="West"/>
    <n v="2"/>
    <n v="0"/>
    <n v="140"/>
    <n v="27.64"/>
  </r>
  <r>
    <s v="ORD-00860"/>
    <d v="2025-06-05T00:00:00"/>
    <s v="Customer 014"/>
    <x v="6"/>
    <s v="Office Supplies"/>
    <s v="South"/>
    <n v="3"/>
    <n v="0.05"/>
    <n v="51.3"/>
    <n v="9.9"/>
  </r>
  <r>
    <s v="ORD-00861"/>
    <d v="2025-04-05T00:00:00"/>
    <s v="Customer 073"/>
    <x v="9"/>
    <s v="Technology"/>
    <s v="South"/>
    <n v="5"/>
    <n v="0.2"/>
    <n v="4800"/>
    <n v="1737.29"/>
  </r>
  <r>
    <s v="ORD-00862"/>
    <d v="2025-11-02T00:00:00"/>
    <s v="Customer 089"/>
    <x v="2"/>
    <s v="Furniture"/>
    <s v="West"/>
    <n v="2"/>
    <n v="0"/>
    <n v="110"/>
    <n v="36.46"/>
  </r>
  <r>
    <s v="ORD-00863"/>
    <d v="2025-03-10T00:00:00"/>
    <s v="Customer 048"/>
    <x v="8"/>
    <s v="Office Supplies"/>
    <s v="South"/>
    <n v="5"/>
    <n v="0.15"/>
    <n v="1020"/>
    <n v="219.33"/>
  </r>
  <r>
    <s v="ORD-00864"/>
    <d v="2025-07-18T00:00:00"/>
    <s v="Customer 029"/>
    <x v="6"/>
    <s v="Office Supplies"/>
    <s v="North"/>
    <n v="4"/>
    <n v="0.05"/>
    <n v="68.400000000000006"/>
    <n v="27.08"/>
  </r>
  <r>
    <s v="ORD-00865"/>
    <d v="2025-07-29T00:00:00"/>
    <s v="Customer 086"/>
    <x v="9"/>
    <s v="Technology"/>
    <s v="South"/>
    <n v="3"/>
    <n v="0.15"/>
    <n v="3060"/>
    <n v="1152.26"/>
  </r>
  <r>
    <s v="ORD-00866"/>
    <d v="2025-04-15T00:00:00"/>
    <s v="Customer 063"/>
    <x v="0"/>
    <s v="Technology"/>
    <s v="East"/>
    <n v="2"/>
    <n v="0.15"/>
    <n v="59.5"/>
    <n v="9.75"/>
  </r>
  <r>
    <s v="ORD-00867"/>
    <d v="2025-08-23T00:00:00"/>
    <s v="Customer 078"/>
    <x v="2"/>
    <s v="Furniture"/>
    <s v="West"/>
    <n v="4"/>
    <n v="0.15"/>
    <n v="187"/>
    <n v="36.25"/>
  </r>
  <r>
    <s v="ORD-00868"/>
    <d v="2025-06-10T00:00:00"/>
    <s v="Customer 068"/>
    <x v="11"/>
    <s v="Furniture"/>
    <s v="North"/>
    <n v="5"/>
    <n v="0.2"/>
    <n v="760"/>
    <n v="193.07"/>
  </r>
  <r>
    <s v="ORD-00869"/>
    <d v="2025-09-24T00:00:00"/>
    <s v="Customer 006"/>
    <x v="0"/>
    <s v="Technology"/>
    <s v="South"/>
    <n v="4"/>
    <n v="0.15"/>
    <n v="119"/>
    <n v="21.07"/>
  </r>
  <r>
    <s v="ORD-00870"/>
    <d v="2025-09-23T00:00:00"/>
    <s v="Customer 067"/>
    <x v="8"/>
    <s v="Office Supplies"/>
    <s v="North"/>
    <n v="4"/>
    <n v="0"/>
    <n v="960"/>
    <n v="255.32"/>
  </r>
  <r>
    <s v="ORD-00871"/>
    <d v="2025-04-08T00:00:00"/>
    <s v="Customer 100"/>
    <x v="4"/>
    <s v="Technology"/>
    <s v="East"/>
    <n v="4"/>
    <n v="0.15"/>
    <n v="2890"/>
    <n v="457.05"/>
  </r>
  <r>
    <s v="ORD-00872"/>
    <d v="2025-08-25T00:00:00"/>
    <s v="Customer 007"/>
    <x v="3"/>
    <s v="Furniture"/>
    <s v="South"/>
    <n v="4"/>
    <n v="0.1"/>
    <n v="1008"/>
    <n v="249.65"/>
  </r>
  <r>
    <s v="ORD-00873"/>
    <d v="2025-08-26T00:00:00"/>
    <s v="Customer 015"/>
    <x v="5"/>
    <s v="Technology"/>
    <s v="South"/>
    <n v="4"/>
    <n v="0"/>
    <n v="1280"/>
    <n v="270.75"/>
  </r>
  <r>
    <s v="ORD-00874"/>
    <d v="2025-10-27T00:00:00"/>
    <s v="Customer 042"/>
    <x v="1"/>
    <s v="Furniture"/>
    <s v="West"/>
    <n v="5"/>
    <n v="0.05"/>
    <n v="997.5"/>
    <n v="319.49"/>
  </r>
  <r>
    <s v="ORD-00875"/>
    <d v="2025-01-13T00:00:00"/>
    <s v="Customer 026"/>
    <x v="3"/>
    <s v="Furniture"/>
    <s v="West"/>
    <n v="4"/>
    <n v="0.2"/>
    <n v="896"/>
    <n v="138.09"/>
  </r>
  <r>
    <s v="ORD-00876"/>
    <d v="2025-02-16T00:00:00"/>
    <s v="Customer 016"/>
    <x v="4"/>
    <s v="Technology"/>
    <s v="North"/>
    <n v="3"/>
    <n v="0.05"/>
    <n v="2422.5"/>
    <n v="515.84"/>
  </r>
  <r>
    <s v="ORD-00877"/>
    <d v="2025-02-28T00:00:00"/>
    <s v="Customer 091"/>
    <x v="1"/>
    <s v="Furniture"/>
    <s v="West"/>
    <n v="4"/>
    <n v="0.1"/>
    <n v="756"/>
    <n v="318.92"/>
  </r>
  <r>
    <s v="ORD-00878"/>
    <d v="2025-09-19T00:00:00"/>
    <s v="Customer 006"/>
    <x v="10"/>
    <s v="Office Supplies"/>
    <s v="South"/>
    <n v="2"/>
    <n v="0.15"/>
    <n v="42.5"/>
    <n v="11.41"/>
  </r>
  <r>
    <s v="ORD-00879"/>
    <d v="2025-06-21T00:00:00"/>
    <s v="Customer 023"/>
    <x v="10"/>
    <s v="Office Supplies"/>
    <s v="North"/>
    <n v="2"/>
    <n v="0.05"/>
    <n v="47.5"/>
    <n v="7.76"/>
  </r>
  <r>
    <s v="ORD-00880"/>
    <d v="2025-08-03T00:00:00"/>
    <s v="Customer 024"/>
    <x v="4"/>
    <s v="Technology"/>
    <s v="North"/>
    <n v="3"/>
    <n v="0.15"/>
    <n v="2167.5"/>
    <n v="768.82"/>
  </r>
  <r>
    <s v="ORD-00881"/>
    <d v="2025-03-09T00:00:00"/>
    <s v="Customer 002"/>
    <x v="2"/>
    <s v="Furniture"/>
    <s v="West"/>
    <n v="1"/>
    <n v="0.2"/>
    <n v="44"/>
    <n v="8.69"/>
  </r>
  <r>
    <s v="ORD-00882"/>
    <d v="2025-09-12T00:00:00"/>
    <s v="Customer 064"/>
    <x v="6"/>
    <s v="Office Supplies"/>
    <s v="South"/>
    <n v="5"/>
    <n v="0"/>
    <n v="90"/>
    <n v="22.44"/>
  </r>
  <r>
    <s v="ORD-00883"/>
    <d v="2025-04-22T00:00:00"/>
    <s v="Customer 011"/>
    <x v="10"/>
    <s v="Office Supplies"/>
    <s v="North"/>
    <n v="4"/>
    <n v="0.15"/>
    <n v="85"/>
    <n v="26.75"/>
  </r>
  <r>
    <s v="ORD-00884"/>
    <d v="2025-05-06T00:00:00"/>
    <s v="Customer 027"/>
    <x v="8"/>
    <s v="Office Supplies"/>
    <s v="North"/>
    <n v="3"/>
    <n v="0.2"/>
    <n v="576"/>
    <n v="139.71"/>
  </r>
  <r>
    <s v="ORD-00885"/>
    <d v="2025-04-05T00:00:00"/>
    <s v="Customer 005"/>
    <x v="3"/>
    <s v="Furniture"/>
    <s v="East"/>
    <n v="1"/>
    <n v="0.1"/>
    <n v="252"/>
    <n v="110.35"/>
  </r>
  <r>
    <s v="ORD-00886"/>
    <d v="2025-06-19T00:00:00"/>
    <s v="Customer 023"/>
    <x v="0"/>
    <s v="Technology"/>
    <s v="South"/>
    <n v="1"/>
    <n v="0"/>
    <n v="35"/>
    <n v="10.93"/>
  </r>
  <r>
    <s v="ORD-00887"/>
    <d v="2025-12-11T00:00:00"/>
    <s v="Customer 072"/>
    <x v="4"/>
    <s v="Technology"/>
    <s v="South"/>
    <n v="5"/>
    <n v="0.2"/>
    <n v="3400"/>
    <n v="887.9"/>
  </r>
  <r>
    <s v="ORD-00888"/>
    <d v="2025-08-22T00:00:00"/>
    <s v="Customer 012"/>
    <x v="1"/>
    <s v="Furniture"/>
    <s v="East"/>
    <n v="5"/>
    <n v="0.1"/>
    <n v="945"/>
    <n v="134.77000000000001"/>
  </r>
  <r>
    <s v="ORD-00889"/>
    <d v="2025-06-15T00:00:00"/>
    <s v="Customer 071"/>
    <x v="7"/>
    <s v="Technology"/>
    <s v="North"/>
    <n v="4"/>
    <n v="0"/>
    <n v="280"/>
    <n v="55.92"/>
  </r>
  <r>
    <s v="ORD-00890"/>
    <d v="2025-05-30T00:00:00"/>
    <s v="Customer 036"/>
    <x v="6"/>
    <s v="Office Supplies"/>
    <s v="East"/>
    <n v="2"/>
    <n v="0"/>
    <n v="36"/>
    <n v="7.95"/>
  </r>
  <r>
    <s v="ORD-00891"/>
    <d v="2025-09-27T00:00:00"/>
    <s v="Customer 079"/>
    <x v="11"/>
    <s v="Furniture"/>
    <s v="North"/>
    <n v="5"/>
    <n v="0.05"/>
    <n v="902.5"/>
    <n v="198.89"/>
  </r>
  <r>
    <s v="ORD-00892"/>
    <d v="2025-02-25T00:00:00"/>
    <s v="Customer 089"/>
    <x v="10"/>
    <s v="Office Supplies"/>
    <s v="East"/>
    <n v="5"/>
    <n v="0"/>
    <n v="125"/>
    <n v="36.299999999999997"/>
  </r>
  <r>
    <s v="ORD-00893"/>
    <d v="2025-08-07T00:00:00"/>
    <s v="Customer 080"/>
    <x v="10"/>
    <s v="Office Supplies"/>
    <s v="East"/>
    <n v="3"/>
    <n v="0.1"/>
    <n v="67.5"/>
    <n v="18.670000000000002"/>
  </r>
  <r>
    <s v="ORD-00894"/>
    <d v="2025-03-08T00:00:00"/>
    <s v="Customer 081"/>
    <x v="10"/>
    <s v="Office Supplies"/>
    <s v="West"/>
    <n v="5"/>
    <n v="0.15"/>
    <n v="106.25"/>
    <n v="29.59"/>
  </r>
  <r>
    <s v="ORD-00895"/>
    <d v="2025-09-10T00:00:00"/>
    <s v="Customer 025"/>
    <x v="3"/>
    <s v="Furniture"/>
    <s v="North"/>
    <n v="5"/>
    <n v="0.05"/>
    <n v="1330"/>
    <n v="287.5"/>
  </r>
  <r>
    <s v="ORD-00896"/>
    <d v="2025-03-02T00:00:00"/>
    <s v="Customer 027"/>
    <x v="9"/>
    <s v="Technology"/>
    <s v="West"/>
    <n v="4"/>
    <n v="0"/>
    <n v="4800"/>
    <n v="991.85"/>
  </r>
  <r>
    <s v="ORD-00897"/>
    <d v="2025-07-31T00:00:00"/>
    <s v="Customer 082"/>
    <x v="9"/>
    <s v="Technology"/>
    <s v="South"/>
    <n v="3"/>
    <n v="0.1"/>
    <n v="3240"/>
    <n v="858.8"/>
  </r>
  <r>
    <s v="ORD-00898"/>
    <d v="2025-01-06T00:00:00"/>
    <s v="Customer 009"/>
    <x v="5"/>
    <s v="Technology"/>
    <s v="East"/>
    <n v="2"/>
    <n v="0.1"/>
    <n v="576"/>
    <n v="210.84"/>
  </r>
  <r>
    <s v="ORD-00899"/>
    <d v="2025-06-03T00:00:00"/>
    <s v="Customer 015"/>
    <x v="8"/>
    <s v="Office Supplies"/>
    <s v="East"/>
    <n v="5"/>
    <n v="0.1"/>
    <n v="1080"/>
    <n v="212.63"/>
  </r>
  <r>
    <s v="ORD-00900"/>
    <d v="2025-06-24T00:00:00"/>
    <s v="Customer 023"/>
    <x v="11"/>
    <s v="Furniture"/>
    <s v="South"/>
    <n v="5"/>
    <n v="0.2"/>
    <n v="760"/>
    <n v="101.2"/>
  </r>
  <r>
    <s v="ORD-00901"/>
    <d v="2025-06-19T00:00:00"/>
    <s v="Customer 083"/>
    <x v="7"/>
    <s v="Technology"/>
    <s v="South"/>
    <n v="4"/>
    <n v="0.15"/>
    <n v="238"/>
    <n v="44.48"/>
  </r>
  <r>
    <s v="ORD-00902"/>
    <d v="2025-09-04T00:00:00"/>
    <s v="Customer 060"/>
    <x v="3"/>
    <s v="Furniture"/>
    <s v="West"/>
    <n v="4"/>
    <n v="0.2"/>
    <n v="896"/>
    <n v="138.29"/>
  </r>
  <r>
    <s v="ORD-00903"/>
    <d v="2025-01-29T00:00:00"/>
    <s v="Customer 041"/>
    <x v="8"/>
    <s v="Office Supplies"/>
    <s v="North"/>
    <n v="3"/>
    <n v="0.2"/>
    <n v="576"/>
    <n v="121.4"/>
  </r>
  <r>
    <s v="ORD-00904"/>
    <d v="2025-04-17T00:00:00"/>
    <s v="Customer 020"/>
    <x v="10"/>
    <s v="Office Supplies"/>
    <s v="East"/>
    <n v="3"/>
    <n v="0.1"/>
    <n v="67.5"/>
    <n v="28.9"/>
  </r>
  <r>
    <s v="ORD-00905"/>
    <d v="2025-01-16T00:00:00"/>
    <s v="Customer 074"/>
    <x v="7"/>
    <s v="Technology"/>
    <s v="West"/>
    <n v="4"/>
    <n v="0.2"/>
    <n v="224"/>
    <n v="38.53"/>
  </r>
  <r>
    <s v="ORD-00906"/>
    <d v="2025-04-06T00:00:00"/>
    <s v="Customer 041"/>
    <x v="10"/>
    <s v="Office Supplies"/>
    <s v="North"/>
    <n v="1"/>
    <n v="0.1"/>
    <n v="22.5"/>
    <n v="4.8899999999999997"/>
  </r>
  <r>
    <s v="ORD-00907"/>
    <d v="2025-05-20T00:00:00"/>
    <s v="Customer 048"/>
    <x v="11"/>
    <s v="Furniture"/>
    <s v="West"/>
    <n v="1"/>
    <n v="0.15"/>
    <n v="161.5"/>
    <n v="25.93"/>
  </r>
  <r>
    <s v="ORD-00908"/>
    <d v="2025-06-04T00:00:00"/>
    <s v="Customer 048"/>
    <x v="2"/>
    <s v="Furniture"/>
    <s v="North"/>
    <n v="5"/>
    <n v="0.1"/>
    <n v="247.5"/>
    <n v="97.08"/>
  </r>
  <r>
    <s v="ORD-00909"/>
    <d v="2025-04-14T00:00:00"/>
    <s v="Customer 062"/>
    <x v="0"/>
    <s v="Technology"/>
    <s v="South"/>
    <n v="4"/>
    <n v="0.2"/>
    <n v="112"/>
    <n v="49.48"/>
  </r>
  <r>
    <s v="ORD-00910"/>
    <d v="2025-04-08T00:00:00"/>
    <s v="Customer 042"/>
    <x v="7"/>
    <s v="Technology"/>
    <s v="South"/>
    <n v="4"/>
    <n v="0.2"/>
    <n v="224"/>
    <n v="77.86"/>
  </r>
  <r>
    <s v="ORD-00911"/>
    <d v="2025-02-20T00:00:00"/>
    <s v="Customer 059"/>
    <x v="8"/>
    <s v="Office Supplies"/>
    <s v="West"/>
    <n v="2"/>
    <n v="0.05"/>
    <n v="456"/>
    <n v="96.17"/>
  </r>
  <r>
    <s v="ORD-00912"/>
    <d v="2025-09-25T00:00:00"/>
    <s v="Customer 088"/>
    <x v="0"/>
    <s v="Technology"/>
    <s v="North"/>
    <n v="1"/>
    <n v="0.1"/>
    <n v="31.5"/>
    <n v="4.4800000000000004"/>
  </r>
  <r>
    <s v="ORD-00913"/>
    <d v="2025-06-20T00:00:00"/>
    <s v="Customer 085"/>
    <x v="6"/>
    <s v="Office Supplies"/>
    <s v="East"/>
    <n v="1"/>
    <n v="0"/>
    <n v="18"/>
    <n v="5.01"/>
  </r>
  <r>
    <s v="ORD-00914"/>
    <d v="2025-01-12T00:00:00"/>
    <s v="Customer 025"/>
    <x v="10"/>
    <s v="Office Supplies"/>
    <s v="East"/>
    <n v="3"/>
    <n v="0.05"/>
    <n v="71.25"/>
    <n v="24.52"/>
  </r>
  <r>
    <s v="ORD-00915"/>
    <d v="2025-05-22T00:00:00"/>
    <s v="Customer 035"/>
    <x v="8"/>
    <s v="Office Supplies"/>
    <s v="South"/>
    <n v="3"/>
    <n v="0.15"/>
    <n v="612"/>
    <n v="139.86000000000001"/>
  </r>
  <r>
    <s v="ORD-00916"/>
    <d v="2025-03-22T00:00:00"/>
    <s v="Customer 072"/>
    <x v="4"/>
    <s v="Technology"/>
    <s v="North"/>
    <n v="1"/>
    <n v="0"/>
    <n v="850"/>
    <n v="113.7"/>
  </r>
  <r>
    <s v="ORD-00917"/>
    <d v="2025-04-16T00:00:00"/>
    <s v="Customer 019"/>
    <x v="8"/>
    <s v="Office Supplies"/>
    <s v="East"/>
    <n v="3"/>
    <n v="0.2"/>
    <n v="576"/>
    <n v="198.66"/>
  </r>
  <r>
    <s v="ORD-00918"/>
    <d v="2025-10-21T00:00:00"/>
    <s v="Customer 044"/>
    <x v="2"/>
    <s v="Furniture"/>
    <s v="West"/>
    <n v="2"/>
    <n v="0"/>
    <n v="110"/>
    <n v="38.200000000000003"/>
  </r>
  <r>
    <s v="ORD-00919"/>
    <d v="2025-01-26T00:00:00"/>
    <s v="Customer 007"/>
    <x v="3"/>
    <s v="Furniture"/>
    <s v="North"/>
    <n v="1"/>
    <n v="0.15"/>
    <n v="238"/>
    <n v="36.159999999999997"/>
  </r>
  <r>
    <s v="ORD-00920"/>
    <d v="2025-07-16T00:00:00"/>
    <s v="Customer 091"/>
    <x v="9"/>
    <s v="Technology"/>
    <s v="West"/>
    <n v="1"/>
    <n v="0.15"/>
    <n v="1020"/>
    <n v="327.08"/>
  </r>
  <r>
    <s v="ORD-00921"/>
    <d v="2025-11-12T00:00:00"/>
    <s v="Customer 092"/>
    <x v="7"/>
    <s v="Technology"/>
    <s v="North"/>
    <n v="3"/>
    <n v="0.1"/>
    <n v="189"/>
    <n v="34.07"/>
  </r>
  <r>
    <s v="ORD-00922"/>
    <d v="2025-08-27T00:00:00"/>
    <s v="Customer 090"/>
    <x v="10"/>
    <s v="Office Supplies"/>
    <s v="West"/>
    <n v="2"/>
    <n v="0"/>
    <n v="50"/>
    <n v="9.09"/>
  </r>
  <r>
    <s v="ORD-00923"/>
    <d v="2025-02-19T00:00:00"/>
    <s v="Customer 029"/>
    <x v="6"/>
    <s v="Office Supplies"/>
    <s v="South"/>
    <n v="3"/>
    <n v="0.15"/>
    <n v="45.9"/>
    <n v="13.53"/>
  </r>
  <r>
    <s v="ORD-00924"/>
    <d v="2025-11-12T00:00:00"/>
    <s v="Customer 086"/>
    <x v="4"/>
    <s v="Technology"/>
    <s v="East"/>
    <n v="3"/>
    <n v="0.15"/>
    <n v="2167.5"/>
    <n v="844.23"/>
  </r>
  <r>
    <s v="ORD-00925"/>
    <d v="2025-06-16T00:00:00"/>
    <s v="Customer 015"/>
    <x v="6"/>
    <s v="Office Supplies"/>
    <s v="East"/>
    <n v="4"/>
    <n v="0"/>
    <n v="72"/>
    <n v="30.85"/>
  </r>
  <r>
    <s v="ORD-00926"/>
    <d v="2025-09-03T00:00:00"/>
    <s v="Customer 078"/>
    <x v="6"/>
    <s v="Office Supplies"/>
    <s v="South"/>
    <n v="2"/>
    <n v="0.1"/>
    <n v="32.4"/>
    <n v="6.37"/>
  </r>
  <r>
    <s v="ORD-00927"/>
    <d v="2025-09-18T00:00:00"/>
    <s v="Customer 084"/>
    <x v="0"/>
    <s v="Technology"/>
    <s v="North"/>
    <n v="4"/>
    <n v="0"/>
    <n v="140"/>
    <n v="47.94"/>
  </r>
  <r>
    <s v="ORD-00928"/>
    <d v="2025-06-04T00:00:00"/>
    <s v="Customer 031"/>
    <x v="8"/>
    <s v="Office Supplies"/>
    <s v="South"/>
    <n v="4"/>
    <n v="0.15"/>
    <n v="816"/>
    <n v="208.18"/>
  </r>
  <r>
    <s v="ORD-00929"/>
    <d v="2025-10-08T00:00:00"/>
    <s v="Customer 027"/>
    <x v="3"/>
    <s v="Furniture"/>
    <s v="West"/>
    <n v="4"/>
    <n v="0.15"/>
    <n v="952"/>
    <n v="407.65"/>
  </r>
  <r>
    <s v="ORD-00930"/>
    <d v="2025-08-11T00:00:00"/>
    <s v="Customer 023"/>
    <x v="10"/>
    <s v="Office Supplies"/>
    <s v="North"/>
    <n v="3"/>
    <n v="0.2"/>
    <n v="60"/>
    <n v="13.26"/>
  </r>
  <r>
    <s v="ORD-00931"/>
    <d v="2025-12-31T00:00:00"/>
    <s v="Customer 060"/>
    <x v="10"/>
    <s v="Office Supplies"/>
    <s v="East"/>
    <n v="4"/>
    <n v="0"/>
    <n v="100"/>
    <n v="25.46"/>
  </r>
  <r>
    <s v="ORD-00932"/>
    <d v="2025-10-12T00:00:00"/>
    <s v="Customer 052"/>
    <x v="0"/>
    <s v="Technology"/>
    <s v="North"/>
    <n v="4"/>
    <n v="0.05"/>
    <n v="133"/>
    <n v="46.33"/>
  </r>
  <r>
    <s v="ORD-00933"/>
    <d v="2025-11-03T00:00:00"/>
    <s v="Customer 083"/>
    <x v="0"/>
    <s v="Technology"/>
    <s v="North"/>
    <n v="5"/>
    <n v="0.15"/>
    <n v="148.75"/>
    <n v="50.87"/>
  </r>
  <r>
    <s v="ORD-00934"/>
    <d v="2025-02-16T00:00:00"/>
    <s v="Customer 082"/>
    <x v="2"/>
    <s v="Furniture"/>
    <s v="North"/>
    <n v="2"/>
    <n v="0.2"/>
    <n v="88"/>
    <n v="13.37"/>
  </r>
  <r>
    <s v="ORD-00935"/>
    <d v="2025-03-17T00:00:00"/>
    <s v="Customer 050"/>
    <x v="5"/>
    <s v="Technology"/>
    <s v="West"/>
    <n v="2"/>
    <n v="0.15"/>
    <n v="544"/>
    <n v="149.43"/>
  </r>
  <r>
    <s v="ORD-00936"/>
    <d v="2025-04-11T00:00:00"/>
    <s v="Customer 087"/>
    <x v="2"/>
    <s v="Furniture"/>
    <s v="East"/>
    <n v="3"/>
    <n v="0.1"/>
    <n v="148.5"/>
    <n v="38.880000000000003"/>
  </r>
  <r>
    <s v="ORD-00937"/>
    <d v="2025-08-11T00:00:00"/>
    <s v="Customer 079"/>
    <x v="1"/>
    <s v="Furniture"/>
    <s v="West"/>
    <n v="3"/>
    <n v="0"/>
    <n v="630"/>
    <n v="162.35"/>
  </r>
  <r>
    <s v="ORD-00938"/>
    <d v="2025-03-07T00:00:00"/>
    <s v="Customer 007"/>
    <x v="4"/>
    <s v="Technology"/>
    <s v="North"/>
    <n v="1"/>
    <n v="0.1"/>
    <n v="765"/>
    <n v="116.77"/>
  </r>
  <r>
    <s v="ORD-00939"/>
    <d v="2025-12-27T00:00:00"/>
    <s v="Customer 004"/>
    <x v="8"/>
    <s v="Office Supplies"/>
    <s v="South"/>
    <n v="3"/>
    <n v="0"/>
    <n v="720"/>
    <n v="119.37"/>
  </r>
  <r>
    <s v="ORD-00940"/>
    <d v="2025-08-10T00:00:00"/>
    <s v="Customer 092"/>
    <x v="1"/>
    <s v="Furniture"/>
    <s v="West"/>
    <n v="5"/>
    <n v="0.15"/>
    <n v="892.5"/>
    <n v="217.48"/>
  </r>
  <r>
    <s v="ORD-00941"/>
    <d v="2025-07-27T00:00:00"/>
    <s v="Customer 023"/>
    <x v="11"/>
    <s v="Furniture"/>
    <s v="West"/>
    <n v="4"/>
    <n v="0.2"/>
    <n v="608"/>
    <n v="231.22"/>
  </r>
  <r>
    <s v="ORD-00942"/>
    <d v="2025-03-13T00:00:00"/>
    <s v="Customer 047"/>
    <x v="2"/>
    <s v="Furniture"/>
    <s v="West"/>
    <n v="5"/>
    <n v="0.15"/>
    <n v="233.75"/>
    <n v="40.14"/>
  </r>
  <r>
    <s v="ORD-00943"/>
    <d v="2025-03-20T00:00:00"/>
    <s v="Customer 083"/>
    <x v="4"/>
    <s v="Technology"/>
    <s v="North"/>
    <n v="2"/>
    <n v="0.05"/>
    <n v="1615"/>
    <n v="720.57"/>
  </r>
  <r>
    <s v="ORD-00944"/>
    <d v="2025-03-15T00:00:00"/>
    <s v="Customer 018"/>
    <x v="1"/>
    <s v="Furniture"/>
    <s v="North"/>
    <n v="4"/>
    <n v="0.15"/>
    <n v="714"/>
    <n v="91.58"/>
  </r>
  <r>
    <s v="ORD-00945"/>
    <d v="2025-03-12T00:00:00"/>
    <s v="Customer 090"/>
    <x v="5"/>
    <s v="Technology"/>
    <s v="West"/>
    <n v="4"/>
    <n v="0.15"/>
    <n v="1088"/>
    <n v="168.77"/>
  </r>
  <r>
    <s v="ORD-00946"/>
    <d v="2025-11-16T00:00:00"/>
    <s v="Customer 058"/>
    <x v="3"/>
    <s v="Furniture"/>
    <s v="West"/>
    <n v="4"/>
    <n v="0.2"/>
    <n v="896"/>
    <n v="277.79000000000002"/>
  </r>
  <r>
    <s v="ORD-00947"/>
    <d v="2025-07-01T00:00:00"/>
    <s v="Customer 074"/>
    <x v="2"/>
    <s v="Furniture"/>
    <s v="West"/>
    <n v="2"/>
    <n v="0.15"/>
    <n v="93.5"/>
    <n v="23.42"/>
  </r>
  <r>
    <s v="ORD-00948"/>
    <d v="2025-05-02T00:00:00"/>
    <s v="Customer 070"/>
    <x v="1"/>
    <s v="Furniture"/>
    <s v="East"/>
    <n v="5"/>
    <n v="0.1"/>
    <n v="945"/>
    <n v="297.13"/>
  </r>
  <r>
    <s v="ORD-00949"/>
    <d v="2025-01-18T00:00:00"/>
    <s v="Customer 015"/>
    <x v="9"/>
    <s v="Technology"/>
    <s v="West"/>
    <n v="5"/>
    <n v="0.15"/>
    <n v="5100"/>
    <n v="1108.68"/>
  </r>
  <r>
    <s v="ORD-00950"/>
    <d v="2025-12-20T00:00:00"/>
    <s v="Customer 097"/>
    <x v="0"/>
    <s v="Technology"/>
    <s v="East"/>
    <n v="2"/>
    <n v="0.2"/>
    <n v="56"/>
    <n v="7.02"/>
  </r>
  <r>
    <s v="ORD-00951"/>
    <d v="2025-08-27T00:00:00"/>
    <s v="Customer 012"/>
    <x v="8"/>
    <s v="Office Supplies"/>
    <s v="South"/>
    <n v="1"/>
    <n v="0.2"/>
    <n v="192"/>
    <n v="30.01"/>
  </r>
  <r>
    <s v="ORD-00952"/>
    <d v="2025-08-30T00:00:00"/>
    <s v="Customer 040"/>
    <x v="5"/>
    <s v="Technology"/>
    <s v="North"/>
    <n v="1"/>
    <n v="0.2"/>
    <n v="256"/>
    <n v="47.78"/>
  </r>
  <r>
    <s v="ORD-00953"/>
    <d v="2025-06-25T00:00:00"/>
    <s v="Customer 061"/>
    <x v="8"/>
    <s v="Office Supplies"/>
    <s v="East"/>
    <n v="1"/>
    <n v="0.15"/>
    <n v="204"/>
    <n v="61.23"/>
  </r>
  <r>
    <s v="ORD-00954"/>
    <d v="2025-08-04T00:00:00"/>
    <s v="Customer 089"/>
    <x v="7"/>
    <s v="Technology"/>
    <s v="East"/>
    <n v="3"/>
    <n v="0.1"/>
    <n v="189"/>
    <n v="74.599999999999994"/>
  </r>
  <r>
    <s v="ORD-00955"/>
    <d v="2025-10-16T00:00:00"/>
    <s v="Customer 074"/>
    <x v="4"/>
    <s v="Technology"/>
    <s v="North"/>
    <n v="1"/>
    <n v="0.15"/>
    <n v="722.5"/>
    <n v="187.28"/>
  </r>
  <r>
    <s v="ORD-00956"/>
    <d v="2025-12-03T00:00:00"/>
    <s v="Customer 011"/>
    <x v="4"/>
    <s v="Technology"/>
    <s v="South"/>
    <n v="5"/>
    <n v="0"/>
    <n v="4250"/>
    <n v="1510.24"/>
  </r>
  <r>
    <s v="ORD-00957"/>
    <d v="2025-09-16T00:00:00"/>
    <s v="Customer 036"/>
    <x v="0"/>
    <s v="Technology"/>
    <s v="East"/>
    <n v="3"/>
    <n v="0.1"/>
    <n v="94.5"/>
    <n v="38.39"/>
  </r>
  <r>
    <s v="ORD-00958"/>
    <d v="2025-05-12T00:00:00"/>
    <s v="Customer 076"/>
    <x v="9"/>
    <s v="Technology"/>
    <s v="South"/>
    <n v="1"/>
    <n v="0.2"/>
    <n v="960"/>
    <n v="376.68"/>
  </r>
  <r>
    <s v="ORD-00959"/>
    <d v="2025-12-04T00:00:00"/>
    <s v="Customer 090"/>
    <x v="6"/>
    <s v="Office Supplies"/>
    <s v="South"/>
    <n v="3"/>
    <n v="0.05"/>
    <n v="51.3"/>
    <n v="18.66"/>
  </r>
  <r>
    <s v="ORD-00960"/>
    <d v="2025-09-06T00:00:00"/>
    <s v="Customer 011"/>
    <x v="3"/>
    <s v="Furniture"/>
    <s v="South"/>
    <n v="5"/>
    <n v="0"/>
    <n v="1400"/>
    <n v="471.6"/>
  </r>
  <r>
    <s v="ORD-00961"/>
    <d v="2025-11-01T00:00:00"/>
    <s v="Customer 031"/>
    <x v="3"/>
    <s v="Furniture"/>
    <s v="West"/>
    <n v="4"/>
    <n v="0.15"/>
    <n v="952"/>
    <n v="186.38"/>
  </r>
  <r>
    <s v="ORD-00962"/>
    <d v="2025-11-23T00:00:00"/>
    <s v="Customer 045"/>
    <x v="3"/>
    <s v="Furniture"/>
    <s v="North"/>
    <n v="2"/>
    <n v="0.2"/>
    <n v="448"/>
    <n v="93.03"/>
  </r>
  <r>
    <s v="ORD-00963"/>
    <d v="2025-11-25T00:00:00"/>
    <s v="Customer 052"/>
    <x v="4"/>
    <s v="Technology"/>
    <s v="West"/>
    <n v="1"/>
    <n v="0"/>
    <n v="850"/>
    <n v="335.49"/>
  </r>
  <r>
    <s v="ORD-00964"/>
    <d v="2025-06-04T00:00:00"/>
    <s v="Customer 091"/>
    <x v="6"/>
    <s v="Office Supplies"/>
    <s v="West"/>
    <n v="5"/>
    <n v="0.05"/>
    <n v="85.5"/>
    <n v="27.76"/>
  </r>
  <r>
    <s v="ORD-00965"/>
    <d v="2025-08-31T00:00:00"/>
    <s v="Customer 002"/>
    <x v="4"/>
    <s v="Technology"/>
    <s v="East"/>
    <n v="2"/>
    <n v="0.2"/>
    <n v="1360"/>
    <n v="221.42"/>
  </r>
  <r>
    <s v="ORD-00966"/>
    <d v="2025-08-18T00:00:00"/>
    <s v="Customer 006"/>
    <x v="11"/>
    <s v="Furniture"/>
    <s v="North"/>
    <n v="3"/>
    <n v="0.2"/>
    <n v="456"/>
    <n v="102.44"/>
  </r>
  <r>
    <s v="ORD-00967"/>
    <d v="2025-09-30T00:00:00"/>
    <s v="Customer 084"/>
    <x v="5"/>
    <s v="Technology"/>
    <s v="East"/>
    <n v="3"/>
    <n v="0.15"/>
    <n v="816"/>
    <n v="202.81"/>
  </r>
  <r>
    <s v="ORD-00968"/>
    <d v="2025-06-21T00:00:00"/>
    <s v="Customer 075"/>
    <x v="4"/>
    <s v="Technology"/>
    <s v="West"/>
    <n v="3"/>
    <n v="0"/>
    <n v="2550"/>
    <n v="932.63"/>
  </r>
  <r>
    <s v="ORD-00969"/>
    <d v="2025-08-25T00:00:00"/>
    <s v="Customer 067"/>
    <x v="5"/>
    <s v="Technology"/>
    <s v="East"/>
    <n v="2"/>
    <n v="0.2"/>
    <n v="512"/>
    <n v="100.22"/>
  </r>
  <r>
    <s v="ORD-00970"/>
    <d v="2025-12-13T00:00:00"/>
    <s v="Customer 087"/>
    <x v="1"/>
    <s v="Furniture"/>
    <s v="North"/>
    <n v="2"/>
    <n v="0.1"/>
    <n v="378"/>
    <n v="101.79"/>
  </r>
  <r>
    <s v="ORD-00971"/>
    <d v="2025-02-04T00:00:00"/>
    <s v="Customer 088"/>
    <x v="9"/>
    <s v="Technology"/>
    <s v="West"/>
    <n v="4"/>
    <n v="0"/>
    <n v="4800"/>
    <n v="1327.98"/>
  </r>
  <r>
    <s v="ORD-00972"/>
    <d v="2025-06-29T00:00:00"/>
    <s v="Customer 004"/>
    <x v="2"/>
    <s v="Furniture"/>
    <s v="North"/>
    <n v="3"/>
    <n v="0.1"/>
    <n v="148.5"/>
    <n v="57.36"/>
  </r>
  <r>
    <s v="ORD-00973"/>
    <d v="2025-01-30T00:00:00"/>
    <s v="Customer 091"/>
    <x v="10"/>
    <s v="Office Supplies"/>
    <s v="North"/>
    <n v="2"/>
    <n v="0.2"/>
    <n v="40"/>
    <n v="9.58"/>
  </r>
  <r>
    <s v="ORD-00974"/>
    <d v="2025-02-14T00:00:00"/>
    <s v="Customer 083"/>
    <x v="10"/>
    <s v="Office Supplies"/>
    <s v="South"/>
    <n v="2"/>
    <n v="0.15"/>
    <n v="42.5"/>
    <n v="9.92"/>
  </r>
  <r>
    <s v="ORD-00975"/>
    <d v="2025-02-26T00:00:00"/>
    <s v="Customer 085"/>
    <x v="1"/>
    <s v="Furniture"/>
    <s v="North"/>
    <n v="2"/>
    <n v="0.1"/>
    <n v="378"/>
    <n v="133.36000000000001"/>
  </r>
  <r>
    <s v="ORD-00976"/>
    <d v="2025-11-24T00:00:00"/>
    <s v="Customer 086"/>
    <x v="6"/>
    <s v="Office Supplies"/>
    <s v="East"/>
    <n v="3"/>
    <n v="0.15"/>
    <n v="45.9"/>
    <n v="10.17"/>
  </r>
  <r>
    <s v="ORD-00977"/>
    <d v="2025-05-12T00:00:00"/>
    <s v="Customer 049"/>
    <x v="3"/>
    <s v="Furniture"/>
    <s v="West"/>
    <n v="1"/>
    <n v="0.1"/>
    <n v="252"/>
    <n v="48.78"/>
  </r>
  <r>
    <s v="ORD-00978"/>
    <d v="2025-06-20T00:00:00"/>
    <s v="Customer 009"/>
    <x v="9"/>
    <s v="Technology"/>
    <s v="West"/>
    <n v="3"/>
    <n v="0.1"/>
    <n v="3240"/>
    <n v="1267.76"/>
  </r>
  <r>
    <s v="ORD-00979"/>
    <d v="2025-04-13T00:00:00"/>
    <s v="Customer 014"/>
    <x v="10"/>
    <s v="Office Supplies"/>
    <s v="South"/>
    <n v="4"/>
    <n v="0.05"/>
    <n v="95"/>
    <n v="22.51"/>
  </r>
  <r>
    <s v="ORD-00980"/>
    <d v="2025-10-04T00:00:00"/>
    <s v="Customer 057"/>
    <x v="11"/>
    <s v="Furniture"/>
    <s v="East"/>
    <n v="2"/>
    <n v="0.2"/>
    <n v="304"/>
    <n v="72.260000000000005"/>
  </r>
  <r>
    <s v="ORD-00981"/>
    <d v="2025-02-22T00:00:00"/>
    <s v="Customer 033"/>
    <x v="9"/>
    <s v="Technology"/>
    <s v="West"/>
    <n v="1"/>
    <n v="0"/>
    <n v="1200"/>
    <n v="313.75"/>
  </r>
  <r>
    <s v="ORD-00982"/>
    <d v="2025-01-10T00:00:00"/>
    <s v="Customer 086"/>
    <x v="6"/>
    <s v="Office Supplies"/>
    <s v="West"/>
    <n v="2"/>
    <n v="0"/>
    <n v="36"/>
    <n v="5.12"/>
  </r>
  <r>
    <s v="ORD-00983"/>
    <d v="2025-05-17T00:00:00"/>
    <s v="Customer 066"/>
    <x v="3"/>
    <s v="Furniture"/>
    <s v="West"/>
    <n v="3"/>
    <n v="0.15"/>
    <n v="714"/>
    <n v="185.9"/>
  </r>
  <r>
    <s v="ORD-00984"/>
    <d v="2025-09-02T00:00:00"/>
    <s v="Customer 001"/>
    <x v="11"/>
    <s v="Furniture"/>
    <s v="West"/>
    <n v="4"/>
    <n v="0"/>
    <n v="760"/>
    <n v="206.54"/>
  </r>
  <r>
    <s v="ORD-00985"/>
    <d v="2025-12-19T00:00:00"/>
    <s v="Customer 046"/>
    <x v="6"/>
    <s v="Office Supplies"/>
    <s v="East"/>
    <n v="1"/>
    <n v="0.2"/>
    <n v="14.4"/>
    <n v="3.94"/>
  </r>
  <r>
    <s v="ORD-00986"/>
    <d v="2025-12-16T00:00:00"/>
    <s v="Customer 083"/>
    <x v="4"/>
    <s v="Technology"/>
    <s v="North"/>
    <n v="4"/>
    <n v="0"/>
    <n v="3400"/>
    <n v="820.59"/>
  </r>
  <r>
    <s v="ORD-00987"/>
    <d v="2025-07-07T00:00:00"/>
    <s v="Customer 098"/>
    <x v="8"/>
    <s v="Office Supplies"/>
    <s v="East"/>
    <n v="3"/>
    <n v="0"/>
    <n v="720"/>
    <n v="124.14"/>
  </r>
  <r>
    <s v="ORD-00988"/>
    <d v="2025-11-28T00:00:00"/>
    <s v="Customer 050"/>
    <x v="2"/>
    <s v="Furniture"/>
    <s v="South"/>
    <n v="2"/>
    <n v="0.2"/>
    <n v="88"/>
    <n v="38.46"/>
  </r>
  <r>
    <s v="ORD-00989"/>
    <d v="2025-06-03T00:00:00"/>
    <s v="Customer 046"/>
    <x v="1"/>
    <s v="Furniture"/>
    <s v="West"/>
    <n v="4"/>
    <n v="0"/>
    <n v="840"/>
    <n v="203.19"/>
  </r>
  <r>
    <s v="ORD-00990"/>
    <d v="2025-02-13T00:00:00"/>
    <s v="Customer 025"/>
    <x v="5"/>
    <s v="Technology"/>
    <s v="North"/>
    <n v="4"/>
    <n v="0.05"/>
    <n v="1216"/>
    <n v="491.04"/>
  </r>
  <r>
    <s v="ORD-00991"/>
    <d v="2025-10-31T00:00:00"/>
    <s v="Customer 070"/>
    <x v="2"/>
    <s v="Furniture"/>
    <s v="East"/>
    <n v="4"/>
    <n v="0.15"/>
    <n v="187"/>
    <n v="80.260000000000005"/>
  </r>
  <r>
    <s v="ORD-00992"/>
    <d v="2025-09-13T00:00:00"/>
    <s v="Customer 008"/>
    <x v="8"/>
    <s v="Office Supplies"/>
    <s v="East"/>
    <n v="4"/>
    <n v="0"/>
    <n v="960"/>
    <n v="420.26"/>
  </r>
  <r>
    <s v="ORD-00993"/>
    <d v="2025-01-22T00:00:00"/>
    <s v="Customer 086"/>
    <x v="11"/>
    <s v="Furniture"/>
    <s v="West"/>
    <n v="1"/>
    <n v="0.05"/>
    <n v="180.5"/>
    <n v="33.15"/>
  </r>
  <r>
    <s v="ORD-00994"/>
    <d v="2025-12-14T00:00:00"/>
    <s v="Customer 010"/>
    <x v="8"/>
    <s v="Office Supplies"/>
    <s v="North"/>
    <n v="2"/>
    <n v="0.2"/>
    <n v="384"/>
    <n v="143.28"/>
  </r>
  <r>
    <s v="ORD-00995"/>
    <d v="2025-03-14T00:00:00"/>
    <s v="Customer 080"/>
    <x v="6"/>
    <s v="Office Supplies"/>
    <s v="North"/>
    <n v="1"/>
    <n v="0.15"/>
    <n v="15.3"/>
    <n v="2.2999999999999998"/>
  </r>
  <r>
    <s v="ORD-00996"/>
    <d v="2025-05-05T00:00:00"/>
    <s v="Customer 007"/>
    <x v="1"/>
    <s v="Furniture"/>
    <s v="East"/>
    <n v="2"/>
    <n v="0"/>
    <n v="420"/>
    <n v="165.13"/>
  </r>
  <r>
    <s v="ORD-00997"/>
    <d v="2025-02-19T00:00:00"/>
    <s v="Customer 009"/>
    <x v="6"/>
    <s v="Office Supplies"/>
    <s v="North"/>
    <n v="5"/>
    <n v="0.05"/>
    <n v="85.5"/>
    <n v="14.91"/>
  </r>
  <r>
    <s v="ORD-00998"/>
    <d v="2025-02-28T00:00:00"/>
    <s v="Customer 026"/>
    <x v="6"/>
    <s v="Office Supplies"/>
    <s v="West"/>
    <n v="5"/>
    <n v="0.2"/>
    <n v="72"/>
    <n v="27.16"/>
  </r>
  <r>
    <s v="ORD-00999"/>
    <d v="2025-06-22T00:00:00"/>
    <s v="Customer 088"/>
    <x v="1"/>
    <s v="Furniture"/>
    <s v="South"/>
    <n v="4"/>
    <n v="0.1"/>
    <n v="756"/>
    <n v="310.06"/>
  </r>
  <r>
    <s v="ORD-01000"/>
    <d v="2025-06-14T00:00:00"/>
    <s v="Customer 009"/>
    <x v="2"/>
    <s v="Furniture"/>
    <s v="North"/>
    <n v="1"/>
    <n v="0.2"/>
    <n v="44"/>
    <n v="17.28"/>
  </r>
  <r>
    <m/>
    <m/>
    <m/>
    <x v="12"/>
    <m/>
    <m/>
    <m/>
    <m/>
    <m/>
    <m/>
  </r>
  <r>
    <m/>
    <m/>
    <m/>
    <x v="12"/>
    <m/>
    <m/>
    <m/>
    <m/>
    <m/>
    <m/>
  </r>
  <r>
    <m/>
    <m/>
    <m/>
    <x v="12"/>
    <m/>
    <m/>
    <m/>
    <m/>
    <m/>
    <m/>
  </r>
  <r>
    <m/>
    <m/>
    <m/>
    <x v="12"/>
    <m/>
    <m/>
    <m/>
    <m/>
    <m/>
    <m/>
  </r>
  <r>
    <m/>
    <m/>
    <m/>
    <x v="12"/>
    <m/>
    <m/>
    <m/>
    <m/>
    <m/>
    <m/>
  </r>
  <r>
    <m/>
    <m/>
    <m/>
    <x v="12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s v="ORD-00001"/>
    <d v="2025-11-24T00:00:00"/>
    <s v="Customer 018"/>
    <s v="Wireless Mouse"/>
    <s v="Technology"/>
    <s v="North"/>
    <n v="1"/>
    <n v="0.1"/>
    <n v="31.5"/>
    <n v="11.63"/>
    <s v="Technology"/>
    <s v="Nov-2025"/>
    <x v="0"/>
  </r>
  <r>
    <s v="ORD-00002"/>
    <d v="2025-12-13T00:00:00"/>
    <s v="Customer 005"/>
    <s v="Coffee Table"/>
    <s v="Furniture"/>
    <s v="North"/>
    <n v="5"/>
    <n v="0"/>
    <n v="1050"/>
    <n v="267.89"/>
    <s v="Furniture"/>
    <s v="Dec-2025"/>
    <x v="1"/>
  </r>
  <r>
    <s v="ORD-00003"/>
    <d v="2025-02-17T00:00:00"/>
    <s v="Customer 072"/>
    <s v="Desk Lamp"/>
    <s v="Furniture"/>
    <s v="South"/>
    <n v="2"/>
    <n v="0.2"/>
    <n v="88"/>
    <n v="22.12"/>
    <s v="Furniture"/>
    <s v="Feb-2025"/>
    <x v="2"/>
  </r>
  <r>
    <s v="ORD-00004"/>
    <d v="2025-11-29T00:00:00"/>
    <s v="Customer 076"/>
    <s v="Coffee Table"/>
    <s v="Furniture"/>
    <s v="East"/>
    <n v="5"/>
    <n v="0.15"/>
    <n v="892.5"/>
    <n v="336.7"/>
    <s v="Furniture"/>
    <s v="Nov-2025"/>
    <x v="0"/>
  </r>
  <r>
    <s v="ORD-00005"/>
    <d v="2025-01-04T00:00:00"/>
    <s v="Customer 028"/>
    <s v="Office Chair"/>
    <s v="Furniture"/>
    <s v="East"/>
    <n v="4"/>
    <n v="0.1"/>
    <n v="1008"/>
    <n v="361.17"/>
    <s v="Furniture"/>
    <s v="Jan-2025"/>
    <x v="3"/>
  </r>
  <r>
    <s v="ORD-00006"/>
    <d v="2025-02-22T00:00:00"/>
    <s v="Customer 045"/>
    <s v="Wireless Mouse"/>
    <s v="Technology"/>
    <s v="East"/>
    <n v="4"/>
    <n v="0"/>
    <n v="140"/>
    <n v="46.42"/>
    <s v="Technology"/>
    <s v="Feb-2025"/>
    <x v="2"/>
  </r>
  <r>
    <s v="ORD-00007"/>
    <d v="2025-01-23T00:00:00"/>
    <s v="Customer 049"/>
    <s v="Coffee Table"/>
    <s v="Furniture"/>
    <s v="North"/>
    <n v="4"/>
    <n v="0.2"/>
    <n v="672"/>
    <n v="274.72000000000003"/>
    <s v="Furniture"/>
    <s v="Jan-2025"/>
    <x v="3"/>
  </r>
  <r>
    <s v="ORD-00008"/>
    <d v="2025-10-10T00:00:00"/>
    <s v="Customer 091"/>
    <s v="Smartphone X"/>
    <s v="Technology"/>
    <s v="North"/>
    <n v="5"/>
    <n v="0.1"/>
    <n v="3825"/>
    <n v="992.49"/>
    <s v="Technology"/>
    <s v="Oct-2025"/>
    <x v="4"/>
  </r>
  <r>
    <s v="ORD-00009"/>
    <d v="2025-01-24T00:00:00"/>
    <s v="Customer 030"/>
    <s v="Monitor 24"/>
    <s v="Technology"/>
    <s v="North"/>
    <n v="2"/>
    <n v="0.1"/>
    <n v="576"/>
    <n v="71.930000000000007"/>
    <s v="Technology"/>
    <s v="Jan-2025"/>
    <x v="3"/>
  </r>
  <r>
    <s v="ORD-00010"/>
    <d v="2025-07-14T00:00:00"/>
    <s v="Customer 046"/>
    <s v="Smartphone X"/>
    <s v="Technology"/>
    <s v="South"/>
    <n v="4"/>
    <n v="0.1"/>
    <n v="3060"/>
    <n v="1212.75"/>
    <s v="Technology"/>
    <s v="Jul-2025"/>
    <x v="5"/>
  </r>
  <r>
    <s v="ORD-00011"/>
    <d v="2025-12-10T00:00:00"/>
    <s v="Customer 069"/>
    <s v="Smartphone X"/>
    <s v="Technology"/>
    <s v="South"/>
    <n v="1"/>
    <n v="0.2"/>
    <n v="680"/>
    <n v="163.51"/>
    <s v="Technology"/>
    <s v="Dec-2025"/>
    <x v="1"/>
  </r>
  <r>
    <s v="ORD-00012"/>
    <d v="2025-03-25T00:00:00"/>
    <s v="Customer 082"/>
    <s v="Notebook Pack"/>
    <s v="Office Supplies"/>
    <s v="South"/>
    <n v="4"/>
    <n v="0.1"/>
    <n v="64.8"/>
    <n v="8"/>
    <s v="Office Supplies"/>
    <s v="Mar-2025"/>
    <x v="6"/>
  </r>
  <r>
    <s v="ORD-00013"/>
    <d v="2025-12-17T00:00:00"/>
    <s v="Customer 041"/>
    <s v="Keyboard"/>
    <s v="Technology"/>
    <s v="West"/>
    <n v="1"/>
    <n v="0.05"/>
    <n v="66.5"/>
    <n v="11.89"/>
    <s v="Technology"/>
    <s v="Dec-2025"/>
    <x v="1"/>
  </r>
  <r>
    <s v="ORD-00014"/>
    <d v="2025-05-18T00:00:00"/>
    <s v="Customer 041"/>
    <s v="Wireless Mouse"/>
    <s v="Technology"/>
    <s v="South"/>
    <n v="2"/>
    <n v="0.2"/>
    <n v="56"/>
    <n v="9"/>
    <s v="Technology"/>
    <s v="May-2025"/>
    <x v="7"/>
  </r>
  <r>
    <s v="ORD-00015"/>
    <d v="2025-12-02T00:00:00"/>
    <s v="Customer 018"/>
    <s v="Notebook Pack"/>
    <s v="Office Supplies"/>
    <s v="South"/>
    <n v="4"/>
    <n v="0.15"/>
    <n v="61.2"/>
    <n v="24.65"/>
    <s v="Office Supplies"/>
    <s v="Dec-2025"/>
    <x v="1"/>
  </r>
  <r>
    <s v="ORD-00016"/>
    <d v="2025-10-15T00:00:00"/>
    <s v="Customer 075"/>
    <s v="Printer"/>
    <s v="Office Supplies"/>
    <s v="West"/>
    <n v="3"/>
    <n v="0.2"/>
    <n v="576"/>
    <n v="177.76"/>
    <s v="Office Supplies"/>
    <s v="Oct-2025"/>
    <x v="4"/>
  </r>
  <r>
    <s v="ORD-00017"/>
    <d v="2025-07-05T00:00:00"/>
    <s v="Customer 097"/>
    <s v="Desk Lamp"/>
    <s v="Furniture"/>
    <s v="North"/>
    <n v="2"/>
    <n v="0.2"/>
    <n v="88"/>
    <n v="25.27"/>
    <s v="Furniture"/>
    <s v="Jul-2025"/>
    <x v="5"/>
  </r>
  <r>
    <s v="ORD-00018"/>
    <d v="2025-02-26T00:00:00"/>
    <s v="Customer 050"/>
    <s v="Office Chair"/>
    <s v="Furniture"/>
    <s v="South"/>
    <n v="2"/>
    <n v="0.15"/>
    <n v="476"/>
    <n v="120.52"/>
    <s v="Furniture"/>
    <s v="Feb-2025"/>
    <x v="2"/>
  </r>
  <r>
    <s v="ORD-00019"/>
    <d v="2025-11-02T00:00:00"/>
    <s v="Customer 002"/>
    <s v="Notebook Pack"/>
    <s v="Office Supplies"/>
    <s v="North"/>
    <n v="5"/>
    <n v="0.1"/>
    <n v="81"/>
    <n v="10.49"/>
    <s v="Office Supplies"/>
    <s v="Nov-2025"/>
    <x v="0"/>
  </r>
  <r>
    <s v="ORD-00020"/>
    <d v="2025-12-16T00:00:00"/>
    <s v="Customer 056"/>
    <s v="Printer"/>
    <s v="Office Supplies"/>
    <s v="South"/>
    <n v="3"/>
    <n v="0.1"/>
    <n v="648"/>
    <n v="267.75"/>
    <s v="Office Supplies"/>
    <s v="Dec-2025"/>
    <x v="1"/>
  </r>
  <r>
    <s v="ORD-00021"/>
    <d v="2025-08-21T00:00:00"/>
    <s v="Customer 065"/>
    <s v="Laptop Pro 15"/>
    <s v="Technology"/>
    <s v="North"/>
    <n v="3"/>
    <n v="0.2"/>
    <n v="2880"/>
    <n v="571.83000000000004"/>
    <s v="Technology"/>
    <s v="Aug-2025"/>
    <x v="8"/>
  </r>
  <r>
    <s v="ORD-00022"/>
    <d v="2025-11-17T00:00:00"/>
    <s v="Customer 048"/>
    <s v="Smartphone X"/>
    <s v="Technology"/>
    <s v="South"/>
    <n v="5"/>
    <n v="0.2"/>
    <n v="3400"/>
    <n v="1306.82"/>
    <s v="Technology"/>
    <s v="Nov-2025"/>
    <x v="0"/>
  </r>
  <r>
    <s v="ORD-00023"/>
    <d v="2025-10-04T00:00:00"/>
    <s v="Customer 003"/>
    <s v="Printer"/>
    <s v="Office Supplies"/>
    <s v="North"/>
    <n v="1"/>
    <n v="0.2"/>
    <n v="192"/>
    <n v="65.86"/>
    <s v="Office Supplies"/>
    <s v="Oct-2025"/>
    <x v="4"/>
  </r>
  <r>
    <s v="ORD-00024"/>
    <d v="2025-07-05T00:00:00"/>
    <s v="Customer 073"/>
    <s v="Smartphone X"/>
    <s v="Technology"/>
    <s v="North"/>
    <n v="2"/>
    <n v="0"/>
    <n v="1700"/>
    <n v="629.87"/>
    <s v="Technology"/>
    <s v="Jul-2025"/>
    <x v="5"/>
  </r>
  <r>
    <s v="ORD-00025"/>
    <d v="2025-02-13T00:00:00"/>
    <s v="Customer 069"/>
    <s v="Coffee Table"/>
    <s v="Furniture"/>
    <s v="South"/>
    <n v="4"/>
    <n v="0"/>
    <n v="840"/>
    <n v="106.9"/>
    <s v="Furniture"/>
    <s v="Feb-2025"/>
    <x v="2"/>
  </r>
  <r>
    <s v="ORD-00026"/>
    <d v="2025-03-07T00:00:00"/>
    <s v="Customer 068"/>
    <s v="Monitor 24"/>
    <s v="Technology"/>
    <s v="West"/>
    <n v="4"/>
    <n v="0.2"/>
    <n v="1024"/>
    <n v="405"/>
    <s v="Technology"/>
    <s v="Mar-2025"/>
    <x v="6"/>
  </r>
  <r>
    <s v="ORD-00027"/>
    <d v="2025-04-19T00:00:00"/>
    <s v="Customer 086"/>
    <s v="Printer"/>
    <s v="Office Supplies"/>
    <s v="East"/>
    <n v="2"/>
    <n v="0.1"/>
    <n v="432"/>
    <n v="137.52000000000001"/>
    <s v="Office Supplies"/>
    <s v="Apr-2025"/>
    <x v="9"/>
  </r>
  <r>
    <s v="ORD-00028"/>
    <d v="2025-08-13T00:00:00"/>
    <s v="Customer 009"/>
    <s v="Printer"/>
    <s v="Office Supplies"/>
    <s v="East"/>
    <n v="4"/>
    <n v="0"/>
    <n v="960"/>
    <n v="353.46"/>
    <s v="Office Supplies"/>
    <s v="Aug-2025"/>
    <x v="8"/>
  </r>
  <r>
    <s v="ORD-00029"/>
    <d v="2025-01-11T00:00:00"/>
    <s v="Customer 001"/>
    <s v="Desk Organizer"/>
    <s v="Office Supplies"/>
    <s v="North"/>
    <n v="5"/>
    <n v="0.05"/>
    <n v="118.75"/>
    <n v="30.38"/>
    <s v="Office Supplies"/>
    <s v="Jan-2025"/>
    <x v="3"/>
  </r>
  <r>
    <s v="ORD-00030"/>
    <d v="2025-12-29T00:00:00"/>
    <s v="Customer 005"/>
    <s v="Monitor 24"/>
    <s v="Technology"/>
    <s v="East"/>
    <n v="1"/>
    <n v="0.05"/>
    <n v="304"/>
    <n v="130.04"/>
    <s v="Technology"/>
    <s v="Dec-2025"/>
    <x v="1"/>
  </r>
  <r>
    <s v="ORD-00031"/>
    <d v="2025-02-06T00:00:00"/>
    <s v="Customer 028"/>
    <s v="Printer"/>
    <s v="Office Supplies"/>
    <s v="South"/>
    <n v="2"/>
    <n v="0.1"/>
    <n v="432"/>
    <n v="99.03"/>
    <s v="Office Supplies"/>
    <s v="Feb-2025"/>
    <x v="2"/>
  </r>
  <r>
    <s v="ORD-00032"/>
    <d v="2025-10-20T00:00:00"/>
    <s v="Customer 053"/>
    <s v="Desk Organizer"/>
    <s v="Office Supplies"/>
    <s v="South"/>
    <n v="4"/>
    <n v="0.05"/>
    <n v="95"/>
    <n v="18.149999999999999"/>
    <s v="Office Supplies"/>
    <s v="Oct-2025"/>
    <x v="4"/>
  </r>
  <r>
    <s v="ORD-00033"/>
    <d v="2025-02-18T00:00:00"/>
    <s v="Customer 060"/>
    <s v="Wireless Mouse"/>
    <s v="Technology"/>
    <s v="North"/>
    <n v="4"/>
    <n v="0.1"/>
    <n v="126"/>
    <n v="39.090000000000003"/>
    <s v="Technology"/>
    <s v="Feb-2025"/>
    <x v="2"/>
  </r>
  <r>
    <s v="ORD-00034"/>
    <d v="2025-12-11T00:00:00"/>
    <s v="Customer 044"/>
    <s v="Monitor 24"/>
    <s v="Technology"/>
    <s v="North"/>
    <n v="1"/>
    <n v="0"/>
    <n v="320"/>
    <n v="101.48"/>
    <s v="Technology"/>
    <s v="Dec-2025"/>
    <x v="1"/>
  </r>
  <r>
    <s v="ORD-00035"/>
    <d v="2025-05-08T00:00:00"/>
    <s v="Customer 055"/>
    <s v="Desk Lamp"/>
    <s v="Furniture"/>
    <s v="South"/>
    <n v="2"/>
    <n v="0.2"/>
    <n v="88"/>
    <n v="26.57"/>
    <s v="Furniture"/>
    <s v="May-2025"/>
    <x v="7"/>
  </r>
  <r>
    <s v="ORD-00036"/>
    <d v="2025-05-23T00:00:00"/>
    <s v="Customer 071"/>
    <s v="Notebook Pack"/>
    <s v="Office Supplies"/>
    <s v="North"/>
    <n v="2"/>
    <n v="0"/>
    <n v="36"/>
    <n v="10.94"/>
    <s v="Office Supplies"/>
    <s v="May-2025"/>
    <x v="7"/>
  </r>
  <r>
    <s v="ORD-00037"/>
    <d v="2025-01-26T00:00:00"/>
    <s v="Customer 097"/>
    <s v="Monitor 24"/>
    <s v="Technology"/>
    <s v="South"/>
    <n v="5"/>
    <n v="0"/>
    <n v="1600"/>
    <n v="208.37"/>
    <s v="Technology"/>
    <s v="Jan-2025"/>
    <x v="3"/>
  </r>
  <r>
    <s v="ORD-00038"/>
    <d v="2025-03-27T00:00:00"/>
    <s v="Customer 052"/>
    <s v="Bookshelf"/>
    <s v="Furniture"/>
    <s v="North"/>
    <n v="4"/>
    <n v="0.15"/>
    <n v="646"/>
    <n v="245.13"/>
    <s v="Furniture"/>
    <s v="Mar-2025"/>
    <x v="6"/>
  </r>
  <r>
    <s v="ORD-00039"/>
    <d v="2025-03-26T00:00:00"/>
    <s v="Customer 059"/>
    <s v="Bookshelf"/>
    <s v="Furniture"/>
    <s v="East"/>
    <n v="1"/>
    <n v="0.15"/>
    <n v="161.5"/>
    <n v="58.54"/>
    <s v="Furniture"/>
    <s v="Mar-2025"/>
    <x v="6"/>
  </r>
  <r>
    <s v="ORD-00040"/>
    <d v="2025-08-05T00:00:00"/>
    <s v="Customer 038"/>
    <s v="Coffee Table"/>
    <s v="Furniture"/>
    <s v="South"/>
    <n v="5"/>
    <n v="0.15"/>
    <n v="892.5"/>
    <n v="356.03"/>
    <s v="Furniture"/>
    <s v="Aug-2025"/>
    <x v="8"/>
  </r>
  <r>
    <s v="ORD-00041"/>
    <d v="2025-01-30T00:00:00"/>
    <s v="Customer 008"/>
    <s v="Desk Organizer"/>
    <s v="Office Supplies"/>
    <s v="North"/>
    <n v="5"/>
    <n v="0"/>
    <n v="125"/>
    <n v="25.4"/>
    <s v="Office Supplies"/>
    <s v="Jan-2025"/>
    <x v="3"/>
  </r>
  <r>
    <s v="ORD-00042"/>
    <d v="2025-10-27T00:00:00"/>
    <s v="Customer 066"/>
    <s v="Notebook Pack"/>
    <s v="Office Supplies"/>
    <s v="North"/>
    <n v="5"/>
    <n v="0.2"/>
    <n v="72"/>
    <n v="28.66"/>
    <s v="Office Supplies"/>
    <s v="Oct-2025"/>
    <x v="4"/>
  </r>
  <r>
    <s v="ORD-00043"/>
    <d v="2025-04-06T00:00:00"/>
    <s v="Customer 031"/>
    <s v="Wireless Mouse"/>
    <s v="Technology"/>
    <s v="West"/>
    <n v="5"/>
    <n v="0"/>
    <n v="175"/>
    <n v="39.76"/>
    <s v="Technology"/>
    <s v="Apr-2025"/>
    <x v="9"/>
  </r>
  <r>
    <s v="ORD-00044"/>
    <d v="2025-03-03T00:00:00"/>
    <s v="Customer 080"/>
    <s v="Desk Organizer"/>
    <s v="Office Supplies"/>
    <s v="North"/>
    <n v="2"/>
    <n v="0.2"/>
    <n v="40"/>
    <n v="10.15"/>
    <s v="Office Supplies"/>
    <s v="Mar-2025"/>
    <x v="6"/>
  </r>
  <r>
    <s v="ORD-00045"/>
    <d v="2025-08-03T00:00:00"/>
    <s v="Customer 034"/>
    <s v="Monitor 24"/>
    <s v="Technology"/>
    <s v="South"/>
    <n v="5"/>
    <n v="0.2"/>
    <n v="1280"/>
    <n v="355.18"/>
    <s v="Technology"/>
    <s v="Aug-2025"/>
    <x v="8"/>
  </r>
  <r>
    <s v="ORD-00046"/>
    <d v="2025-12-09T00:00:00"/>
    <s v="Customer 017"/>
    <s v="Coffee Table"/>
    <s v="Furniture"/>
    <s v="East"/>
    <n v="3"/>
    <n v="0.05"/>
    <n v="598.5"/>
    <n v="216.86"/>
    <s v="Furniture"/>
    <s v="Dec-2025"/>
    <x v="1"/>
  </r>
  <r>
    <s v="ORD-00047"/>
    <d v="2025-08-23T00:00:00"/>
    <s v="Customer 073"/>
    <s v="Keyboard"/>
    <s v="Technology"/>
    <s v="North"/>
    <n v="1"/>
    <n v="0"/>
    <n v="70"/>
    <n v="20.91"/>
    <s v="Technology"/>
    <s v="Aug-2025"/>
    <x v="8"/>
  </r>
  <r>
    <s v="ORD-00048"/>
    <d v="2025-02-07T00:00:00"/>
    <s v="Customer 045"/>
    <s v="Printer"/>
    <s v="Office Supplies"/>
    <s v="North"/>
    <n v="2"/>
    <n v="0.2"/>
    <n v="384"/>
    <n v="139.19"/>
    <s v="Office Supplies"/>
    <s v="Feb-2025"/>
    <x v="2"/>
  </r>
  <r>
    <s v="ORD-00049"/>
    <d v="2025-05-06T00:00:00"/>
    <s v="Customer 070"/>
    <s v="Keyboard"/>
    <s v="Technology"/>
    <s v="East"/>
    <n v="3"/>
    <n v="0.05"/>
    <n v="199.5"/>
    <n v="60.93"/>
    <s v="Technology"/>
    <s v="May-2025"/>
    <x v="7"/>
  </r>
  <r>
    <s v="ORD-00050"/>
    <d v="2025-11-10T00:00:00"/>
    <s v="Customer 071"/>
    <s v="Monitor 24"/>
    <s v="Technology"/>
    <s v="East"/>
    <n v="5"/>
    <n v="0"/>
    <n v="1600"/>
    <n v="367.37"/>
    <s v="Technology"/>
    <s v="Nov-2025"/>
    <x v="0"/>
  </r>
  <r>
    <s v="ORD-00051"/>
    <d v="2025-12-06T00:00:00"/>
    <s v="Customer 014"/>
    <s v="Wireless Mouse"/>
    <s v="Technology"/>
    <s v="South"/>
    <n v="2"/>
    <n v="0.1"/>
    <n v="63"/>
    <n v="25.95"/>
    <s v="Technology"/>
    <s v="Dec-2025"/>
    <x v="1"/>
  </r>
  <r>
    <s v="ORD-00052"/>
    <d v="2025-05-20T00:00:00"/>
    <s v="Customer 027"/>
    <s v="Smartphone X"/>
    <s v="Technology"/>
    <s v="East"/>
    <n v="5"/>
    <n v="0.05"/>
    <n v="4037.5"/>
    <n v="860.75"/>
    <s v="Technology"/>
    <s v="May-2025"/>
    <x v="7"/>
  </r>
  <r>
    <s v="ORD-00053"/>
    <d v="2025-09-16T00:00:00"/>
    <s v="Customer 055"/>
    <s v="Notebook Pack"/>
    <s v="Office Supplies"/>
    <s v="East"/>
    <n v="3"/>
    <n v="0"/>
    <n v="54"/>
    <n v="22.66"/>
    <s v="Office Supplies"/>
    <s v="Sept-2025"/>
    <x v="10"/>
  </r>
  <r>
    <s v="ORD-00054"/>
    <d v="2025-01-23T00:00:00"/>
    <s v="Customer 034"/>
    <s v="Laptop Pro 15"/>
    <s v="Technology"/>
    <s v="South"/>
    <n v="3"/>
    <n v="0.05"/>
    <n v="3420"/>
    <n v="819.95"/>
    <s v="Technology"/>
    <s v="Jan-2025"/>
    <x v="3"/>
  </r>
  <r>
    <s v="ORD-00055"/>
    <d v="2025-08-15T00:00:00"/>
    <s v="Customer 010"/>
    <s v="Printer"/>
    <s v="Office Supplies"/>
    <s v="South"/>
    <n v="4"/>
    <n v="0.2"/>
    <n v="768"/>
    <n v="343.15"/>
    <s v="Office Supplies"/>
    <s v="Aug-2025"/>
    <x v="8"/>
  </r>
  <r>
    <s v="ORD-00056"/>
    <d v="2025-10-07T00:00:00"/>
    <s v="Customer 056"/>
    <s v="Laptop Pro 15"/>
    <s v="Technology"/>
    <s v="South"/>
    <n v="3"/>
    <n v="0.2"/>
    <n v="2880"/>
    <n v="770.88"/>
    <s v="Technology"/>
    <s v="Oct-2025"/>
    <x v="4"/>
  </r>
  <r>
    <s v="ORD-00057"/>
    <d v="2025-01-22T00:00:00"/>
    <s v="Customer 027"/>
    <s v="Smartphone X"/>
    <s v="Technology"/>
    <s v="South"/>
    <n v="3"/>
    <n v="0"/>
    <n v="2550"/>
    <n v="391.05"/>
    <s v="Technology"/>
    <s v="Jan-2025"/>
    <x v="3"/>
  </r>
  <r>
    <s v="ORD-00058"/>
    <d v="2025-12-08T00:00:00"/>
    <s v="Customer 053"/>
    <s v="Wireless Mouse"/>
    <s v="Technology"/>
    <s v="South"/>
    <n v="3"/>
    <n v="0.2"/>
    <n v="84"/>
    <n v="13.29"/>
    <s v="Technology"/>
    <s v="Dec-2025"/>
    <x v="1"/>
  </r>
  <r>
    <s v="ORD-00059"/>
    <d v="2025-05-02T00:00:00"/>
    <s v="Customer 095"/>
    <s v="Office Chair"/>
    <s v="Furniture"/>
    <s v="East"/>
    <n v="2"/>
    <n v="0.15"/>
    <n v="476"/>
    <n v="210.31"/>
    <s v="Furniture"/>
    <s v="May-2025"/>
    <x v="7"/>
  </r>
  <r>
    <s v="ORD-00060"/>
    <d v="2025-07-30T00:00:00"/>
    <s v="Customer 090"/>
    <s v="Monitor 24"/>
    <s v="Technology"/>
    <s v="North"/>
    <n v="2"/>
    <n v="0.1"/>
    <n v="576"/>
    <n v="228.94"/>
    <s v="Technology"/>
    <s v="Jul-2025"/>
    <x v="5"/>
  </r>
  <r>
    <s v="ORD-00061"/>
    <d v="2025-07-15T00:00:00"/>
    <s v="Customer 059"/>
    <s v="Laptop Pro 15"/>
    <s v="Technology"/>
    <s v="East"/>
    <n v="4"/>
    <n v="0.05"/>
    <n v="4560"/>
    <n v="1751.68"/>
    <s v="Technology"/>
    <s v="Jul-2025"/>
    <x v="5"/>
  </r>
  <r>
    <s v="ORD-00062"/>
    <d v="2025-06-06T00:00:00"/>
    <s v="Customer 052"/>
    <s v="Desk Lamp"/>
    <s v="Furniture"/>
    <s v="East"/>
    <n v="2"/>
    <n v="0"/>
    <n v="110"/>
    <n v="25.54"/>
    <s v="Furniture"/>
    <s v="Jun-2025"/>
    <x v="11"/>
  </r>
  <r>
    <s v="ORD-00063"/>
    <d v="2025-05-23T00:00:00"/>
    <s v="Customer 052"/>
    <s v="Wireless Mouse"/>
    <s v="Technology"/>
    <s v="East"/>
    <n v="3"/>
    <n v="0.1"/>
    <n v="94.5"/>
    <n v="22.52"/>
    <s v="Technology"/>
    <s v="May-2025"/>
    <x v="7"/>
  </r>
  <r>
    <s v="ORD-00064"/>
    <d v="2025-01-15T00:00:00"/>
    <s v="Customer 034"/>
    <s v="Wireless Mouse"/>
    <s v="Technology"/>
    <s v="North"/>
    <n v="3"/>
    <n v="0.05"/>
    <n v="99.75"/>
    <n v="25.78"/>
    <s v="Technology"/>
    <s v="Jan-2025"/>
    <x v="3"/>
  </r>
  <r>
    <s v="ORD-00065"/>
    <d v="2025-02-25T00:00:00"/>
    <s v="Customer 041"/>
    <s v="Desk Organizer"/>
    <s v="Office Supplies"/>
    <s v="West"/>
    <n v="4"/>
    <n v="0.1"/>
    <n v="90"/>
    <n v="18.86"/>
    <s v="Office Supplies"/>
    <s v="Feb-2025"/>
    <x v="2"/>
  </r>
  <r>
    <s v="ORD-00066"/>
    <d v="2025-11-07T00:00:00"/>
    <s v="Customer 025"/>
    <s v="Printer"/>
    <s v="Office Supplies"/>
    <s v="East"/>
    <n v="1"/>
    <n v="0.15"/>
    <n v="204"/>
    <n v="31.25"/>
    <s v="Office Supplies"/>
    <s v="Nov-2025"/>
    <x v="0"/>
  </r>
  <r>
    <s v="ORD-00067"/>
    <d v="2025-01-23T00:00:00"/>
    <s v="Customer 069"/>
    <s v="Coffee Table"/>
    <s v="Furniture"/>
    <s v="South"/>
    <n v="4"/>
    <n v="0"/>
    <n v="840"/>
    <n v="233.88"/>
    <s v="Furniture"/>
    <s v="Jan-2025"/>
    <x v="3"/>
  </r>
  <r>
    <s v="ORD-00068"/>
    <d v="2025-07-06T00:00:00"/>
    <s v="Customer 085"/>
    <s v="Bookshelf"/>
    <s v="Furniture"/>
    <s v="North"/>
    <n v="1"/>
    <n v="0.1"/>
    <n v="171"/>
    <n v="41.79"/>
    <s v="Furniture"/>
    <s v="Jul-2025"/>
    <x v="5"/>
  </r>
  <r>
    <s v="ORD-00069"/>
    <d v="2025-06-03T00:00:00"/>
    <s v="Customer 090"/>
    <s v="Printer"/>
    <s v="Office Supplies"/>
    <s v="East"/>
    <n v="3"/>
    <n v="0.15"/>
    <n v="612"/>
    <n v="209.52"/>
    <s v="Office Supplies"/>
    <s v="Jun-2025"/>
    <x v="11"/>
  </r>
  <r>
    <s v="ORD-00070"/>
    <d v="2025-10-11T00:00:00"/>
    <s v="Customer 049"/>
    <s v="Office Chair"/>
    <s v="Furniture"/>
    <s v="South"/>
    <n v="2"/>
    <n v="0.15"/>
    <n v="476"/>
    <n v="109.75"/>
    <s v="Furniture"/>
    <s v="Oct-2025"/>
    <x v="4"/>
  </r>
  <r>
    <s v="ORD-00071"/>
    <d v="2025-11-12T00:00:00"/>
    <s v="Customer 001"/>
    <s v="Desk Organizer"/>
    <s v="Office Supplies"/>
    <s v="East"/>
    <n v="3"/>
    <n v="0.15"/>
    <n v="63.75"/>
    <n v="17.16"/>
    <s v="Office Supplies"/>
    <s v="Nov-2025"/>
    <x v="0"/>
  </r>
  <r>
    <s v="ORD-00072"/>
    <d v="2025-05-27T00:00:00"/>
    <s v="Customer 042"/>
    <s v="Desk Lamp"/>
    <s v="Furniture"/>
    <s v="West"/>
    <n v="4"/>
    <n v="0.2"/>
    <n v="176"/>
    <n v="43.97"/>
    <s v="Furniture"/>
    <s v="May-2025"/>
    <x v="7"/>
  </r>
  <r>
    <s v="ORD-00073"/>
    <d v="2025-08-15T00:00:00"/>
    <s v="Customer 095"/>
    <s v="Notebook Pack"/>
    <s v="Office Supplies"/>
    <s v="South"/>
    <n v="2"/>
    <n v="0.2"/>
    <n v="28.8"/>
    <n v="8.4600000000000009"/>
    <s v="Office Supplies"/>
    <s v="Aug-2025"/>
    <x v="8"/>
  </r>
  <r>
    <s v="ORD-00074"/>
    <d v="2025-12-04T00:00:00"/>
    <s v="Customer 080"/>
    <s v="Wireless Mouse"/>
    <s v="Technology"/>
    <s v="East"/>
    <n v="3"/>
    <n v="0.2"/>
    <n v="84"/>
    <n v="19.399999999999999"/>
    <s v="Technology"/>
    <s v="Dec-2025"/>
    <x v="1"/>
  </r>
  <r>
    <s v="ORD-00075"/>
    <d v="2025-02-17T00:00:00"/>
    <s v="Customer 019"/>
    <s v="Desk Lamp"/>
    <s v="Furniture"/>
    <s v="North"/>
    <n v="3"/>
    <n v="0.05"/>
    <n v="156.75"/>
    <n v="28.82"/>
    <s v="Furniture"/>
    <s v="Feb-2025"/>
    <x v="2"/>
  </r>
  <r>
    <s v="ORD-00076"/>
    <d v="2025-01-24T00:00:00"/>
    <s v="Customer 010"/>
    <s v="Desk Lamp"/>
    <s v="Furniture"/>
    <s v="West"/>
    <n v="4"/>
    <n v="0.2"/>
    <n v="176"/>
    <n v="29.85"/>
    <s v="Furniture"/>
    <s v="Jan-2025"/>
    <x v="3"/>
  </r>
  <r>
    <s v="ORD-00077"/>
    <d v="2025-08-01T00:00:00"/>
    <s v="Customer 050"/>
    <s v="Monitor 24"/>
    <s v="Technology"/>
    <s v="West"/>
    <n v="5"/>
    <n v="0.05"/>
    <n v="1520"/>
    <n v="323.68"/>
    <s v="Technology"/>
    <s v="Aug-2025"/>
    <x v="8"/>
  </r>
  <r>
    <s v="ORD-00078"/>
    <d v="2025-07-24T00:00:00"/>
    <s v="Customer 099"/>
    <s v="Desk Lamp"/>
    <s v="Furniture"/>
    <s v="North"/>
    <n v="2"/>
    <n v="0"/>
    <n v="110"/>
    <n v="17.100000000000001"/>
    <s v="Furniture"/>
    <s v="Jul-2025"/>
    <x v="5"/>
  </r>
  <r>
    <s v="ORD-00079"/>
    <d v="2025-08-06T00:00:00"/>
    <s v="Customer 072"/>
    <s v="Desk Lamp"/>
    <s v="Furniture"/>
    <s v="South"/>
    <n v="2"/>
    <n v="0.2"/>
    <n v="88"/>
    <n v="26.11"/>
    <s v="Furniture"/>
    <s v="Aug-2025"/>
    <x v="8"/>
  </r>
  <r>
    <s v="ORD-00080"/>
    <d v="2025-03-04T00:00:00"/>
    <s v="Customer 072"/>
    <s v="Notebook Pack"/>
    <s v="Office Supplies"/>
    <s v="East"/>
    <n v="2"/>
    <n v="0.15"/>
    <n v="30.6"/>
    <n v="7.03"/>
    <s v="Office Supplies"/>
    <s v="Mar-2025"/>
    <x v="6"/>
  </r>
  <r>
    <s v="ORD-00081"/>
    <d v="2025-08-15T00:00:00"/>
    <s v="Customer 071"/>
    <s v="Desk Organizer"/>
    <s v="Office Supplies"/>
    <s v="West"/>
    <n v="5"/>
    <n v="0.15"/>
    <n v="106.25"/>
    <n v="18.690000000000001"/>
    <s v="Office Supplies"/>
    <s v="Aug-2025"/>
    <x v="8"/>
  </r>
  <r>
    <s v="ORD-00082"/>
    <d v="2025-03-23T00:00:00"/>
    <s v="Customer 032"/>
    <s v="Coffee Table"/>
    <s v="Furniture"/>
    <s v="East"/>
    <n v="4"/>
    <n v="0.15"/>
    <n v="714"/>
    <n v="260.23"/>
    <s v="Furniture"/>
    <s v="Mar-2025"/>
    <x v="6"/>
  </r>
  <r>
    <s v="ORD-00083"/>
    <d v="2025-09-24T00:00:00"/>
    <s v="Customer 092"/>
    <s v="Notebook Pack"/>
    <s v="Office Supplies"/>
    <s v="East"/>
    <n v="2"/>
    <n v="0.1"/>
    <n v="32.4"/>
    <n v="9.8800000000000008"/>
    <s v="Office Supplies"/>
    <s v="Sept-2025"/>
    <x v="10"/>
  </r>
  <r>
    <s v="ORD-00084"/>
    <d v="2025-05-01T00:00:00"/>
    <s v="Customer 011"/>
    <s v="Smartphone X"/>
    <s v="Technology"/>
    <s v="South"/>
    <n v="3"/>
    <n v="0.1"/>
    <n v="2295"/>
    <n v="356.42"/>
    <s v="Technology"/>
    <s v="May-2025"/>
    <x v="7"/>
  </r>
  <r>
    <s v="ORD-00085"/>
    <d v="2025-03-19T00:00:00"/>
    <s v="Customer 009"/>
    <s v="Desk Lamp"/>
    <s v="Furniture"/>
    <s v="West"/>
    <n v="4"/>
    <n v="0.05"/>
    <n v="209"/>
    <n v="45.33"/>
    <s v="Furniture"/>
    <s v="Mar-2025"/>
    <x v="6"/>
  </r>
  <r>
    <s v="ORD-00086"/>
    <d v="2025-07-28T00:00:00"/>
    <s v="Customer 027"/>
    <s v="Keyboard"/>
    <s v="Technology"/>
    <s v="West"/>
    <n v="5"/>
    <n v="0.15"/>
    <n v="297.5"/>
    <n v="93.06"/>
    <s v="Technology"/>
    <s v="Jul-2025"/>
    <x v="5"/>
  </r>
  <r>
    <s v="ORD-00087"/>
    <d v="2025-07-19T00:00:00"/>
    <s v="Customer 001"/>
    <s v="Desk Organizer"/>
    <s v="Office Supplies"/>
    <s v="East"/>
    <n v="1"/>
    <n v="0.2"/>
    <n v="20"/>
    <n v="6.49"/>
    <s v="Office Supplies"/>
    <s v="Jul-2025"/>
    <x v="5"/>
  </r>
  <r>
    <s v="ORD-00088"/>
    <d v="2025-06-02T00:00:00"/>
    <s v="Customer 070"/>
    <s v="Bookshelf"/>
    <s v="Furniture"/>
    <s v="South"/>
    <n v="4"/>
    <n v="0.2"/>
    <n v="608"/>
    <n v="123.62"/>
    <s v="Furniture"/>
    <s v="Jun-2025"/>
    <x v="11"/>
  </r>
  <r>
    <s v="ORD-00089"/>
    <d v="2025-09-07T00:00:00"/>
    <s v="Customer 050"/>
    <s v="Desk Lamp"/>
    <s v="Technology "/>
    <s v="East"/>
    <n v="3"/>
    <n v="0.15"/>
    <n v="140.25"/>
    <n v="40.64"/>
    <s v="Technology"/>
    <s v="Sept-2025"/>
    <x v="10"/>
  </r>
  <r>
    <s v="ORD-00090"/>
    <d v="2025-12-09T00:00:00"/>
    <s v="Customer 017"/>
    <s v="Monitor 24"/>
    <s v="Technology"/>
    <s v="North"/>
    <n v="4"/>
    <n v="0.05"/>
    <n v="1216"/>
    <n v="209.92"/>
    <s v="Technology"/>
    <s v="Dec-2025"/>
    <x v="1"/>
  </r>
  <r>
    <s v="ORD-00091"/>
    <d v="2025-07-21T00:00:00"/>
    <s v="Customer 055"/>
    <s v="Desk Organizer"/>
    <s v="Office Supplies"/>
    <s v="South"/>
    <n v="5"/>
    <n v="0"/>
    <n v="125"/>
    <n v="52.79"/>
    <s v="Office Supplies"/>
    <s v="Jul-2025"/>
    <x v="5"/>
  </r>
  <r>
    <s v="ORD-00092"/>
    <d v="2025-08-25T00:00:00"/>
    <s v="Customer 028"/>
    <s v="Office Chair"/>
    <s v="Furniture"/>
    <s v="West"/>
    <n v="1"/>
    <n v="0.1"/>
    <n v="252"/>
    <n v="81.87"/>
    <s v="Furniture"/>
    <s v="Aug-2025"/>
    <x v="8"/>
  </r>
  <r>
    <s v="ORD-00093"/>
    <d v="2025-06-17T00:00:00"/>
    <s v="Customer 054"/>
    <s v="Keyboard"/>
    <s v="Technology"/>
    <s v="East"/>
    <n v="4"/>
    <n v="0.1"/>
    <n v="252"/>
    <n v="50.86"/>
    <s v="Technology"/>
    <s v="Jun-2025"/>
    <x v="11"/>
  </r>
  <r>
    <s v="ORD-00094"/>
    <d v="2025-02-11T00:00:00"/>
    <s v="Customer 045"/>
    <s v="Notebook Pack"/>
    <s v="Office Supplies"/>
    <s v="South"/>
    <n v="1"/>
    <n v="0.2"/>
    <n v="14.4"/>
    <n v="6.23"/>
    <s v="Office Supplies"/>
    <s v="Feb-2025"/>
    <x v="2"/>
  </r>
  <r>
    <s v="ORD-00095"/>
    <d v="2025-11-29T00:00:00"/>
    <s v="Customer 026"/>
    <s v="Wireless Mouse"/>
    <s v="Technology"/>
    <s v="North"/>
    <n v="1"/>
    <n v="0"/>
    <n v="35"/>
    <n v="4.78"/>
    <s v="Technology"/>
    <s v="Nov-2025"/>
    <x v="0"/>
  </r>
  <r>
    <s v="ORD-00096"/>
    <d v="2025-11-15T00:00:00"/>
    <s v="Customer 015"/>
    <s v="Office Chair"/>
    <s v="Furniture"/>
    <s v="South"/>
    <n v="2"/>
    <n v="0.05"/>
    <n v="532"/>
    <n v="156.26"/>
    <s v="Furniture"/>
    <s v="Nov-2025"/>
    <x v="0"/>
  </r>
  <r>
    <s v="ORD-00097"/>
    <d v="2025-08-27T00:00:00"/>
    <s v="Customer 078"/>
    <s v="Coffee Table"/>
    <s v="Furniture"/>
    <s v="North"/>
    <n v="3"/>
    <n v="0.1"/>
    <n v="567"/>
    <n v="223.75"/>
    <s v="Furniture"/>
    <s v="Aug-2025"/>
    <x v="8"/>
  </r>
  <r>
    <s v="ORD-00098"/>
    <d v="2025-03-25T00:00:00"/>
    <s v="Customer 040"/>
    <s v="Smartphone X"/>
    <s v="Technology"/>
    <s v="West"/>
    <n v="1"/>
    <n v="0.2"/>
    <n v="680"/>
    <n v="300.24"/>
    <s v="Technology"/>
    <s v="Mar-2025"/>
    <x v="6"/>
  </r>
  <r>
    <s v="ORD-00099"/>
    <d v="2025-07-23T00:00:00"/>
    <s v="Customer 081"/>
    <s v="Coffee Table"/>
    <s v="Furniture"/>
    <s v="South"/>
    <n v="2"/>
    <n v="0"/>
    <n v="420"/>
    <n v="106.94"/>
    <s v="Furniture"/>
    <s v="Jul-2025"/>
    <x v="5"/>
  </r>
  <r>
    <s v="ORD-00100"/>
    <d v="2025-02-22T00:00:00"/>
    <s v="Customer 073"/>
    <s v="Coffee Table"/>
    <s v="Furniture"/>
    <s v="North"/>
    <n v="3"/>
    <n v="0.2"/>
    <n v="504"/>
    <n v="92.82"/>
    <s v="Furniture"/>
    <s v="Feb-2025"/>
    <x v="2"/>
  </r>
  <r>
    <s v="ORD-00101"/>
    <d v="2025-06-27T00:00:00"/>
    <s v="Customer 083"/>
    <s v="Printer"/>
    <s v="Office Supplies"/>
    <s v="East"/>
    <n v="4"/>
    <n v="0.1"/>
    <n v="864"/>
    <n v="369.14"/>
    <s v="Office Supplies"/>
    <s v="Jun-2025"/>
    <x v="11"/>
  </r>
  <r>
    <s v="ORD-00102"/>
    <d v="2025-01-07T00:00:00"/>
    <s v="Customer 047"/>
    <s v="Bookshelf"/>
    <s v="Furniture"/>
    <s v="West"/>
    <n v="4"/>
    <n v="0"/>
    <n v="760"/>
    <n v="233.27"/>
    <s v="Furniture"/>
    <s v="Jan-2025"/>
    <x v="3"/>
  </r>
  <r>
    <s v="ORD-00103"/>
    <d v="2025-12-29T00:00:00"/>
    <s v="Customer 084"/>
    <s v="Office Chair"/>
    <s v="Furniture"/>
    <s v="East"/>
    <n v="4"/>
    <n v="0.05"/>
    <n v="1064"/>
    <n v="221.15"/>
    <s v="Furniture"/>
    <s v="Dec-2025"/>
    <x v="1"/>
  </r>
  <r>
    <s v="ORD-00104"/>
    <d v="2025-11-12T00:00:00"/>
    <s v="Customer 094"/>
    <s v="Printer"/>
    <s v="Office Supplies"/>
    <s v="East"/>
    <n v="4"/>
    <n v="0.15"/>
    <n v="816"/>
    <n v="249.91"/>
    <s v="Office Supplies"/>
    <s v="Nov-2025"/>
    <x v="0"/>
  </r>
  <r>
    <s v="ORD-00105"/>
    <d v="2025-06-15T00:00:00"/>
    <s v="Customer 032"/>
    <s v="Desk Lamp"/>
    <s v="Furniture"/>
    <s v="West"/>
    <n v="1"/>
    <n v="0.1"/>
    <n v="49.5"/>
    <n v="7.87"/>
    <s v="Furniture"/>
    <s v="Jun-2025"/>
    <x v="11"/>
  </r>
  <r>
    <s v="ORD-00106"/>
    <d v="2025-10-19T00:00:00"/>
    <s v="Customer 042"/>
    <s v="Desk Organizer"/>
    <s v="Office Supplies"/>
    <s v="South"/>
    <n v="4"/>
    <n v="0.1"/>
    <n v="90"/>
    <n v="39.65"/>
    <s v="Office Supplies"/>
    <s v="Oct-2025"/>
    <x v="4"/>
  </r>
  <r>
    <s v="ORD-00107"/>
    <d v="2025-09-07T00:00:00"/>
    <s v="Customer 077"/>
    <s v="Desk Lamp"/>
    <s v="Furniture"/>
    <s v="East"/>
    <n v="3"/>
    <n v="0.1"/>
    <n v="148.5"/>
    <n v="50.15"/>
    <s v="Furniture"/>
    <s v="Sept-2025"/>
    <x v="10"/>
  </r>
  <r>
    <s v="ORD-00108"/>
    <d v="2025-10-12T00:00:00"/>
    <s v="Customer 093"/>
    <s v="Laptop Pro 15"/>
    <s v="Technology"/>
    <s v="West"/>
    <n v="5"/>
    <n v="0.05"/>
    <n v="5700"/>
    <n v="2403.96"/>
    <s v="Technology"/>
    <s v="Oct-2025"/>
    <x v="4"/>
  </r>
  <r>
    <s v="ORD-00109"/>
    <d v="2025-09-08T00:00:00"/>
    <s v="Customer 063"/>
    <s v="Printer"/>
    <s v="Office Supplies"/>
    <s v="West"/>
    <n v="2"/>
    <n v="0.15"/>
    <n v="408"/>
    <n v="96.64"/>
    <s v="Office Supplies"/>
    <s v="Sept-2025"/>
    <x v="10"/>
  </r>
  <r>
    <s v="ORD-00110"/>
    <d v="2025-01-09T00:00:00"/>
    <s v="Customer 032"/>
    <s v="Wireless Mouse"/>
    <s v="Technology"/>
    <s v="East"/>
    <n v="3"/>
    <n v="0.05"/>
    <n v="99.75"/>
    <n v="31.58"/>
    <s v="Technology"/>
    <s v="Jan-2025"/>
    <x v="3"/>
  </r>
  <r>
    <s v="ORD-00111"/>
    <d v="2025-12-06T00:00:00"/>
    <s v="Customer 045"/>
    <s v="Desk Organizer"/>
    <s v="Office Supplies"/>
    <s v="West"/>
    <n v="3"/>
    <n v="0.15"/>
    <n v="63.75"/>
    <n v="17.04"/>
    <s v="Office Supplies"/>
    <s v="Dec-2025"/>
    <x v="1"/>
  </r>
  <r>
    <s v="ORD-00112"/>
    <d v="2025-10-09T00:00:00"/>
    <s v="Customer 033"/>
    <s v="Keyboard"/>
    <s v="Technology"/>
    <s v="South"/>
    <n v="3"/>
    <n v="0.15"/>
    <n v="178.5"/>
    <n v="64.37"/>
    <s v="Technology"/>
    <s v="Oct-2025"/>
    <x v="4"/>
  </r>
  <r>
    <s v="ORD-00113"/>
    <d v="2025-03-03T00:00:00"/>
    <s v="Customer 069"/>
    <s v="Coffee Table"/>
    <s v="Furniture"/>
    <s v="South"/>
    <n v="2"/>
    <n v="0.1"/>
    <n v="378"/>
    <n v="155.19"/>
    <s v="Furniture"/>
    <s v="Mar-2025"/>
    <x v="6"/>
  </r>
  <r>
    <s v="ORD-00114"/>
    <d v="2025-04-09T00:00:00"/>
    <s v="Customer 098"/>
    <s v="Desk Lamp"/>
    <s v="Furniture"/>
    <s v="East"/>
    <n v="4"/>
    <n v="0.1"/>
    <n v="198"/>
    <n v="41.76"/>
    <s v="Furniture"/>
    <s v="Apr-2025"/>
    <x v="9"/>
  </r>
  <r>
    <s v="ORD-00115"/>
    <d v="2025-02-21T00:00:00"/>
    <s v="Customer 039"/>
    <s v="Desk Lamp"/>
    <s v="Furniture"/>
    <s v="North"/>
    <n v="3"/>
    <n v="0.05"/>
    <n v="156.75"/>
    <n v="51.87"/>
    <s v="Furniture"/>
    <s v="Feb-2025"/>
    <x v="2"/>
  </r>
  <r>
    <s v="ORD-00116"/>
    <d v="2025-12-29T00:00:00"/>
    <s v="Customer 007"/>
    <s v="Printer"/>
    <s v="Office Supplies"/>
    <s v="East"/>
    <n v="2"/>
    <n v="0.1"/>
    <n v="432"/>
    <n v="187.91"/>
    <s v="Office Supplies"/>
    <s v="Dec-2025"/>
    <x v="1"/>
  </r>
  <r>
    <s v="ORD-00117"/>
    <d v="2025-12-24T00:00:00"/>
    <s v="Customer 074"/>
    <s v="Office Chair"/>
    <s v="Furniture"/>
    <s v="East"/>
    <n v="4"/>
    <n v="0"/>
    <n v="1120"/>
    <n v="181.44"/>
    <s v="Furniture"/>
    <s v="Dec-2025"/>
    <x v="1"/>
  </r>
  <r>
    <s v="ORD-00118"/>
    <d v="2025-08-29T00:00:00"/>
    <s v="Customer 007"/>
    <s v="Notebook Pack"/>
    <s v="Office Supplies"/>
    <s v="East"/>
    <n v="4"/>
    <n v="0.1"/>
    <n v="64.8"/>
    <n v="25.22"/>
    <s v="Office Supplies"/>
    <s v="Aug-2025"/>
    <x v="8"/>
  </r>
  <r>
    <s v="ORD-00119"/>
    <d v="2025-09-02T00:00:00"/>
    <s v="Customer 074"/>
    <s v="Wireless Mouse"/>
    <s v="Technology"/>
    <s v="North"/>
    <n v="1"/>
    <n v="0.15"/>
    <n v="29.75"/>
    <n v="8.56"/>
    <s v="Technology"/>
    <s v="Sept-2025"/>
    <x v="10"/>
  </r>
  <r>
    <s v="ORD-00120"/>
    <d v="2025-03-19T00:00:00"/>
    <s v="Customer 032"/>
    <s v="Office Chair"/>
    <s v="Furniture"/>
    <s v="North"/>
    <n v="5"/>
    <n v="0.1"/>
    <n v="1260"/>
    <n v="531.58000000000004"/>
    <s v="Furniture"/>
    <s v="Mar-2025"/>
    <x v="6"/>
  </r>
  <r>
    <s v="ORD-00121"/>
    <d v="2025-10-13T00:00:00"/>
    <s v="Customer 029"/>
    <s v="Bookshelf"/>
    <s v="Furniture"/>
    <s v="West"/>
    <n v="5"/>
    <n v="0.2"/>
    <n v="760"/>
    <n v="143.68"/>
    <s v="Furniture"/>
    <s v="Oct-2025"/>
    <x v="4"/>
  </r>
  <r>
    <s v="ORD-00122"/>
    <d v="2025-08-19T00:00:00"/>
    <s v="Customer 040"/>
    <s v="Notebook Pack"/>
    <s v="Office Supplies"/>
    <s v="North"/>
    <n v="3"/>
    <n v="0.2"/>
    <n v="43.2"/>
    <n v="5.33"/>
    <s v="Office Supplies"/>
    <s v="Aug-2025"/>
    <x v="8"/>
  </r>
  <r>
    <s v="ORD-00123"/>
    <d v="2025-11-09T00:00:00"/>
    <s v="Customer 034"/>
    <s v="Coffee Table"/>
    <s v="Furniture"/>
    <s v="North"/>
    <n v="1"/>
    <n v="0.05"/>
    <n v="199.5"/>
    <n v="48.59"/>
    <s v="Furniture"/>
    <s v="Nov-2025"/>
    <x v="0"/>
  </r>
  <r>
    <s v="ORD-00124"/>
    <d v="2025-03-22T00:00:00"/>
    <s v="Customer 001"/>
    <s v="Desk Lamp"/>
    <s v="Furniture"/>
    <s v="West"/>
    <n v="2"/>
    <n v="0.2"/>
    <n v="88"/>
    <n v="37.42"/>
    <s v="Furniture"/>
    <s v="Mar-2025"/>
    <x v="6"/>
  </r>
  <r>
    <s v="ORD-00125"/>
    <d v="2025-08-19T00:00:00"/>
    <s v="Customer 030"/>
    <s v="Coffee Table"/>
    <s v="Furniture"/>
    <s v="East"/>
    <n v="5"/>
    <n v="0.15"/>
    <n v="892.5"/>
    <n v="315.83999999999997"/>
    <s v="Furniture"/>
    <s v="Aug-2025"/>
    <x v="8"/>
  </r>
  <r>
    <s v="ORD-00126"/>
    <d v="2025-12-28T00:00:00"/>
    <s v="Customer 034"/>
    <s v="Smartphone X"/>
    <s v="Technology"/>
    <s v="South"/>
    <n v="4"/>
    <n v="0"/>
    <n v="3400"/>
    <n v="758.75"/>
    <s v="Technology"/>
    <s v="Dec-2025"/>
    <x v="1"/>
  </r>
  <r>
    <s v="ORD-00127"/>
    <d v="2025-08-06T00:00:00"/>
    <s v="Customer 035"/>
    <s v="Wireless Mouse"/>
    <s v="Technology"/>
    <s v="South"/>
    <n v="5"/>
    <n v="0.05"/>
    <n v="166.25"/>
    <n v="39.28"/>
    <s v="Technology"/>
    <s v="Aug-2025"/>
    <x v="8"/>
  </r>
  <r>
    <s v="ORD-00128"/>
    <d v="2025-02-06T00:00:00"/>
    <s v="Customer 073"/>
    <s v="Laptop Pro 15"/>
    <s v="Technology"/>
    <s v="East"/>
    <n v="2"/>
    <n v="0.1"/>
    <n v="2160"/>
    <n v="547.85"/>
    <s v="Technology"/>
    <s v="Feb-2025"/>
    <x v="2"/>
  </r>
  <r>
    <s v="ORD-00129"/>
    <d v="2025-08-13T00:00:00"/>
    <s v="Customer 035"/>
    <s v="Wireless Mouse"/>
    <s v="Technology"/>
    <s v="West"/>
    <n v="4"/>
    <n v="0.1"/>
    <n v="126"/>
    <n v="27.61"/>
    <s v="Technology"/>
    <s v="Aug-2025"/>
    <x v="8"/>
  </r>
  <r>
    <s v="ORD-00130"/>
    <d v="2025-08-13T00:00:00"/>
    <s v="Customer 095"/>
    <s v="Wireless Mouse"/>
    <s v="Technology"/>
    <s v="East"/>
    <n v="5"/>
    <n v="0"/>
    <n v="175"/>
    <n v="27.39"/>
    <s v="Technology"/>
    <s v="Aug-2025"/>
    <x v="8"/>
  </r>
  <r>
    <s v="ORD-00131"/>
    <d v="2025-11-06T00:00:00"/>
    <s v="Customer 087"/>
    <s v="Smartphone X"/>
    <s v="Technology"/>
    <s v="North"/>
    <n v="1"/>
    <n v="0"/>
    <n v="850"/>
    <n v="318.29000000000002"/>
    <s v="Technology"/>
    <s v="Nov-2025"/>
    <x v="0"/>
  </r>
  <r>
    <s v="ORD-00132"/>
    <d v="2025-12-11T00:00:00"/>
    <s v="Customer 023"/>
    <s v="Smartphone X"/>
    <s v="Technology"/>
    <s v="West"/>
    <n v="5"/>
    <n v="0"/>
    <n v="4250"/>
    <n v="842.24"/>
    <s v="Technology"/>
    <s v="Dec-2025"/>
    <x v="1"/>
  </r>
  <r>
    <s v="ORD-00133"/>
    <d v="2025-09-23T00:00:00"/>
    <s v="Customer 075"/>
    <s v="Monitor 24"/>
    <s v="Technology"/>
    <s v="West"/>
    <n v="4"/>
    <n v="0.1"/>
    <n v="1152"/>
    <n v="449.41"/>
    <s v="Technology"/>
    <s v="Sept-2025"/>
    <x v="10"/>
  </r>
  <r>
    <s v="ORD-00134"/>
    <d v="2025-11-22T00:00:00"/>
    <s v="Customer 043"/>
    <s v="Notebook Pack"/>
    <s v="Office Supplies"/>
    <s v="East"/>
    <n v="1"/>
    <n v="0.15"/>
    <n v="15.3"/>
    <n v="5.13"/>
    <s v="Office Supplies"/>
    <s v="Nov-2025"/>
    <x v="0"/>
  </r>
  <r>
    <s v="ORD-00135"/>
    <d v="2025-12-10T00:00:00"/>
    <s v="Customer 064"/>
    <s v="Wireless Mouse"/>
    <s v="Technology"/>
    <s v="East"/>
    <n v="2"/>
    <n v="0.1"/>
    <n v="63"/>
    <n v="19.79"/>
    <s v="Technology"/>
    <s v="Dec-2025"/>
    <x v="1"/>
  </r>
  <r>
    <s v="ORD-00136"/>
    <d v="2025-12-06T00:00:00"/>
    <s v="Customer 041"/>
    <s v="Bookshelf"/>
    <s v="Furniture"/>
    <s v="East"/>
    <n v="5"/>
    <n v="0"/>
    <n v="950"/>
    <n v="284.91000000000003"/>
    <s v="Furniture"/>
    <s v="Dec-2025"/>
    <x v="1"/>
  </r>
  <r>
    <s v="ORD-00137"/>
    <d v="2025-06-15T00:00:00"/>
    <s v="Customer 001"/>
    <s v="Wireless Mouse"/>
    <s v="Technology"/>
    <s v="West"/>
    <n v="4"/>
    <n v="0.2"/>
    <n v="112"/>
    <n v="19.91"/>
    <s v="Technology"/>
    <s v="Jun-2025"/>
    <x v="11"/>
  </r>
  <r>
    <s v="ORD-00138"/>
    <d v="2025-07-31T00:00:00"/>
    <s v="Customer 097"/>
    <s v="Laptop Pro 15"/>
    <s v="Technology"/>
    <s v="West"/>
    <n v="2"/>
    <n v="0.2"/>
    <n v="1920"/>
    <n v="634.78"/>
    <s v="Technology"/>
    <s v="Jul-2025"/>
    <x v="5"/>
  </r>
  <r>
    <s v="ORD-00139"/>
    <d v="2025-11-17T00:00:00"/>
    <s v="Customer 017"/>
    <s v="Notebook Pack"/>
    <s v="Office Supplies"/>
    <s v="East"/>
    <n v="1"/>
    <n v="0.05"/>
    <n v="17.100000000000001"/>
    <n v="6.19"/>
    <s v="Office Supplies"/>
    <s v="Nov-2025"/>
    <x v="0"/>
  </r>
  <r>
    <s v="ORD-00140"/>
    <d v="2025-08-13T00:00:00"/>
    <s v="Customer 081"/>
    <s v="Coffee Table"/>
    <s v="Furniture"/>
    <s v="South"/>
    <n v="4"/>
    <n v="0"/>
    <n v="840"/>
    <n v="370"/>
    <s v="Furniture"/>
    <s v="Aug-2025"/>
    <x v="8"/>
  </r>
  <r>
    <s v="ORD-00141"/>
    <d v="2025-12-30T00:00:00"/>
    <s v="Customer 053"/>
    <s v="Office Chair"/>
    <s v="Furniture"/>
    <s v="North"/>
    <n v="3"/>
    <n v="0.2"/>
    <n v="672"/>
    <n v="299.37"/>
    <s v="Furniture"/>
    <s v="Dec-2025"/>
    <x v="1"/>
  </r>
  <r>
    <s v="ORD-00142"/>
    <d v="2025-04-26T00:00:00"/>
    <s v="Customer 020"/>
    <s v="Wireless Mouse"/>
    <s v="Technology"/>
    <s v="West"/>
    <n v="4"/>
    <n v="0"/>
    <n v="140"/>
    <n v="33.08"/>
    <s v="Technology"/>
    <s v="Apr-2025"/>
    <x v="9"/>
  </r>
  <r>
    <s v="ORD-00143"/>
    <d v="2025-05-30T00:00:00"/>
    <s v="Customer 061"/>
    <s v="Printer"/>
    <s v="Office Supplies"/>
    <s v="South"/>
    <n v="3"/>
    <n v="0.15"/>
    <n v="612"/>
    <n v="106.82"/>
    <s v="Office Supplies"/>
    <s v="May-2025"/>
    <x v="7"/>
  </r>
  <r>
    <s v="ORD-00144"/>
    <d v="2025-08-22T00:00:00"/>
    <s v="Customer 077"/>
    <s v="Printer"/>
    <s v="Office Supplies"/>
    <s v="South"/>
    <n v="2"/>
    <n v="0.15"/>
    <n v="408"/>
    <n v="157.94"/>
    <s v="Office Supplies"/>
    <s v="Aug-2025"/>
    <x v="8"/>
  </r>
  <r>
    <s v="ORD-00145"/>
    <d v="2025-02-05T00:00:00"/>
    <s v="Customer 065"/>
    <s v="Smartphone X"/>
    <s v="Technology"/>
    <s v="East"/>
    <n v="4"/>
    <n v="0.1"/>
    <n v="3060"/>
    <n v="433.6"/>
    <s v="Technology"/>
    <s v="Feb-2025"/>
    <x v="2"/>
  </r>
  <r>
    <s v="ORD-00146"/>
    <d v="2025-01-02T00:00:00"/>
    <s v="Customer 085"/>
    <s v="Smartphone X"/>
    <s v="Technology"/>
    <s v="West"/>
    <n v="3"/>
    <n v="0.2"/>
    <n v="2040"/>
    <n v="527.6"/>
    <s v="Technology"/>
    <s v="Jan-2025"/>
    <x v="3"/>
  </r>
  <r>
    <s v="ORD-00147"/>
    <d v="2025-03-18T00:00:00"/>
    <s v="Customer 071"/>
    <s v="Notebook Pack"/>
    <s v="Office Supplies"/>
    <s v="West"/>
    <n v="5"/>
    <n v="0.15"/>
    <n v="76.5"/>
    <n v="25.71"/>
    <s v="Office Supplies"/>
    <s v="Mar-2025"/>
    <x v="6"/>
  </r>
  <r>
    <s v="ORD-00148"/>
    <d v="2025-08-22T00:00:00"/>
    <s v="Customer 030"/>
    <s v="Keyboard"/>
    <s v="Technology"/>
    <s v="West"/>
    <n v="2"/>
    <n v="0.05"/>
    <n v="133"/>
    <n v="34.75"/>
    <s v="Technology"/>
    <s v="Aug-2025"/>
    <x v="8"/>
  </r>
  <r>
    <s v="ORD-00149"/>
    <d v="2025-01-23T00:00:00"/>
    <s v="Customer 085"/>
    <s v="Keyboard"/>
    <s v="Technology"/>
    <s v="South"/>
    <n v="4"/>
    <n v="0.15"/>
    <n v="238"/>
    <n v="76.78"/>
    <s v="Technology"/>
    <s v="Jan-2025"/>
    <x v="3"/>
  </r>
  <r>
    <s v="ORD-00150"/>
    <d v="2025-09-11T00:00:00"/>
    <s v="Customer 043"/>
    <s v="Laptop Pro 15"/>
    <s v="Technology"/>
    <s v="North"/>
    <n v="2"/>
    <n v="0.2"/>
    <n v="1920"/>
    <n v="252.35"/>
    <s v="Technology"/>
    <s v="Sept-2025"/>
    <x v="10"/>
  </r>
  <r>
    <s v="ORD-00151"/>
    <d v="2025-08-14T00:00:00"/>
    <s v="Customer 019"/>
    <s v="Wireless Mouse"/>
    <s v="Technology"/>
    <s v="West"/>
    <n v="5"/>
    <n v="0.15"/>
    <n v="148.75"/>
    <n v="66.180000000000007"/>
    <s v="Technology"/>
    <s v="Aug-2025"/>
    <x v="8"/>
  </r>
  <r>
    <s v="ORD-00152"/>
    <d v="2025-12-02T00:00:00"/>
    <s v="Customer 034"/>
    <s v="Office Chair"/>
    <s v="Furniture"/>
    <s v="East"/>
    <n v="1"/>
    <n v="0.15"/>
    <n v="238"/>
    <n v="45.72"/>
    <s v="Furniture"/>
    <s v="Dec-2025"/>
    <x v="1"/>
  </r>
  <r>
    <s v="ORD-00153"/>
    <d v="2025-11-16T00:00:00"/>
    <s v="Customer 087"/>
    <s v="Coffee Table"/>
    <s v="Furniture"/>
    <s v="West"/>
    <n v="4"/>
    <n v="0"/>
    <n v="840"/>
    <n v="141.88999999999999"/>
    <s v="Furniture"/>
    <s v="Nov-2025"/>
    <x v="0"/>
  </r>
  <r>
    <s v="ORD-00154"/>
    <d v="2025-06-12T00:00:00"/>
    <s v="Customer 009"/>
    <s v="Monitor 24"/>
    <s v="Technology"/>
    <s v="South"/>
    <n v="4"/>
    <n v="0.2"/>
    <n v="1024"/>
    <n v="448.67"/>
    <s v="Technology"/>
    <s v="Jun-2025"/>
    <x v="11"/>
  </r>
  <r>
    <s v="ORD-00155"/>
    <d v="2025-11-20T00:00:00"/>
    <s v="Customer 056"/>
    <s v="Monitor 24"/>
    <s v="Technology"/>
    <s v="North"/>
    <n v="3"/>
    <n v="0.05"/>
    <n v="912"/>
    <n v="185.65"/>
    <s v="Technology"/>
    <s v="Nov-2025"/>
    <x v="0"/>
  </r>
  <r>
    <s v="ORD-00156"/>
    <d v="2025-11-21T00:00:00"/>
    <s v="Customer 039"/>
    <s v="Coffee Table"/>
    <s v="Furniture"/>
    <s v="North"/>
    <n v="1"/>
    <n v="0.15"/>
    <n v="178.5"/>
    <n v="70.53"/>
    <s v="Furniture"/>
    <s v="Nov-2025"/>
    <x v="0"/>
  </r>
  <r>
    <s v="ORD-00157"/>
    <d v="2025-01-24T00:00:00"/>
    <s v="Customer 056"/>
    <s v="Keyboard"/>
    <s v="Technology"/>
    <s v="South"/>
    <n v="1"/>
    <n v="0.1"/>
    <n v="63"/>
    <n v="20.9"/>
    <s v="Technology"/>
    <s v="Jan-2025"/>
    <x v="3"/>
  </r>
  <r>
    <s v="ORD-00158"/>
    <d v="2025-05-06T00:00:00"/>
    <s v="Customer 024"/>
    <s v="Printer"/>
    <s v="Office Supplies"/>
    <s v="South"/>
    <n v="4"/>
    <n v="0.2"/>
    <n v="768"/>
    <n v="172.8"/>
    <s v="Office Supplies"/>
    <s v="May-2025"/>
    <x v="7"/>
  </r>
  <r>
    <s v="ORD-00159"/>
    <d v="2025-03-31T00:00:00"/>
    <s v="Customer 031"/>
    <s v="Wireless Mouse"/>
    <s v="Technology"/>
    <s v="West"/>
    <n v="5"/>
    <n v="0.15"/>
    <n v="148.75"/>
    <n v="36.520000000000003"/>
    <s v="Technology"/>
    <s v="Mar-2025"/>
    <x v="6"/>
  </r>
  <r>
    <s v="ORD-00160"/>
    <d v="2025-10-26T00:00:00"/>
    <s v="Customer 059"/>
    <s v="Office Chair"/>
    <s v="Furniture"/>
    <s v="East"/>
    <n v="2"/>
    <n v="0.15"/>
    <n v="476"/>
    <n v="114"/>
    <s v="Furniture"/>
    <s v="Oct-2025"/>
    <x v="4"/>
  </r>
  <r>
    <s v="ORD-00161"/>
    <d v="2025-12-08T00:00:00"/>
    <s v="Customer 021"/>
    <s v="Laptop Pro 15"/>
    <s v="Technology"/>
    <s v="North"/>
    <n v="4"/>
    <n v="0.1"/>
    <n v="4320"/>
    <n v="978"/>
    <s v="Technology"/>
    <s v="Dec-2025"/>
    <x v="1"/>
  </r>
  <r>
    <s v="ORD-00162"/>
    <d v="2025-08-15T00:00:00"/>
    <s v="Customer 055"/>
    <s v="Keyboard"/>
    <s v="Technology"/>
    <s v="East"/>
    <n v="5"/>
    <n v="0.1"/>
    <n v="315"/>
    <n v="75.33"/>
    <s v="Technology"/>
    <s v="Aug-2025"/>
    <x v="8"/>
  </r>
  <r>
    <s v="ORD-00163"/>
    <d v="2025-08-22T00:00:00"/>
    <s v="Customer 014"/>
    <s v="Smartphone X"/>
    <s v="Technology"/>
    <s v="South"/>
    <n v="2"/>
    <n v="0.15"/>
    <n v="1445"/>
    <n v="243.34"/>
    <s v="Technology"/>
    <s v="Aug-2025"/>
    <x v="8"/>
  </r>
  <r>
    <s v="ORD-00164"/>
    <d v="2025-07-15T00:00:00"/>
    <s v="Customer 090"/>
    <s v="Desk Organizer"/>
    <s v="Office Supplies"/>
    <s v="East"/>
    <n v="3"/>
    <n v="0.2"/>
    <n v="60"/>
    <n v="21.14"/>
    <s v="Office Supplies"/>
    <s v="Jul-2025"/>
    <x v="5"/>
  </r>
  <r>
    <s v="ORD-00165"/>
    <d v="2025-01-12T00:00:00"/>
    <s v="Customer 088"/>
    <s v="Monitor 24"/>
    <s v="Technology"/>
    <s v="North"/>
    <n v="4"/>
    <n v="0.1"/>
    <n v="1152"/>
    <n v="515.32000000000005"/>
    <s v="Technology"/>
    <s v="Jan-2025"/>
    <x v="3"/>
  </r>
  <r>
    <s v="ORD-00166"/>
    <d v="2025-11-07T00:00:00"/>
    <s v="Customer 030"/>
    <s v="Coffee Table"/>
    <s v="Furniture"/>
    <s v="East"/>
    <n v="4"/>
    <n v="0.1"/>
    <n v="756"/>
    <n v="146.66999999999999"/>
    <s v="Furniture"/>
    <s v="Nov-2025"/>
    <x v="0"/>
  </r>
  <r>
    <s v="ORD-00167"/>
    <d v="2025-04-23T00:00:00"/>
    <s v="Customer 097"/>
    <s v="Monitor 24"/>
    <s v="Technology"/>
    <s v="South"/>
    <n v="2"/>
    <n v="0.2"/>
    <n v="512"/>
    <n v="188.05"/>
    <s v="Technology"/>
    <s v="Apr-2025"/>
    <x v="9"/>
  </r>
  <r>
    <s v="ORD-00168"/>
    <d v="2025-11-18T00:00:00"/>
    <s v="Customer 005"/>
    <s v="Wireless Mouse"/>
    <s v="Technology"/>
    <s v="East"/>
    <n v="1"/>
    <n v="0.1"/>
    <n v="31.5"/>
    <n v="5.98"/>
    <s v="Technology"/>
    <s v="Nov-2025"/>
    <x v="0"/>
  </r>
  <r>
    <s v="ORD-00169"/>
    <d v="2025-03-09T00:00:00"/>
    <s v="Customer 023"/>
    <s v="Wireless Mouse"/>
    <s v="Technology"/>
    <s v="South"/>
    <n v="3"/>
    <n v="0.1"/>
    <n v="94.5"/>
    <n v="19.21"/>
    <s v="Technology"/>
    <s v="Mar-2025"/>
    <x v="6"/>
  </r>
  <r>
    <s v="ORD-00170"/>
    <d v="2025-03-09T00:00:00"/>
    <s v="Customer 035"/>
    <s v="Printer"/>
    <s v="Office Supplies"/>
    <s v="South"/>
    <n v="3"/>
    <n v="0.2"/>
    <n v="576"/>
    <n v="163.82"/>
    <s v="Office Supplies"/>
    <s v="Mar-2025"/>
    <x v="6"/>
  </r>
  <r>
    <s v="ORD-00171"/>
    <d v="2025-05-12T00:00:00"/>
    <s v="Customer 060"/>
    <s v="Notebook Pack"/>
    <s v="Office Supplies"/>
    <s v="North"/>
    <n v="3"/>
    <n v="0.1"/>
    <n v="48.6"/>
    <n v="8.9700000000000006"/>
    <s v="Office Supplies"/>
    <s v="May-2025"/>
    <x v="7"/>
  </r>
  <r>
    <s v="ORD-00172"/>
    <d v="2025-03-14T00:00:00"/>
    <s v="Customer 051"/>
    <s v="Desk Lamp"/>
    <s v="Furniture"/>
    <s v="North"/>
    <n v="4"/>
    <n v="0.2"/>
    <n v="176"/>
    <n v="57.96"/>
    <s v="Furniture"/>
    <s v="Mar-2025"/>
    <x v="6"/>
  </r>
  <r>
    <s v="ORD-00173"/>
    <d v="2025-05-16T00:00:00"/>
    <s v="Customer 096"/>
    <s v="Printer"/>
    <s v="Office Supplies"/>
    <s v="East"/>
    <n v="1"/>
    <n v="0.15"/>
    <n v="204"/>
    <n v="66.989999999999995"/>
    <s v="Office Supplies"/>
    <s v="May-2025"/>
    <x v="7"/>
  </r>
  <r>
    <s v="ORD-00174"/>
    <d v="2025-10-27T00:00:00"/>
    <s v="Customer 061"/>
    <s v="Bookshelf"/>
    <s v="Furniture"/>
    <s v="North"/>
    <n v="3"/>
    <n v="0"/>
    <n v="570"/>
    <n v="129.56"/>
    <s v="Furniture"/>
    <s v="Oct-2025"/>
    <x v="4"/>
  </r>
  <r>
    <s v="ORD-00175"/>
    <d v="2025-11-14T00:00:00"/>
    <s v="Customer 009"/>
    <s v="Printer"/>
    <s v="Office Supplies"/>
    <s v="West"/>
    <n v="3"/>
    <n v="0.2"/>
    <n v="576"/>
    <n v="217.12"/>
    <s v="Office Supplies"/>
    <s v="Nov-2025"/>
    <x v="0"/>
  </r>
  <r>
    <s v="ORD-00176"/>
    <d v="2025-12-25T00:00:00"/>
    <s v="Customer 005"/>
    <s v="Smartphone X"/>
    <s v="Technology"/>
    <s v="East"/>
    <n v="4"/>
    <n v="0"/>
    <n v="3400"/>
    <n v="1373.17"/>
    <s v="Technology"/>
    <s v="Dec-2025"/>
    <x v="1"/>
  </r>
  <r>
    <s v="ORD-00177"/>
    <d v="2025-09-10T00:00:00"/>
    <s v="Customer 018"/>
    <s v="Wireless Mouse"/>
    <s v="Technology"/>
    <s v="West"/>
    <n v="1"/>
    <n v="0.05"/>
    <n v="33.25"/>
    <n v="5.23"/>
    <s v="Technology"/>
    <s v="Sept-2025"/>
    <x v="10"/>
  </r>
  <r>
    <s v="ORD-00178"/>
    <d v="2025-08-21T00:00:00"/>
    <s v="Customer 094"/>
    <s v="Keyboard"/>
    <s v="Technology"/>
    <s v="South"/>
    <n v="5"/>
    <n v="0.15"/>
    <n v="297.5"/>
    <n v="76.209999999999994"/>
    <s v="Technology"/>
    <s v="Aug-2025"/>
    <x v="8"/>
  </r>
  <r>
    <s v="ORD-00179"/>
    <d v="2025-08-01T00:00:00"/>
    <s v="Customer 036"/>
    <s v="Monitor 24"/>
    <s v="Technology"/>
    <s v="North"/>
    <n v="1"/>
    <n v="0.15"/>
    <n v="272"/>
    <n v="67.14"/>
    <s v="Technology"/>
    <s v="Aug-2025"/>
    <x v="8"/>
  </r>
  <r>
    <s v="ORD-00180"/>
    <d v="2025-12-20T00:00:00"/>
    <s v="Customer 031"/>
    <s v="Keyboard"/>
    <s v="Technology"/>
    <s v="East"/>
    <n v="2"/>
    <n v="0.15"/>
    <n v="119"/>
    <n v="36.090000000000003"/>
    <s v="Technology"/>
    <s v="Dec-2025"/>
    <x v="1"/>
  </r>
  <r>
    <s v="ORD-00181"/>
    <d v="2025-02-20T00:00:00"/>
    <s v="Customer 083"/>
    <s v="Monitor 24"/>
    <s v="Technology"/>
    <s v="East"/>
    <n v="3"/>
    <n v="0.2"/>
    <n v="768"/>
    <n v="117.07"/>
    <s v="Technology"/>
    <s v="Feb-2025"/>
    <x v="2"/>
  </r>
  <r>
    <s v="ORD-00182"/>
    <d v="2025-02-01T00:00:00"/>
    <s v="Customer 059"/>
    <s v="Bookshelf"/>
    <s v="Furniture"/>
    <s v="North"/>
    <n v="3"/>
    <n v="0.05"/>
    <n v="541.5"/>
    <n v="70.66"/>
    <s v="Furniture"/>
    <s v="Feb-2025"/>
    <x v="2"/>
  </r>
  <r>
    <s v="ORD-00183"/>
    <d v="2025-12-06T00:00:00"/>
    <s v="Customer 043"/>
    <s v="Desk Lamp"/>
    <s v="Furniture"/>
    <s v="South"/>
    <n v="5"/>
    <n v="0"/>
    <n v="275"/>
    <n v="119.16"/>
    <s v="Furniture"/>
    <s v="Dec-2025"/>
    <x v="1"/>
  </r>
  <r>
    <s v="ORD-00184"/>
    <d v="2025-03-06T00:00:00"/>
    <s v="Customer 071"/>
    <s v="Desk Organizer"/>
    <s v="Office Supplies"/>
    <s v="South"/>
    <n v="2"/>
    <n v="0"/>
    <n v="50"/>
    <n v="8.81"/>
    <s v="Office Supplies"/>
    <s v="Mar-2025"/>
    <x v="6"/>
  </r>
  <r>
    <s v="ORD-00185"/>
    <d v="2025-10-28T00:00:00"/>
    <s v="Customer 077"/>
    <s v="Desk Lamp"/>
    <s v="Furniture"/>
    <s v="North"/>
    <n v="2"/>
    <n v="0.1"/>
    <n v="99"/>
    <n v="19.25"/>
    <s v="Furniture"/>
    <s v="Oct-2025"/>
    <x v="4"/>
  </r>
  <r>
    <s v="ORD-00186"/>
    <d v="2025-05-22T00:00:00"/>
    <s v="Customer 023"/>
    <s v="Office Chair"/>
    <s v="Furniture"/>
    <s v="North"/>
    <n v="2"/>
    <n v="0.2"/>
    <n v="448"/>
    <n v="164.54"/>
    <s v="Furniture"/>
    <s v="May-2025"/>
    <x v="7"/>
  </r>
  <r>
    <s v="ORD-00187"/>
    <d v="2025-12-05T00:00:00"/>
    <s v="Customer 031"/>
    <s v="Laptop Pro 15"/>
    <s v="Technology"/>
    <s v="East"/>
    <n v="2"/>
    <n v="0"/>
    <n v="2400"/>
    <n v="796.27"/>
    <s v="Technology"/>
    <s v="Dec-2025"/>
    <x v="1"/>
  </r>
  <r>
    <s v="ORD-00188"/>
    <d v="2025-01-09T00:00:00"/>
    <s v="Customer 054"/>
    <s v="Office Chair"/>
    <s v="Furniture"/>
    <s v="North"/>
    <n v="3"/>
    <n v="0"/>
    <n v="840"/>
    <n v="342.86"/>
    <s v="Furniture"/>
    <s v="Jan-2025"/>
    <x v="3"/>
  </r>
  <r>
    <s v="ORD-00189"/>
    <d v="2025-02-02T00:00:00"/>
    <s v="Customer 014"/>
    <s v="Notebook Pack"/>
    <s v="Office Supplies"/>
    <s v="West"/>
    <n v="4"/>
    <n v="0.1"/>
    <n v="64.8"/>
    <n v="18.18"/>
    <s v="Office Supplies"/>
    <s v="Feb-2025"/>
    <x v="2"/>
  </r>
  <r>
    <s v="ORD-00190"/>
    <d v="2025-09-15T00:00:00"/>
    <s v="Customer 085"/>
    <s v="Desk Lamp"/>
    <s v="Furniture"/>
    <s v="East"/>
    <n v="5"/>
    <n v="0"/>
    <n v="275"/>
    <n v="57.75"/>
    <s v="Furniture"/>
    <s v="Sept-2025"/>
    <x v="10"/>
  </r>
  <r>
    <s v="ORD-00191"/>
    <d v="2025-08-23T00:00:00"/>
    <s v="Customer 052"/>
    <s v="Monitor 24"/>
    <s v="Technology"/>
    <s v="West"/>
    <n v="1"/>
    <n v="0"/>
    <n v="320"/>
    <n v="38.549999999999997"/>
    <s v="Technology"/>
    <s v="Aug-2025"/>
    <x v="8"/>
  </r>
  <r>
    <s v="ORD-00192"/>
    <d v="2025-12-18T00:00:00"/>
    <s v="Customer 011"/>
    <s v="Wireless Mouse"/>
    <s v="Technology"/>
    <s v="East"/>
    <n v="4"/>
    <n v="0.15"/>
    <n v="119"/>
    <n v="50.66"/>
    <s v="Technology"/>
    <s v="Dec-2025"/>
    <x v="1"/>
  </r>
  <r>
    <s v="ORD-00193"/>
    <d v="2025-11-08T00:00:00"/>
    <s v="Customer 082"/>
    <s v="Office Chair"/>
    <s v="Furniture"/>
    <s v="East"/>
    <n v="1"/>
    <n v="0.05"/>
    <n v="266"/>
    <n v="95.56"/>
    <s v="Furniture"/>
    <s v="Nov-2025"/>
    <x v="0"/>
  </r>
  <r>
    <s v="ORD-00194"/>
    <d v="2025-07-15T00:00:00"/>
    <s v="Customer 078"/>
    <s v="Desk Organizer"/>
    <s v="Office Supplies"/>
    <s v="West"/>
    <n v="5"/>
    <n v="0.1"/>
    <n v="112.5"/>
    <n v="33.78"/>
    <s v="Office Supplies"/>
    <s v="Jul-2025"/>
    <x v="5"/>
  </r>
  <r>
    <s v="ORD-00195"/>
    <d v="2025-02-20T00:00:00"/>
    <s v="Customer 028"/>
    <s v="Coffee Table"/>
    <s v="Furniture"/>
    <s v="West"/>
    <n v="1"/>
    <n v="0.2"/>
    <n v="168"/>
    <n v="35.64"/>
    <s v="Furniture"/>
    <s v="Feb-2025"/>
    <x v="2"/>
  </r>
  <r>
    <s v="ORD-00196"/>
    <d v="2025-08-20T00:00:00"/>
    <s v="Customer 052"/>
    <s v="Desk Lamp"/>
    <s v="Furniture"/>
    <s v="West"/>
    <n v="4"/>
    <n v="0.1"/>
    <n v="198"/>
    <n v="35.04"/>
    <s v="Furniture"/>
    <s v="Aug-2025"/>
    <x v="8"/>
  </r>
  <r>
    <s v="ORD-00197"/>
    <d v="2025-02-18T00:00:00"/>
    <s v="Customer 048"/>
    <s v="Keyboard"/>
    <s v="Technology"/>
    <s v="South"/>
    <n v="4"/>
    <n v="0.1"/>
    <n v="252"/>
    <n v="58.09"/>
    <s v="Technology"/>
    <s v="Feb-2025"/>
    <x v="2"/>
  </r>
  <r>
    <s v="ORD-00198"/>
    <d v="2025-12-18T00:00:00"/>
    <s v="Customer 012"/>
    <s v="Notebook Pack"/>
    <s v="Office Supplies"/>
    <s v="West"/>
    <n v="1"/>
    <n v="0"/>
    <n v="18"/>
    <n v="3.16"/>
    <s v="Office Supplies"/>
    <s v="Dec-2025"/>
    <x v="1"/>
  </r>
  <r>
    <s v="ORD-00199"/>
    <d v="2025-02-19T00:00:00"/>
    <s v="Customer 076"/>
    <s v="Coffee Table"/>
    <s v="Furniture"/>
    <s v="East"/>
    <n v="3"/>
    <n v="0.05"/>
    <n v="598.5"/>
    <n v="159.44"/>
    <s v="Furniture"/>
    <s v="Feb-2025"/>
    <x v="2"/>
  </r>
  <r>
    <s v="ORD-00200"/>
    <d v="2025-12-10T00:00:00"/>
    <s v="Customer 097"/>
    <s v="Wireless Mouse"/>
    <s v="Technology"/>
    <s v="West"/>
    <n v="4"/>
    <n v="0.1"/>
    <n v="126"/>
    <n v="20.38"/>
    <s v="Technology"/>
    <s v="Dec-2025"/>
    <x v="1"/>
  </r>
  <r>
    <s v="ORD-00201"/>
    <d v="2025-01-27T00:00:00"/>
    <s v="Customer 074"/>
    <s v="Smartphone X"/>
    <s v="Technology"/>
    <s v="South"/>
    <n v="5"/>
    <n v="0.1"/>
    <n v="3825"/>
    <n v="1277.3800000000001"/>
    <s v="Technology"/>
    <s v="Jan-2025"/>
    <x v="3"/>
  </r>
  <r>
    <s v="ORD-00202"/>
    <d v="2025-03-21T00:00:00"/>
    <s v="Customer 045"/>
    <s v="Monitor 24"/>
    <s v="Technology"/>
    <s v="East"/>
    <n v="4"/>
    <n v="0.05"/>
    <n v="1216"/>
    <n v="207.21"/>
    <s v="Technology"/>
    <s v="Mar-2025"/>
    <x v="6"/>
  </r>
  <r>
    <s v="ORD-00203"/>
    <d v="2025-02-28T00:00:00"/>
    <s v="Customer 072"/>
    <s v="Smartphone X"/>
    <s v="Technology"/>
    <s v="North"/>
    <n v="5"/>
    <n v="0.05"/>
    <n v="4037.5"/>
    <n v="741.35"/>
    <s v="Technology"/>
    <s v="Feb-2025"/>
    <x v="2"/>
  </r>
  <r>
    <s v="ORD-00204"/>
    <d v="2025-11-08T00:00:00"/>
    <s v="Customer 090"/>
    <s v="Monitor 24"/>
    <s v="Technology"/>
    <s v="East"/>
    <n v="3"/>
    <n v="0"/>
    <n v="960"/>
    <n v="374.84"/>
    <s v="Technology"/>
    <s v="Nov-2025"/>
    <x v="0"/>
  </r>
  <r>
    <s v="ORD-00205"/>
    <d v="2025-06-23T00:00:00"/>
    <s v="Customer 073"/>
    <s v="Keyboard"/>
    <s v="Technology"/>
    <s v="West"/>
    <n v="1"/>
    <n v="0.05"/>
    <n v="66.5"/>
    <n v="10.84"/>
    <s v="Technology"/>
    <s v="Jun-2025"/>
    <x v="11"/>
  </r>
  <r>
    <s v="ORD-00206"/>
    <d v="2025-02-05T00:00:00"/>
    <s v="Customer 028"/>
    <s v="Office Chair"/>
    <s v="Furniture"/>
    <s v="West"/>
    <n v="1"/>
    <n v="0"/>
    <n v="280"/>
    <n v="57.06"/>
    <s v="Furniture"/>
    <s v="Feb-2025"/>
    <x v="2"/>
  </r>
  <r>
    <s v="ORD-00207"/>
    <d v="2025-08-03T00:00:00"/>
    <s v="Customer 093"/>
    <s v="Notebook Pack"/>
    <s v="Office Supplies"/>
    <s v="East"/>
    <n v="3"/>
    <n v="0.05"/>
    <n v="51.3"/>
    <n v="16.82"/>
    <s v="Office Supplies"/>
    <s v="Aug-2025"/>
    <x v="8"/>
  </r>
  <r>
    <s v="ORD-00208"/>
    <d v="2025-10-18T00:00:00"/>
    <s v="Customer 097"/>
    <s v="Desk Organizer"/>
    <s v="Office Supplies"/>
    <s v="North"/>
    <n v="1"/>
    <n v="0"/>
    <n v="25"/>
    <n v="9.9700000000000006"/>
    <s v="Office Supplies"/>
    <s v="Oct-2025"/>
    <x v="4"/>
  </r>
  <r>
    <s v="ORD-00209"/>
    <d v="2025-12-12T00:00:00"/>
    <s v="Customer 063"/>
    <s v="Wireless Mouse"/>
    <s v="Technology"/>
    <s v="West"/>
    <n v="3"/>
    <n v="0.15"/>
    <n v="89.25"/>
    <n v="20.67"/>
    <s v="Technology"/>
    <s v="Dec-2025"/>
    <x v="1"/>
  </r>
  <r>
    <s v="ORD-00210"/>
    <d v="2025-08-01T00:00:00"/>
    <s v="Customer 056"/>
    <s v="Smartphone X"/>
    <s v="Technology"/>
    <s v="North"/>
    <n v="2"/>
    <n v="0.2"/>
    <n v="1360"/>
    <n v="560.91999999999996"/>
    <s v="Technology"/>
    <s v="Aug-2025"/>
    <x v="8"/>
  </r>
  <r>
    <s v="ORD-00211"/>
    <d v="2025-05-26T00:00:00"/>
    <s v="Customer 040"/>
    <s v="Monitor 24"/>
    <s v="Technology"/>
    <s v="North"/>
    <n v="5"/>
    <n v="0.15"/>
    <n v="1360"/>
    <n v="375.51"/>
    <s v="Technology"/>
    <s v="May-2025"/>
    <x v="7"/>
  </r>
  <r>
    <s v="ORD-00212"/>
    <d v="2025-04-23T00:00:00"/>
    <s v="Customer 039"/>
    <s v="Bookshelf"/>
    <s v="Furniture"/>
    <s v="South"/>
    <n v="5"/>
    <n v="0"/>
    <n v="950"/>
    <n v="425.09"/>
    <s v="Furniture"/>
    <s v="Apr-2025"/>
    <x v="9"/>
  </r>
  <r>
    <s v="ORD-00213"/>
    <d v="2025-03-12T00:00:00"/>
    <s v="Customer 064"/>
    <s v="Smartphone X"/>
    <s v="Technology"/>
    <s v="West"/>
    <n v="3"/>
    <n v="0.1"/>
    <n v="2295"/>
    <n v="941.88"/>
    <s v="Technology"/>
    <s v="Mar-2025"/>
    <x v="6"/>
  </r>
  <r>
    <s v="ORD-00214"/>
    <d v="2025-03-31T00:00:00"/>
    <s v="Customer 065"/>
    <s v="Office Chair"/>
    <s v="Furniture"/>
    <s v="East"/>
    <n v="4"/>
    <n v="0.2"/>
    <n v="896"/>
    <n v="195.14"/>
    <s v="Furniture"/>
    <s v="Mar-2025"/>
    <x v="6"/>
  </r>
  <r>
    <s v="ORD-00215"/>
    <d v="2025-02-06T00:00:00"/>
    <s v="Customer 010"/>
    <s v="Bookshelf"/>
    <s v="Furniture"/>
    <s v="East"/>
    <n v="1"/>
    <n v="0.15"/>
    <n v="161.5"/>
    <n v="71.680000000000007"/>
    <s v="Furniture"/>
    <s v="Feb-2025"/>
    <x v="2"/>
  </r>
  <r>
    <s v="ORD-00216"/>
    <d v="2025-10-22T00:00:00"/>
    <s v="Customer 054"/>
    <s v="Bookshelf"/>
    <s v="Furniture"/>
    <s v="East"/>
    <n v="5"/>
    <n v="0.15"/>
    <n v="807.5"/>
    <n v="174.31"/>
    <s v="Furniture"/>
    <s v="Oct-2025"/>
    <x v="4"/>
  </r>
  <r>
    <s v="ORD-00217"/>
    <d v="2025-02-28T00:00:00"/>
    <s v="Customer 080"/>
    <s v="Bookshelf"/>
    <s v="Furniture"/>
    <s v="West"/>
    <n v="1"/>
    <n v="0.1"/>
    <n v="171"/>
    <n v="67.25"/>
    <s v="Furniture"/>
    <s v="Feb-2025"/>
    <x v="2"/>
  </r>
  <r>
    <s v="ORD-00218"/>
    <d v="2025-12-20T00:00:00"/>
    <s v="Customer 032"/>
    <s v="Keyboard"/>
    <s v="Technology"/>
    <s v="West"/>
    <n v="1"/>
    <n v="0.15"/>
    <n v="59.5"/>
    <n v="10.19"/>
    <s v="Technology"/>
    <s v="Dec-2025"/>
    <x v="1"/>
  </r>
  <r>
    <s v="ORD-00219"/>
    <d v="2025-10-29T00:00:00"/>
    <s v="Customer 040"/>
    <s v="Bookshelf"/>
    <s v="Furniture"/>
    <s v="East"/>
    <n v="5"/>
    <n v="0"/>
    <n v="950"/>
    <n v="303.43"/>
    <s v="Furniture"/>
    <s v="Oct-2025"/>
    <x v="4"/>
  </r>
  <r>
    <s v="ORD-00220"/>
    <d v="2025-04-24T00:00:00"/>
    <s v="Customer 015"/>
    <s v="Keyboard"/>
    <s v="Technology"/>
    <s v="South"/>
    <n v="2"/>
    <n v="0"/>
    <n v="140"/>
    <n v="39.42"/>
    <s v="Technology"/>
    <s v="Apr-2025"/>
    <x v="9"/>
  </r>
  <r>
    <s v="ORD-00221"/>
    <d v="2025-06-28T00:00:00"/>
    <s v="Customer 033"/>
    <s v="Keyboard"/>
    <s v="Technology"/>
    <s v="South"/>
    <n v="2"/>
    <n v="0.05"/>
    <n v="133"/>
    <n v="55.34"/>
    <s v="Technology"/>
    <s v="Jun-2025"/>
    <x v="11"/>
  </r>
  <r>
    <s v="ORD-00222"/>
    <d v="2025-03-30T00:00:00"/>
    <s v="Customer 099"/>
    <s v="Desk Organizer"/>
    <s v="Office Supplies"/>
    <s v="West"/>
    <n v="2"/>
    <n v="0"/>
    <n v="50"/>
    <n v="19.579999999999998"/>
    <s v="Office Supplies"/>
    <s v="Mar-2025"/>
    <x v="6"/>
  </r>
  <r>
    <s v="ORD-00223"/>
    <d v="2025-08-26T00:00:00"/>
    <s v="Customer 073"/>
    <s v="Desk Organizer"/>
    <s v="Office Supplies"/>
    <s v="East"/>
    <n v="5"/>
    <n v="0.15"/>
    <n v="106.25"/>
    <n v="23.93"/>
    <s v="Office Supplies"/>
    <s v="Aug-2025"/>
    <x v="8"/>
  </r>
  <r>
    <s v="ORD-00224"/>
    <d v="2025-11-18T00:00:00"/>
    <s v="Customer 057"/>
    <s v="Keyboard"/>
    <s v="Technology"/>
    <s v="East"/>
    <n v="2"/>
    <n v="0.15"/>
    <n v="119"/>
    <n v="50.87"/>
    <s v="Technology"/>
    <s v="Nov-2025"/>
    <x v="0"/>
  </r>
  <r>
    <s v="ORD-00225"/>
    <d v="2025-05-21T00:00:00"/>
    <s v="Customer 040"/>
    <s v="Desk Organizer"/>
    <s v="Office Supplies"/>
    <s v="West"/>
    <n v="1"/>
    <n v="0.1"/>
    <n v="22.5"/>
    <n v="6.36"/>
    <s v="Office Supplies"/>
    <s v="May-2025"/>
    <x v="7"/>
  </r>
  <r>
    <s v="ORD-00226"/>
    <d v="2025-08-20T00:00:00"/>
    <s v="Customer 010"/>
    <s v="Laptop Pro 15"/>
    <s v="Technology"/>
    <s v="North"/>
    <n v="1"/>
    <n v="0.1"/>
    <n v="1080"/>
    <n v="189.58"/>
    <s v="Technology"/>
    <s v="Aug-2025"/>
    <x v="8"/>
  </r>
  <r>
    <s v="ORD-00227"/>
    <d v="2025-11-11T00:00:00"/>
    <s v="Customer 071"/>
    <s v="Desk Organizer"/>
    <s v="Office Supplies"/>
    <s v="North"/>
    <n v="5"/>
    <n v="0.15"/>
    <n v="106.25"/>
    <n v="31.59"/>
    <s v="Office Supplies"/>
    <s v="Nov-2025"/>
    <x v="0"/>
  </r>
  <r>
    <s v="ORD-00228"/>
    <d v="2025-08-19T00:00:00"/>
    <s v="Customer 065"/>
    <s v="Desk Organizer"/>
    <s v="Office Supplies"/>
    <s v="South"/>
    <n v="2"/>
    <n v="0.1"/>
    <n v="45"/>
    <n v="11.27"/>
    <s v="Office Supplies"/>
    <s v="Aug-2025"/>
    <x v="8"/>
  </r>
  <r>
    <s v="ORD-00229"/>
    <d v="2025-02-01T00:00:00"/>
    <s v="Customer 011"/>
    <s v="Notebook Pack"/>
    <s v="Office Supplies"/>
    <s v="South"/>
    <n v="1"/>
    <n v="0.1"/>
    <n v="16.2"/>
    <n v="2.04"/>
    <s v="Office Supplies"/>
    <s v="Feb-2025"/>
    <x v="2"/>
  </r>
  <r>
    <s v="ORD-00230"/>
    <d v="2025-01-21T00:00:00"/>
    <s v="Customer 079"/>
    <s v="Desk Lamp"/>
    <s v="Furniture"/>
    <s v="South"/>
    <n v="4"/>
    <n v="0.15"/>
    <n v="187"/>
    <n v="51.81"/>
    <s v="Furniture"/>
    <s v="Jan-2025"/>
    <x v="3"/>
  </r>
  <r>
    <s v="ORD-00231"/>
    <d v="2025-07-06T00:00:00"/>
    <s v="Customer 044"/>
    <s v="Keyboard"/>
    <s v="Technology"/>
    <s v="North"/>
    <n v="3"/>
    <n v="0.15"/>
    <n v="178.5"/>
    <n v="56.25"/>
    <s v="Technology"/>
    <s v="Jul-2025"/>
    <x v="5"/>
  </r>
  <r>
    <s v="ORD-00232"/>
    <d v="2025-11-20T00:00:00"/>
    <m/>
    <s v="Monitor 24"/>
    <s v="Technology"/>
    <s v="West"/>
    <n v="3"/>
    <n v="0"/>
    <n v="960"/>
    <n v="327.55"/>
    <s v="Technology"/>
    <s v="Nov-2025"/>
    <x v="0"/>
  </r>
  <r>
    <s v="ORD-00233"/>
    <d v="2025-05-26T00:00:00"/>
    <s v="Customer 075"/>
    <s v="Smartphone X"/>
    <s v="Technology"/>
    <s v="South"/>
    <n v="5"/>
    <n v="0.05"/>
    <n v="4037.5"/>
    <n v="1372.71"/>
    <s v="Technology"/>
    <s v="May-2025"/>
    <x v="7"/>
  </r>
  <r>
    <s v="ORD-00234"/>
    <d v="2025-06-29T00:00:00"/>
    <s v="Customer 011"/>
    <s v="Smartphone X"/>
    <s v="Technology"/>
    <s v="East"/>
    <n v="4"/>
    <n v="0.05"/>
    <n v="3230"/>
    <n v="819.25"/>
    <s v="Technology"/>
    <s v="Jun-2025"/>
    <x v="11"/>
  </r>
  <r>
    <s v="ORD-00235"/>
    <d v="2025-10-14T00:00:00"/>
    <s v="Customer 095"/>
    <s v="Bookshelf"/>
    <s v="Furniture"/>
    <s v="North"/>
    <n v="3"/>
    <n v="0.05"/>
    <n v="541.5"/>
    <n v="123.93"/>
    <s v="Furniture"/>
    <s v="Oct-2025"/>
    <x v="4"/>
  </r>
  <r>
    <s v="ORD-00236"/>
    <d v="2025-11-27T00:00:00"/>
    <s v="Customer 047"/>
    <s v="Monitor 24"/>
    <s v="Technology"/>
    <s v="East"/>
    <n v="4"/>
    <n v="0.2"/>
    <n v="1024"/>
    <n v="338.53"/>
    <s v="Technology"/>
    <s v="Nov-2025"/>
    <x v="0"/>
  </r>
  <r>
    <s v="ORD-00237"/>
    <d v="2025-04-03T00:00:00"/>
    <s v="Customer 018"/>
    <s v="Desk Lamp"/>
    <s v="Furniture"/>
    <s v="South"/>
    <n v="3"/>
    <n v="0.15"/>
    <n v="140.25"/>
    <n v="54.23"/>
    <s v="Furniture"/>
    <s v="Apr-2025"/>
    <x v="9"/>
  </r>
  <r>
    <s v="ORD-00238"/>
    <d v="2025-02-09T00:00:00"/>
    <s v="Customer 095"/>
    <s v="Smartphone X"/>
    <s v="Technology"/>
    <s v="North"/>
    <n v="1"/>
    <n v="0.2"/>
    <n v="680"/>
    <n v="133.02000000000001"/>
    <s v="Technology"/>
    <s v="Feb-2025"/>
    <x v="2"/>
  </r>
  <r>
    <s v="ORD-00239"/>
    <d v="2025-12-05T00:00:00"/>
    <s v="Customer 020"/>
    <s v="Keyboard"/>
    <s v="Technology"/>
    <s v="South"/>
    <n v="5"/>
    <n v="0.05"/>
    <n v="332.5"/>
    <n v="84.09"/>
    <s v="Technology"/>
    <s v="Dec-2025"/>
    <x v="1"/>
  </r>
  <r>
    <s v="ORD-00240"/>
    <d v="2025-04-03T00:00:00"/>
    <s v="Customer 006"/>
    <s v="Coffee Table"/>
    <s v="Furniture"/>
    <s v="West"/>
    <n v="5"/>
    <n v="0.05"/>
    <n v="997.5"/>
    <n v="211.48"/>
    <s v="Furniture"/>
    <s v="Apr-2025"/>
    <x v="9"/>
  </r>
  <r>
    <s v="ORD-00241"/>
    <d v="2025-07-06T00:00:00"/>
    <s v="Customer 097"/>
    <s v="Monitor 24"/>
    <s v="Technology"/>
    <s v="West"/>
    <n v="2"/>
    <n v="0.15"/>
    <n v="544"/>
    <n v="135.19"/>
    <s v="Technology"/>
    <s v="Jul-2025"/>
    <x v="5"/>
  </r>
  <r>
    <s v="ORD-00242"/>
    <d v="2025-04-30T00:00:00"/>
    <s v="Customer 061"/>
    <s v="Printer"/>
    <s v="Office Supplies"/>
    <s v="South"/>
    <n v="2"/>
    <n v="0.1"/>
    <n v="432"/>
    <n v="56.74"/>
    <s v="Office Supplies"/>
    <s v="Apr-2025"/>
    <x v="9"/>
  </r>
  <r>
    <s v="ORD-00243"/>
    <d v="2025-07-08T00:00:00"/>
    <s v="Customer 037"/>
    <s v="Monitor 24"/>
    <s v="Technology"/>
    <s v="West"/>
    <n v="5"/>
    <n v="0.15"/>
    <n v="1360"/>
    <n v="404.8"/>
    <s v="Technology"/>
    <s v="Jul-2025"/>
    <x v="5"/>
  </r>
  <r>
    <s v="ORD-00244"/>
    <d v="2025-09-15T00:00:00"/>
    <s v="Customer 078"/>
    <s v="Printer"/>
    <s v="Office Supplies"/>
    <s v="South"/>
    <n v="4"/>
    <n v="0.05"/>
    <n v="912"/>
    <n v="164.55"/>
    <s v="Office Supplies"/>
    <s v="Sept-2025"/>
    <x v="10"/>
  </r>
  <r>
    <s v="ORD-00245"/>
    <d v="2025-05-09T00:00:00"/>
    <s v="Customer 014"/>
    <s v="Laptop Pro 15"/>
    <s v="Technology"/>
    <s v="North"/>
    <n v="4"/>
    <n v="0.1"/>
    <n v="4320"/>
    <n v="1153.45"/>
    <s v="Technology"/>
    <s v="May-2025"/>
    <x v="7"/>
  </r>
  <r>
    <s v="ORD-00246"/>
    <d v="2025-05-26T00:00:00"/>
    <s v="Customer 066"/>
    <s v="Wireless Mouse"/>
    <s v="Technology"/>
    <s v="South"/>
    <n v="2"/>
    <n v="0.1"/>
    <n v="63"/>
    <n v="19.010000000000002"/>
    <s v="Technology"/>
    <s v="May-2025"/>
    <x v="7"/>
  </r>
  <r>
    <s v="ORD-00247"/>
    <d v="2025-08-12T00:00:00"/>
    <s v="Customer 004"/>
    <s v="Wireless Mouse"/>
    <s v="Technology"/>
    <s v="West"/>
    <n v="2"/>
    <n v="0.15"/>
    <n v="59.5"/>
    <n v="9.41"/>
    <s v="Technology"/>
    <s v="Aug-2025"/>
    <x v="8"/>
  </r>
  <r>
    <s v="ORD-00248"/>
    <d v="2025-01-28T00:00:00"/>
    <s v="Customer 011"/>
    <s v="Bookshelf"/>
    <s v="Furniture"/>
    <s v="East"/>
    <n v="5"/>
    <n v="0.1"/>
    <n v="855"/>
    <n v="318.23"/>
    <s v="Furniture"/>
    <s v="Jan-2025"/>
    <x v="3"/>
  </r>
  <r>
    <s v="ORD-00249"/>
    <d v="2025-04-25T00:00:00"/>
    <s v="Customer 084"/>
    <s v="Laptop Pro 15"/>
    <s v="Technology"/>
    <s v="East"/>
    <n v="3"/>
    <n v="0"/>
    <n v="3600"/>
    <n v="623.05999999999995"/>
    <s v="Technology"/>
    <s v="Apr-2025"/>
    <x v="9"/>
  </r>
  <r>
    <s v="ORD-00250"/>
    <d v="2025-03-16T00:00:00"/>
    <s v="Customer 061"/>
    <s v="Office Chair"/>
    <s v="Furniture"/>
    <s v="South"/>
    <n v="1"/>
    <n v="0.1"/>
    <n v="252"/>
    <n v="37.11"/>
    <s v="Furniture"/>
    <s v="Mar-2025"/>
    <x v="6"/>
  </r>
  <r>
    <s v="ORD-00251"/>
    <d v="2025-12-28T00:00:00"/>
    <s v="Customer 011"/>
    <s v="Notebook Pack"/>
    <s v="Office Supplies"/>
    <s v="North"/>
    <n v="4"/>
    <n v="0.2"/>
    <n v="57.6"/>
    <n v="25.82"/>
    <s v="Office Supplies"/>
    <s v="Dec-2025"/>
    <x v="1"/>
  </r>
  <r>
    <s v="ORD-00252"/>
    <d v="2025-05-12T00:00:00"/>
    <s v="Customer 078"/>
    <s v="Desk Lamp"/>
    <s v="Furniture"/>
    <s v="West"/>
    <n v="2"/>
    <n v="0.2"/>
    <n v="88"/>
    <n v="12.3"/>
    <s v="Furniture"/>
    <s v="May-2025"/>
    <x v="7"/>
  </r>
  <r>
    <s v="ORD-00253"/>
    <d v="2025-02-26T00:00:00"/>
    <s v="Customer 031"/>
    <s v="Smartphone X"/>
    <s v="Technology"/>
    <s v="West"/>
    <n v="2"/>
    <n v="0.1"/>
    <n v="1530"/>
    <n v="626.98"/>
    <s v="Technology"/>
    <s v="Feb-2025"/>
    <x v="2"/>
  </r>
  <r>
    <s v="ORD-00254"/>
    <d v="2025-11-24T00:00:00"/>
    <s v="Customer 064"/>
    <s v="Desk Organizer"/>
    <s v="Office Supplies"/>
    <s v="North"/>
    <n v="4"/>
    <n v="0"/>
    <n v="100"/>
    <n v="41.34"/>
    <s v="Office Supplies"/>
    <s v="Nov-2025"/>
    <x v="0"/>
  </r>
  <r>
    <s v="ORD-00255"/>
    <d v="2025-11-20T00:00:00"/>
    <s v="Customer 038"/>
    <s v="Printer"/>
    <s v="Office Supplies"/>
    <s v="West"/>
    <n v="5"/>
    <n v="0.05"/>
    <n v="1140"/>
    <n v="242.68"/>
    <s v="Office Supplies"/>
    <s v="Nov-2025"/>
    <x v="0"/>
  </r>
  <r>
    <s v="ORD-00256"/>
    <d v="2025-01-01T00:00:00"/>
    <s v="Customer 024"/>
    <s v="Desk Organizer"/>
    <s v="Office Supplies"/>
    <s v="North"/>
    <n v="3"/>
    <n v="0.05"/>
    <n v="71.25"/>
    <n v="18.64"/>
    <s v="Office Supplies"/>
    <s v="Jan-2025"/>
    <x v="3"/>
  </r>
  <r>
    <s v="ORD-00257"/>
    <d v="2025-09-26T00:00:00"/>
    <s v="Customer 065"/>
    <s v="Keyboard"/>
    <s v="Technology"/>
    <s v="North"/>
    <n v="1"/>
    <n v="0.2"/>
    <n v="56"/>
    <n v="15.15"/>
    <s v="Technology"/>
    <s v="Sept-2025"/>
    <x v="10"/>
  </r>
  <r>
    <s v="ORD-00258"/>
    <d v="2025-07-19T00:00:00"/>
    <s v="Customer 033"/>
    <s v="Notebook Pack"/>
    <s v="Office Supplies"/>
    <s v="North"/>
    <n v="1"/>
    <n v="0.15"/>
    <n v="15.3"/>
    <n v="1.93"/>
    <s v="Office Supplies"/>
    <s v="Jul-2025"/>
    <x v="5"/>
  </r>
  <r>
    <s v="ORD-00259"/>
    <d v="2025-07-02T00:00:00"/>
    <s v="Customer 081"/>
    <s v="Wireless Mouse"/>
    <s v="Technology"/>
    <s v="North"/>
    <n v="3"/>
    <n v="0.05"/>
    <n v="99.75"/>
    <n v="20.76"/>
    <s v="Technology"/>
    <s v="Jul-2025"/>
    <x v="5"/>
  </r>
  <r>
    <s v="ORD-00260"/>
    <d v="2025-10-25T00:00:00"/>
    <s v="Customer 070"/>
    <s v="Coffee Table"/>
    <s v="Furniture"/>
    <s v="East"/>
    <n v="3"/>
    <n v="0.05"/>
    <n v="598.5"/>
    <n v="260.57"/>
    <s v="Furniture"/>
    <s v="Oct-2025"/>
    <x v="4"/>
  </r>
  <r>
    <s v="ORD-00261"/>
    <d v="2025-11-26T00:00:00"/>
    <s v="Customer 018"/>
    <s v="Office Chair"/>
    <s v="Furniture"/>
    <s v="North"/>
    <n v="4"/>
    <n v="0.15"/>
    <n v="952"/>
    <n v="229.93"/>
    <s v="Furniture"/>
    <s v="Nov-2025"/>
    <x v="0"/>
  </r>
  <r>
    <s v="ORD-00262"/>
    <d v="2025-08-23T00:00:00"/>
    <s v="Customer 026"/>
    <s v="Laptop Pro 15"/>
    <s v="Technology"/>
    <s v="North"/>
    <n v="3"/>
    <n v="0.05"/>
    <n v="3420"/>
    <n v="1489.56"/>
    <s v="Technology"/>
    <s v="Aug-2025"/>
    <x v="8"/>
  </r>
  <r>
    <s v="ORD-00263"/>
    <d v="2025-06-11T00:00:00"/>
    <s v="Customer 070"/>
    <s v="Smartphone X"/>
    <s v="Technology"/>
    <s v="West"/>
    <n v="5"/>
    <n v="0.15"/>
    <n v="3612.5"/>
    <n v="446.47"/>
    <s v="Technology"/>
    <s v="Jun-2025"/>
    <x v="11"/>
  </r>
  <r>
    <s v="ORD-00264"/>
    <d v="2025-05-10T00:00:00"/>
    <s v="Customer 100"/>
    <s v="Laptop Pro 15"/>
    <s v="Technology"/>
    <s v="North"/>
    <n v="2"/>
    <n v="0.1"/>
    <n v="2160"/>
    <n v="717.55"/>
    <s v="Technology"/>
    <s v="May-2025"/>
    <x v="7"/>
  </r>
  <r>
    <s v="ORD-00265"/>
    <d v="2025-12-02T00:00:00"/>
    <s v="Customer 056"/>
    <s v="Keyboard"/>
    <s v="Technology"/>
    <s v="West"/>
    <n v="3"/>
    <n v="0"/>
    <n v="210"/>
    <n v="39.11"/>
    <s v="Technology"/>
    <s v="Dec-2025"/>
    <x v="1"/>
  </r>
  <r>
    <s v="ORD-00266"/>
    <d v="2025-08-14T00:00:00"/>
    <s v="Customer 064"/>
    <s v="Bookshelf"/>
    <s v="Furniture"/>
    <s v="East"/>
    <n v="3"/>
    <n v="0.05"/>
    <n v="541.5"/>
    <n v="155.01"/>
    <s v="Furniture"/>
    <s v="Aug-2025"/>
    <x v="8"/>
  </r>
  <r>
    <s v="ORD-00267"/>
    <d v="2025-09-23T00:00:00"/>
    <s v="Customer 078"/>
    <s v="Smartphone X"/>
    <s v="Technology"/>
    <s v="South"/>
    <n v="1"/>
    <n v="0.15"/>
    <n v="722.5"/>
    <n v="306.31"/>
    <s v="Technology"/>
    <s v="Sept-2025"/>
    <x v="10"/>
  </r>
  <r>
    <s v="ORD-00268"/>
    <d v="2025-10-07T00:00:00"/>
    <s v="Customer 085"/>
    <s v="Smartphone X"/>
    <s v="Technology"/>
    <s v="East"/>
    <n v="3"/>
    <n v="0"/>
    <n v="2550"/>
    <n v="1080.1199999999999"/>
    <s v="Technology"/>
    <s v="Oct-2025"/>
    <x v="4"/>
  </r>
  <r>
    <s v="ORD-00269"/>
    <d v="2025-06-06T00:00:00"/>
    <s v="Customer 057"/>
    <s v="Notebook Pack"/>
    <s v="Office Supplies"/>
    <s v="East"/>
    <n v="5"/>
    <n v="0.15"/>
    <n v="76.5"/>
    <n v="30.22"/>
    <s v="Office Supplies"/>
    <s v="Jun-2025"/>
    <x v="11"/>
  </r>
  <r>
    <s v="ORD-00270"/>
    <d v="2025-08-17T00:00:00"/>
    <s v="Customer 036"/>
    <s v="Laptop Pro 15"/>
    <s v="Technology"/>
    <s v="North"/>
    <n v="3"/>
    <n v="0.2"/>
    <n v="2880"/>
    <n v="347.36"/>
    <s v="Technology"/>
    <s v="Aug-2025"/>
    <x v="8"/>
  </r>
  <r>
    <s v="ORD-00271"/>
    <d v="2025-02-08T00:00:00"/>
    <s v="Customer 096"/>
    <s v="Monitor 24"/>
    <s v="Technology"/>
    <s v="South"/>
    <n v="4"/>
    <n v="0.1"/>
    <n v="1152"/>
    <n v="323.35000000000002"/>
    <s v="Technology"/>
    <s v="Feb-2025"/>
    <x v="2"/>
  </r>
  <r>
    <s v="ORD-00272"/>
    <d v="2025-01-16T00:00:00"/>
    <s v="Customer 009"/>
    <s v="Office Chair"/>
    <s v="Furniture"/>
    <s v="South"/>
    <n v="5"/>
    <n v="0.15"/>
    <n v="1190"/>
    <n v="521.83000000000004"/>
    <s v="Furniture"/>
    <s v="Jan-2025"/>
    <x v="3"/>
  </r>
  <r>
    <s v="ORD-00273"/>
    <d v="2025-11-27T00:00:00"/>
    <s v="Customer 005"/>
    <s v="Keyboard"/>
    <s v="Technology"/>
    <s v="South"/>
    <n v="3"/>
    <n v="0.15"/>
    <n v="178.5"/>
    <n v="24.4"/>
    <s v="Technology"/>
    <s v="Nov-2025"/>
    <x v="0"/>
  </r>
  <r>
    <s v="ORD-00274"/>
    <d v="2025-12-14T00:00:00"/>
    <s v="Customer 010"/>
    <s v="Notebook Pack"/>
    <s v="Office Supplies"/>
    <s v="South"/>
    <n v="3"/>
    <n v="0.1"/>
    <n v="48.6"/>
    <n v="14.75"/>
    <s v="Office Supplies"/>
    <s v="Dec-2025"/>
    <x v="1"/>
  </r>
  <r>
    <s v="ORD-00275"/>
    <d v="2025-09-29T00:00:00"/>
    <s v="Customer 032"/>
    <s v="Keyboard"/>
    <s v="Technology"/>
    <s v="North"/>
    <n v="4"/>
    <n v="0.1"/>
    <n v="252"/>
    <n v="59.38"/>
    <s v="Technology"/>
    <s v="Sept-2025"/>
    <x v="10"/>
  </r>
  <r>
    <s v="ORD-00276"/>
    <d v="2025-01-14T00:00:00"/>
    <s v="Customer 072"/>
    <s v="Coffee Table"/>
    <s v="Furniture"/>
    <s v="North"/>
    <n v="2"/>
    <n v="0.15"/>
    <n v="357"/>
    <n v="99.65"/>
    <s v="Furniture"/>
    <s v="Jan-2025"/>
    <x v="3"/>
  </r>
  <r>
    <s v="ORD-00277"/>
    <d v="2025-05-15T00:00:00"/>
    <s v="Customer 037"/>
    <s v="Smartphone X"/>
    <s v="Technology"/>
    <s v="West"/>
    <n v="4"/>
    <n v="0.05"/>
    <n v="3230"/>
    <n v="391.47"/>
    <s v="Technology"/>
    <s v="May-2025"/>
    <x v="7"/>
  </r>
  <r>
    <s v="ORD-00278"/>
    <d v="2025-04-13T00:00:00"/>
    <s v="Customer 092"/>
    <s v="Wireless Mouse"/>
    <s v="Technology"/>
    <s v="West"/>
    <n v="2"/>
    <n v="0"/>
    <n v="70"/>
    <n v="21.06"/>
    <s v="Technology"/>
    <s v="Apr-2025"/>
    <x v="9"/>
  </r>
  <r>
    <s v="ORD-00279"/>
    <d v="2025-02-14T00:00:00"/>
    <s v="Customer 071"/>
    <s v="Monitor 24"/>
    <s v="Technology"/>
    <s v="East"/>
    <n v="3"/>
    <n v="0.1"/>
    <n v="864"/>
    <n v="186.5"/>
    <s v="Technology"/>
    <s v="Feb-2025"/>
    <x v="2"/>
  </r>
  <r>
    <s v="ORD-00280"/>
    <d v="2025-06-03T00:00:00"/>
    <s v="Customer 016"/>
    <s v="Office Chair"/>
    <s v="Furniture"/>
    <s v="South"/>
    <n v="2"/>
    <n v="0.1"/>
    <n v="504"/>
    <n v="142.18"/>
    <s v="Furniture"/>
    <s v="Jun-2025"/>
    <x v="11"/>
  </r>
  <r>
    <s v="ORD-00281"/>
    <d v="2025-03-13T00:00:00"/>
    <s v="Customer 074"/>
    <s v="Desk Lamp"/>
    <s v="Furniture"/>
    <s v="East"/>
    <n v="4"/>
    <n v="0"/>
    <n v="220"/>
    <n v="72.8"/>
    <s v="Furniture"/>
    <s v="Mar-2025"/>
    <x v="6"/>
  </r>
  <r>
    <s v="ORD-00282"/>
    <d v="2025-08-28T00:00:00"/>
    <s v="Customer 009"/>
    <s v="Printer"/>
    <s v="Office Supplies"/>
    <s v="East"/>
    <n v="2"/>
    <n v="0.2"/>
    <n v="384"/>
    <n v="60.75"/>
    <s v="Office Supplies"/>
    <s v="Aug-2025"/>
    <x v="8"/>
  </r>
  <r>
    <s v="ORD-00283"/>
    <d v="2025-07-23T00:00:00"/>
    <s v="Customer 053"/>
    <s v="Coffee Table"/>
    <s v="Furniture"/>
    <s v="North"/>
    <n v="4"/>
    <n v="0.2"/>
    <n v="672"/>
    <n v="211.3"/>
    <s v="Furniture"/>
    <s v="Jul-2025"/>
    <x v="5"/>
  </r>
  <r>
    <s v="ORD-00284"/>
    <d v="2025-03-06T00:00:00"/>
    <s v="Customer 067"/>
    <s v="Keyboard"/>
    <s v="Technology"/>
    <s v="East"/>
    <n v="1"/>
    <n v="0.15"/>
    <n v="59.5"/>
    <n v="17.63"/>
    <s v="Technology"/>
    <s v="Mar-2025"/>
    <x v="6"/>
  </r>
  <r>
    <s v="ORD-00285"/>
    <d v="2025-03-07T00:00:00"/>
    <s v="Customer 017"/>
    <s v="Printer"/>
    <s v="Office Supplies"/>
    <s v="West"/>
    <n v="5"/>
    <n v="0.05"/>
    <n v="1140"/>
    <n v="224.16"/>
    <s v="Office Supplies"/>
    <s v="Mar-2025"/>
    <x v="6"/>
  </r>
  <r>
    <s v="ORD-00286"/>
    <d v="2025-09-15T00:00:00"/>
    <s v="Customer 022"/>
    <s v="Laptop Pro 15"/>
    <s v="Technology"/>
    <s v="South"/>
    <n v="1"/>
    <n v="0.2"/>
    <n v="960"/>
    <n v="383.52"/>
    <s v="Technology"/>
    <s v="Sept-2025"/>
    <x v="10"/>
  </r>
  <r>
    <s v="ORD-00287"/>
    <d v="2025-06-15T00:00:00"/>
    <s v="Customer 067"/>
    <s v="Coffee Table"/>
    <s v="Furniture"/>
    <s v="East"/>
    <n v="2"/>
    <n v="0.1"/>
    <n v="378"/>
    <n v="51.91"/>
    <s v="Furniture"/>
    <s v="Jun-2025"/>
    <x v="11"/>
  </r>
  <r>
    <s v="ORD-00288"/>
    <d v="2025-02-10T00:00:00"/>
    <s v="Customer 081"/>
    <s v="Smartphone X"/>
    <s v="Technology"/>
    <s v="East"/>
    <n v="2"/>
    <n v="0.2"/>
    <n v="1360"/>
    <n v="488.83"/>
    <s v="Technology"/>
    <s v="Feb-2025"/>
    <x v="2"/>
  </r>
  <r>
    <s v="ORD-00289"/>
    <d v="2025-11-11T00:00:00"/>
    <s v="Customer 076"/>
    <s v="Printer"/>
    <s v="Office Supplies"/>
    <s v="South"/>
    <n v="1"/>
    <n v="0.2"/>
    <n v="192"/>
    <n v="45.79"/>
    <s v="Office Supplies"/>
    <s v="Nov-2025"/>
    <x v="0"/>
  </r>
  <r>
    <s v="ORD-00290"/>
    <d v="2025-03-29T00:00:00"/>
    <s v="Customer 073"/>
    <s v="Monitor 24"/>
    <s v="Technology"/>
    <s v="North"/>
    <n v="5"/>
    <n v="0.2"/>
    <n v="1280"/>
    <n v="433.39"/>
    <s v="Technology"/>
    <s v="Mar-2025"/>
    <x v="6"/>
  </r>
  <r>
    <s v="ORD-00291"/>
    <d v="2025-01-15T00:00:00"/>
    <s v="Customer 027"/>
    <s v="Wireless Mouse"/>
    <s v="Technology"/>
    <s v="West"/>
    <n v="1"/>
    <n v="0.2"/>
    <n v="28"/>
    <n v="10.15"/>
    <s v="Technology"/>
    <s v="Jan-2025"/>
    <x v="3"/>
  </r>
  <r>
    <s v="ORD-00292"/>
    <d v="2025-11-13T00:00:00"/>
    <s v="Customer 070"/>
    <s v="Monitor 24"/>
    <s v="Technology"/>
    <s v="East"/>
    <n v="1"/>
    <n v="0.15"/>
    <n v="272"/>
    <n v="42.6"/>
    <s v="Technology"/>
    <s v="Nov-2025"/>
    <x v="0"/>
  </r>
  <r>
    <s v="ORD-00293"/>
    <d v="2025-11-25T00:00:00"/>
    <s v="Customer 088"/>
    <s v="Smartphone X"/>
    <s v="Technology"/>
    <s v="West"/>
    <n v="4"/>
    <n v="0.05"/>
    <n v="3230"/>
    <n v="595.78"/>
    <s v="Technology"/>
    <s v="Nov-2025"/>
    <x v="0"/>
  </r>
  <r>
    <s v="ORD-00294"/>
    <d v="2025-06-02T00:00:00"/>
    <s v="Customer 054"/>
    <s v="Notebook Pack"/>
    <s v="Office Supplies"/>
    <s v="West"/>
    <n v="1"/>
    <n v="0"/>
    <n v="18"/>
    <n v="7.16"/>
    <s v="Office Supplies"/>
    <s v="Jun-2025"/>
    <x v="11"/>
  </r>
  <r>
    <s v="ORD-00295"/>
    <d v="2025-08-26T00:00:00"/>
    <s v="Customer 092"/>
    <s v="Desk Lamp"/>
    <s v="Furniture"/>
    <s v="East"/>
    <n v="3"/>
    <n v="0.2"/>
    <n v="132"/>
    <n v="53.14"/>
    <s v="Furniture"/>
    <s v="Aug-2025"/>
    <x v="8"/>
  </r>
  <r>
    <s v="ORD-00296"/>
    <d v="2025-06-26T00:00:00"/>
    <s v="Customer 014"/>
    <s v="Bookshelf"/>
    <s v="Furniture"/>
    <s v="East"/>
    <n v="2"/>
    <n v="0.1"/>
    <n v="342"/>
    <n v="95.78"/>
    <s v="Furniture"/>
    <s v="Jun-2025"/>
    <x v="11"/>
  </r>
  <r>
    <s v="ORD-00297"/>
    <d v="2025-05-04T00:00:00"/>
    <s v="Customer 019"/>
    <s v="Notebook Pack"/>
    <s v="Office Supplies"/>
    <s v="North"/>
    <n v="1"/>
    <n v="0.1"/>
    <n v="16.2"/>
    <n v="4.8899999999999997"/>
    <s v="Office Supplies"/>
    <s v="May-2025"/>
    <x v="7"/>
  </r>
  <r>
    <s v="ORD-00298"/>
    <d v="2025-01-26T00:00:00"/>
    <s v="Customer 021"/>
    <s v="Smartphone X"/>
    <s v="Technology"/>
    <s v="East"/>
    <n v="4"/>
    <n v="0.2"/>
    <n v="2720"/>
    <n v="848.68"/>
    <s v="Technology"/>
    <s v="Jan-2025"/>
    <x v="3"/>
  </r>
  <r>
    <s v="ORD-00299"/>
    <d v="2025-10-23T00:00:00"/>
    <s v="Customer 064"/>
    <s v="Coffee Table"/>
    <s v="Furniture"/>
    <s v="West"/>
    <n v="3"/>
    <n v="0.05"/>
    <n v="598.5"/>
    <n v="118.6"/>
    <s v="Furniture"/>
    <s v="Oct-2025"/>
    <x v="4"/>
  </r>
  <r>
    <s v="ORD-00300"/>
    <d v="2025-09-13T00:00:00"/>
    <s v="Customer 051"/>
    <s v="Smartphone X"/>
    <s v="Technology"/>
    <s v="West"/>
    <n v="4"/>
    <n v="0"/>
    <n v="3400"/>
    <n v="1428.96"/>
    <s v="Technology"/>
    <s v="Sept-2025"/>
    <x v="10"/>
  </r>
  <r>
    <s v="ORD-00301"/>
    <d v="2025-05-04T00:00:00"/>
    <s v="Customer 037"/>
    <s v="Desk Lamp"/>
    <s v="Furniture"/>
    <s v="West"/>
    <n v="5"/>
    <n v="0.1"/>
    <n v="247.5"/>
    <n v="107.4"/>
    <s v="Furniture"/>
    <s v="May-2025"/>
    <x v="7"/>
  </r>
  <r>
    <s v="ORD-00302"/>
    <d v="2025-11-02T00:00:00"/>
    <s v="Customer 014"/>
    <s v="Monitor 24"/>
    <s v="Technology"/>
    <s v="West"/>
    <n v="4"/>
    <n v="0.1"/>
    <n v="1152"/>
    <n v="314.37"/>
    <s v="Technology"/>
    <s v="Nov-2025"/>
    <x v="0"/>
  </r>
  <r>
    <s v="ORD-00303"/>
    <d v="2025-03-10T00:00:00"/>
    <s v="Customer 052"/>
    <s v="Smartphone X"/>
    <s v="Technology"/>
    <s v="North"/>
    <n v="3"/>
    <n v="0.15"/>
    <n v="2167.5"/>
    <n v="713.63"/>
    <s v="Technology"/>
    <s v="Mar-2025"/>
    <x v="6"/>
  </r>
  <r>
    <s v="ORD-00304"/>
    <d v="2025-10-19T00:00:00"/>
    <s v="Customer 010"/>
    <s v="Printer"/>
    <s v="Office Supplies"/>
    <s v="West"/>
    <n v="2"/>
    <n v="0.1"/>
    <n v="432"/>
    <n v="115.53"/>
    <s v="Office Supplies"/>
    <s v="Oct-2025"/>
    <x v="4"/>
  </r>
  <r>
    <s v="ORD-00305"/>
    <d v="2025-09-16T00:00:00"/>
    <s v="Customer 080"/>
    <s v="Notebook Pack"/>
    <s v="Office Supplies"/>
    <s v="North"/>
    <n v="5"/>
    <n v="0.1"/>
    <n v="81"/>
    <n v="14.39"/>
    <s v="Office Supplies"/>
    <s v="Sept-2025"/>
    <x v="10"/>
  </r>
  <r>
    <s v="ORD-00306"/>
    <d v="2025-03-07T00:00:00"/>
    <s v="Customer 044"/>
    <s v="Wireless Mouse"/>
    <s v="Technology"/>
    <s v="East"/>
    <n v="4"/>
    <n v="0.1"/>
    <n v="126"/>
    <n v="23.65"/>
    <s v="Technology"/>
    <s v="Mar-2025"/>
    <x v="6"/>
  </r>
  <r>
    <s v="ORD-00307"/>
    <d v="2025-03-15T00:00:00"/>
    <s v="Customer 006"/>
    <s v="Desk Lamp"/>
    <s v="Furniture"/>
    <s v="North"/>
    <n v="5"/>
    <n v="0.2"/>
    <n v="220"/>
    <n v="69.86"/>
    <s v="Furniture"/>
    <s v="Mar-2025"/>
    <x v="6"/>
  </r>
  <r>
    <s v="ORD-00308"/>
    <d v="2025-01-20T00:00:00"/>
    <s v="Customer 020"/>
    <s v="Office Chair"/>
    <s v="Furniture"/>
    <s v="South"/>
    <n v="3"/>
    <n v="0.15"/>
    <n v="714"/>
    <n v="198.93"/>
    <s v="Furniture"/>
    <s v="Jan-2025"/>
    <x v="3"/>
  </r>
  <r>
    <s v="ORD-00309"/>
    <d v="2025-06-17T00:00:00"/>
    <s v="Customer 079"/>
    <s v="Desk Organizer"/>
    <s v="Office Supplies"/>
    <s v="East"/>
    <n v="3"/>
    <n v="0.05"/>
    <n v="71.25"/>
    <n v="22.82"/>
    <s v="Office Supplies"/>
    <s v="Jun-2025"/>
    <x v="11"/>
  </r>
  <r>
    <s v="ORD-00310"/>
    <d v="2025-10-31T00:00:00"/>
    <s v="Customer 091"/>
    <s v="Keyboard"/>
    <s v="Technology"/>
    <s v="East"/>
    <n v="5"/>
    <n v="0.2"/>
    <n v="280"/>
    <n v="76.81"/>
    <s v="Technology"/>
    <s v="Oct-2025"/>
    <x v="4"/>
  </r>
  <r>
    <s v="ORD-00311"/>
    <d v="2025-09-01T00:00:00"/>
    <s v="Customer 054"/>
    <s v="Laptop Pro 15"/>
    <s v="Technology"/>
    <s v="East"/>
    <n v="3"/>
    <n v="0.1"/>
    <n v="3240"/>
    <n v="737.57"/>
    <s v="Technology"/>
    <s v="Sept-2025"/>
    <x v="10"/>
  </r>
  <r>
    <s v="ORD-00312"/>
    <d v="2025-12-19T00:00:00"/>
    <s v="Customer 084"/>
    <s v="Monitor 24"/>
    <s v="Technology"/>
    <s v="South"/>
    <n v="1"/>
    <n v="0.2"/>
    <n v="256"/>
    <n v="75.11"/>
    <s v="Technology"/>
    <s v="Dec-2025"/>
    <x v="1"/>
  </r>
  <r>
    <s v="ORD-00313"/>
    <d v="2025-01-27T00:00:00"/>
    <s v="Customer 093"/>
    <s v="Desk Organizer"/>
    <s v="Office Supplies"/>
    <s v="West"/>
    <n v="4"/>
    <n v="0.05"/>
    <n v="95"/>
    <n v="26.32"/>
    <s v="Office Supplies"/>
    <s v="Jan-2025"/>
    <x v="3"/>
  </r>
  <r>
    <s v="ORD-00314"/>
    <d v="2025-03-17T00:00:00"/>
    <s v="Customer 090"/>
    <s v="Monitor 24"/>
    <s v="Technology"/>
    <s v="North"/>
    <n v="2"/>
    <n v="0"/>
    <n v="640"/>
    <n v="167.07"/>
    <s v="Technology"/>
    <s v="Mar-2025"/>
    <x v="6"/>
  </r>
  <r>
    <s v="ORD-00315"/>
    <d v="2025-04-08T00:00:00"/>
    <s v="Customer 053"/>
    <s v="Laptop Pro 15"/>
    <s v="Technology"/>
    <s v="South"/>
    <n v="4"/>
    <n v="0.1"/>
    <n v="4320"/>
    <n v="1346.99"/>
    <s v="Technology"/>
    <s v="Apr-2025"/>
    <x v="9"/>
  </r>
  <r>
    <s v="ORD-00316"/>
    <d v="2025-07-30T00:00:00"/>
    <s v="Customer 095"/>
    <s v="Printer"/>
    <s v="Office Supplies"/>
    <s v="North"/>
    <n v="5"/>
    <n v="0.15"/>
    <n v="1020"/>
    <n v="165.21"/>
    <s v="Office Supplies"/>
    <s v="Jul-2025"/>
    <x v="5"/>
  </r>
  <r>
    <s v="ORD-00317"/>
    <d v="2025-12-28T00:00:00"/>
    <s v="Customer 085"/>
    <s v="Office Chair"/>
    <s v="Furniture"/>
    <s v="West"/>
    <n v="5"/>
    <n v="0.05"/>
    <n v="1330"/>
    <n v="352.33"/>
    <s v="Furniture"/>
    <s v="Dec-2025"/>
    <x v="1"/>
  </r>
  <r>
    <s v="ORD-00318"/>
    <d v="2025-09-27T00:00:00"/>
    <s v="Customer 069"/>
    <s v="Bookshelf"/>
    <s v="Furniture"/>
    <s v="East"/>
    <n v="3"/>
    <n v="0.05"/>
    <n v="541.5"/>
    <n v="161.54"/>
    <s v="Furniture"/>
    <s v="Sept-2025"/>
    <x v="10"/>
  </r>
  <r>
    <s v="ORD-00319"/>
    <d v="2025-10-07T00:00:00"/>
    <s v="Customer 032"/>
    <s v="Keyboard"/>
    <s v="Technology"/>
    <s v="East"/>
    <n v="3"/>
    <n v="0.2"/>
    <n v="168"/>
    <n v="48.76"/>
    <s v="Technology"/>
    <s v="Oct-2025"/>
    <x v="4"/>
  </r>
  <r>
    <s v="ORD-00320"/>
    <d v="2025-10-13T00:00:00"/>
    <s v="Customer 091"/>
    <s v="Smartphone X"/>
    <s v="Technology"/>
    <s v="South"/>
    <n v="2"/>
    <n v="0.1"/>
    <n v="1530"/>
    <n v="299.13"/>
    <s v="Technology"/>
    <s v="Oct-2025"/>
    <x v="4"/>
  </r>
  <r>
    <s v="ORD-00321"/>
    <d v="2025-12-20T00:00:00"/>
    <s v="Customer 072"/>
    <s v="Coffee Table"/>
    <s v="Furniture"/>
    <s v="East"/>
    <n v="4"/>
    <n v="0.1"/>
    <n v="756"/>
    <n v="220.5"/>
    <s v="Furniture"/>
    <s v="Dec-2025"/>
    <x v="1"/>
  </r>
  <r>
    <s v="ORD-00322"/>
    <d v="2025-05-28T00:00:00"/>
    <s v="Customer 051"/>
    <s v="Wireless Mouse"/>
    <s v="Technology"/>
    <s v="East"/>
    <n v="5"/>
    <n v="0.2"/>
    <n v="140"/>
    <n v="45.46"/>
    <s v="Technology"/>
    <s v="May-2025"/>
    <x v="7"/>
  </r>
  <r>
    <s v="ORD-00323"/>
    <d v="2025-03-16T00:00:00"/>
    <s v="Customer 011"/>
    <s v="Smartphone X"/>
    <s v="Technology"/>
    <s v="East"/>
    <n v="1"/>
    <n v="0.1"/>
    <n v="765"/>
    <n v="103.08"/>
    <s v="Technology"/>
    <s v="Mar-2025"/>
    <x v="6"/>
  </r>
  <r>
    <s v="ORD-00324"/>
    <d v="2025-08-15T00:00:00"/>
    <s v="Customer 069"/>
    <s v="Monitor 24"/>
    <s v="Technology"/>
    <s v="East"/>
    <n v="3"/>
    <n v="0.15"/>
    <n v="816"/>
    <n v="309.58"/>
    <s v="Technology"/>
    <s v="Aug-2025"/>
    <x v="8"/>
  </r>
  <r>
    <s v="ORD-00325"/>
    <d v="2025-10-15T00:00:00"/>
    <s v="Customer 095"/>
    <s v="Coffee Table"/>
    <s v="Furniture"/>
    <s v="South"/>
    <n v="3"/>
    <n v="0.05"/>
    <n v="598.5"/>
    <n v="247.75"/>
    <s v="Furniture"/>
    <s v="Oct-2025"/>
    <x v="4"/>
  </r>
  <r>
    <s v="ORD-00326"/>
    <d v="2025-05-05T00:00:00"/>
    <s v="Customer 007"/>
    <s v="Laptop Pro 15"/>
    <s v="Technology"/>
    <s v="North"/>
    <n v="5"/>
    <n v="0.05"/>
    <n v="5700"/>
    <n v="1365.03"/>
    <s v="Technology"/>
    <s v="May-2025"/>
    <x v="7"/>
  </r>
  <r>
    <s v="ORD-00327"/>
    <d v="2025-07-31T00:00:00"/>
    <s v="Customer 018"/>
    <s v="Keyboard"/>
    <s v="Technology"/>
    <s v="North"/>
    <n v="4"/>
    <n v="0"/>
    <n v="280"/>
    <n v="63.06"/>
    <s v="Technology"/>
    <s v="Jul-2025"/>
    <x v="5"/>
  </r>
  <r>
    <s v="ORD-00328"/>
    <d v="2025-10-09T00:00:00"/>
    <s v="Customer 026"/>
    <s v="Office Chair"/>
    <s v="Furniture"/>
    <s v="East"/>
    <n v="4"/>
    <n v="0.15"/>
    <n v="952"/>
    <n v="278.39999999999998"/>
    <s v="Furniture"/>
    <s v="Oct-2025"/>
    <x v="4"/>
  </r>
  <r>
    <s v="ORD-00329"/>
    <d v="2025-06-14T00:00:00"/>
    <s v="Customer 030"/>
    <s v="Smartphone X"/>
    <s v="Technology"/>
    <s v="North"/>
    <n v="1"/>
    <n v="0"/>
    <n v="850"/>
    <n v="199.53"/>
    <s v="Technology"/>
    <s v="Jun-2025"/>
    <x v="11"/>
  </r>
  <r>
    <s v="ORD-00330"/>
    <d v="2025-03-31T00:00:00"/>
    <s v="Customer 051"/>
    <s v="Bookshelf"/>
    <s v="Furniture"/>
    <s v="West"/>
    <n v="2"/>
    <n v="0"/>
    <n v="380"/>
    <n v="45.95"/>
    <s v="Furniture"/>
    <s v="Mar-2025"/>
    <x v="6"/>
  </r>
  <r>
    <s v="ORD-00331"/>
    <d v="2025-04-06T00:00:00"/>
    <s v="Customer 073"/>
    <s v="Coffee Table"/>
    <s v="Furniture"/>
    <s v="North"/>
    <n v="3"/>
    <n v="0"/>
    <n v="630"/>
    <n v="281.57"/>
    <s v="Furniture"/>
    <s v="Apr-2025"/>
    <x v="9"/>
  </r>
  <r>
    <s v="ORD-00332"/>
    <d v="2025-06-21T00:00:00"/>
    <s v="Customer 018"/>
    <s v="Smartphone X"/>
    <s v="Technology"/>
    <s v="West"/>
    <n v="4"/>
    <n v="0.2"/>
    <n v="2720"/>
    <n v="753.37"/>
    <s v="Technology"/>
    <s v="Jun-2025"/>
    <x v="11"/>
  </r>
  <r>
    <s v="ORD-00333"/>
    <d v="2025-05-20T00:00:00"/>
    <s v="Customer 059"/>
    <s v="Desk Lamp"/>
    <s v="Furniture"/>
    <s v="East"/>
    <n v="1"/>
    <n v="0.1"/>
    <n v="49.5"/>
    <n v="19.62"/>
    <s v="Furniture"/>
    <s v="May-2025"/>
    <x v="7"/>
  </r>
  <r>
    <s v="ORD-00334"/>
    <d v="2025-04-06T00:00:00"/>
    <s v="Customer 097"/>
    <s v="Laptop Pro 15"/>
    <s v="Technology"/>
    <s v="South"/>
    <n v="3"/>
    <n v="0.1"/>
    <n v="3240"/>
    <n v="850.93"/>
    <s v="Technology"/>
    <s v="Apr-2025"/>
    <x v="9"/>
  </r>
  <r>
    <s v="ORD-00335"/>
    <d v="2025-03-31T00:00:00"/>
    <s v="Customer 012"/>
    <s v="Desk Organizer"/>
    <s v="Office Supplies"/>
    <s v="West"/>
    <n v="4"/>
    <n v="0.15"/>
    <n v="85"/>
    <n v="23.8"/>
    <s v="Office Supplies"/>
    <s v="Mar-2025"/>
    <x v="6"/>
  </r>
  <r>
    <s v="ORD-00336"/>
    <d v="2025-12-09T00:00:00"/>
    <s v="Customer 032"/>
    <s v="Wireless Mouse"/>
    <s v="Technology"/>
    <s v="North"/>
    <n v="2"/>
    <n v="0.05"/>
    <n v="66.5"/>
    <n v="19.45"/>
    <s v="Technology"/>
    <s v="Dec-2025"/>
    <x v="1"/>
  </r>
  <r>
    <s v="ORD-00337"/>
    <d v="2025-05-14T00:00:00"/>
    <s v="Customer 043"/>
    <s v="Bookshelf"/>
    <s v="Furniture"/>
    <s v="East"/>
    <n v="2"/>
    <n v="0.15"/>
    <n v="323"/>
    <n v="65.010000000000005"/>
    <s v="Furniture"/>
    <s v="May-2025"/>
    <x v="7"/>
  </r>
  <r>
    <s v="ORD-00338"/>
    <d v="2025-10-26T00:00:00"/>
    <s v="Customer 047"/>
    <s v="Coffee Table"/>
    <s v="Furniture"/>
    <s v="South"/>
    <n v="5"/>
    <n v="0"/>
    <n v="1050"/>
    <n v="381.87"/>
    <s v="Furniture"/>
    <s v="Oct-2025"/>
    <x v="4"/>
  </r>
  <r>
    <s v="ORD-00339"/>
    <d v="2025-02-01T00:00:00"/>
    <s v="Customer 052"/>
    <s v="Monitor 24"/>
    <s v="Technology"/>
    <s v="East"/>
    <n v="1"/>
    <n v="0.15"/>
    <n v="272"/>
    <n v="94.86"/>
    <s v="Technology"/>
    <s v="Feb-2025"/>
    <x v="2"/>
  </r>
  <r>
    <s v="ORD-00340"/>
    <d v="2025-12-20T00:00:00"/>
    <s v="Customer 029"/>
    <s v="Wireless Mouse"/>
    <s v="Technology"/>
    <s v="South"/>
    <n v="3"/>
    <n v="0.1"/>
    <n v="94.5"/>
    <n v="23.36"/>
    <s v="Technology"/>
    <s v="Dec-2025"/>
    <x v="1"/>
  </r>
  <r>
    <s v="ORD-00341"/>
    <d v="2025-09-02T00:00:00"/>
    <s v="Customer 090"/>
    <s v="Office Chair"/>
    <s v="Furniture"/>
    <s v="West"/>
    <n v="4"/>
    <n v="0.2"/>
    <n v="896"/>
    <n v="292.73"/>
    <s v="Furniture"/>
    <s v="Sept-2025"/>
    <x v="10"/>
  </r>
  <r>
    <s v="ORD-00342"/>
    <d v="2025-10-03T00:00:00"/>
    <s v="Customer 077"/>
    <s v="Monitor 24"/>
    <s v="Technology"/>
    <s v="North"/>
    <n v="2"/>
    <n v="0.05"/>
    <n v="608"/>
    <n v="137.1"/>
    <s v="Technology"/>
    <s v="Oct-2025"/>
    <x v="4"/>
  </r>
  <r>
    <s v="ORD-00343"/>
    <d v="2025-09-27T00:00:00"/>
    <s v="Customer 073"/>
    <s v="Notebook Pack"/>
    <s v="Office Supplies"/>
    <s v="North"/>
    <n v="5"/>
    <n v="0.1"/>
    <n v="81"/>
    <n v="34.36"/>
    <s v="Office Supplies"/>
    <s v="Sept-2025"/>
    <x v="10"/>
  </r>
  <r>
    <s v="ORD-00344"/>
    <d v="2025-02-01T00:00:00"/>
    <s v="Customer 020"/>
    <s v="Printer"/>
    <s v="Office Supplies"/>
    <s v="South"/>
    <n v="5"/>
    <n v="0.05"/>
    <n v="1140"/>
    <n v="297.55"/>
    <s v="Office Supplies"/>
    <s v="Feb-2025"/>
    <x v="2"/>
  </r>
  <r>
    <s v="ORD-00345"/>
    <d v="2025-06-17T00:00:00"/>
    <s v="Customer 092"/>
    <s v="Printer"/>
    <s v="Office Supplies"/>
    <s v="West"/>
    <n v="4"/>
    <n v="0"/>
    <n v="960"/>
    <n v="216.48"/>
    <s v="Office Supplies"/>
    <s v="Jun-2025"/>
    <x v="11"/>
  </r>
  <r>
    <s v="ORD-00346"/>
    <d v="2025-02-16T00:00:00"/>
    <s v="Customer 066"/>
    <s v="Printer"/>
    <s v="Office Supplies"/>
    <s v="West"/>
    <n v="4"/>
    <n v="0"/>
    <n v="960"/>
    <n v="288.35000000000002"/>
    <s v="Office Supplies"/>
    <s v="Feb-2025"/>
    <x v="2"/>
  </r>
  <r>
    <s v="ORD-00347"/>
    <d v="2025-08-22T00:00:00"/>
    <s v="Customer 040"/>
    <s v="Desk Organizer"/>
    <s v="Office Supplies"/>
    <s v="North"/>
    <n v="1"/>
    <n v="0.2"/>
    <n v="20"/>
    <n v="5.95"/>
    <s v="Office Supplies"/>
    <s v="Aug-2025"/>
    <x v="8"/>
  </r>
  <r>
    <s v="ORD-00348"/>
    <d v="2025-07-22T00:00:00"/>
    <s v="Customer 006"/>
    <s v="Smartphone X"/>
    <s v="Technology"/>
    <s v="West"/>
    <n v="1"/>
    <n v="0.05"/>
    <n v="807.5"/>
    <n v="209.27"/>
    <s v="Technology"/>
    <s v="Jul-2025"/>
    <x v="5"/>
  </r>
  <r>
    <s v="ORD-00349"/>
    <d v="2025-06-26T00:00:00"/>
    <s v="Customer 009"/>
    <s v="Coffee Table"/>
    <s v="Furniture"/>
    <s v="West"/>
    <n v="1"/>
    <n v="0.2"/>
    <n v="168"/>
    <n v="20.49"/>
    <s v="Furniture"/>
    <s v="Jun-2025"/>
    <x v="11"/>
  </r>
  <r>
    <s v="ORD-00350"/>
    <d v="2025-01-17T00:00:00"/>
    <s v="Customer 099"/>
    <s v="Smartphone X"/>
    <s v="Technology"/>
    <s v="West"/>
    <n v="4"/>
    <n v="0.05"/>
    <n v="3230"/>
    <n v="633.85"/>
    <s v="Technology"/>
    <s v="Jan-2025"/>
    <x v="3"/>
  </r>
  <r>
    <s v="ORD-00351"/>
    <d v="2025-07-11T00:00:00"/>
    <s v="Customer 088"/>
    <s v="Bookshelf"/>
    <s v="Furniture"/>
    <s v="South"/>
    <n v="4"/>
    <n v="0.15"/>
    <n v="646"/>
    <n v="210.62"/>
    <s v="Furniture"/>
    <s v="Jul-2025"/>
    <x v="5"/>
  </r>
  <r>
    <s v="ORD-00352"/>
    <d v="2025-12-01T00:00:00"/>
    <s v="Customer 051"/>
    <s v="Keyboard"/>
    <s v="Technology"/>
    <s v="South"/>
    <n v="1"/>
    <n v="0.05"/>
    <n v="66.5"/>
    <n v="8.14"/>
    <s v="Technology"/>
    <s v="Dec-2025"/>
    <x v="1"/>
  </r>
  <r>
    <s v="ORD-00353"/>
    <d v="2025-04-25T00:00:00"/>
    <s v="Customer 093"/>
    <s v="Laptop Pro 15"/>
    <s v="Technology"/>
    <s v="West"/>
    <n v="1"/>
    <n v="0.1"/>
    <n v="1080"/>
    <n v="320.99"/>
    <s v="Technology"/>
    <s v="Apr-2025"/>
    <x v="9"/>
  </r>
  <r>
    <s v="ORD-00354"/>
    <d v="2025-09-30T00:00:00"/>
    <s v="Customer 020"/>
    <s v="Bookshelf"/>
    <s v="Furniture"/>
    <s v="East"/>
    <n v="2"/>
    <n v="0.05"/>
    <n v="361"/>
    <n v="107.58"/>
    <s v="Furniture"/>
    <s v="Sept-2025"/>
    <x v="10"/>
  </r>
  <r>
    <s v="ORD-00355"/>
    <d v="2025-04-07T00:00:00"/>
    <s v="Customer 054"/>
    <s v="Coffee Table"/>
    <s v="Furniture"/>
    <s v="North"/>
    <n v="1"/>
    <n v="0"/>
    <n v="210"/>
    <n v="38.4"/>
    <s v="Furniture"/>
    <s v="Apr-2025"/>
    <x v="9"/>
  </r>
  <r>
    <s v="ORD-00356"/>
    <d v="2025-05-04T00:00:00"/>
    <s v="Customer 058"/>
    <s v="Desk Lamp"/>
    <s v="Furniture"/>
    <s v="North"/>
    <n v="1"/>
    <n v="0"/>
    <n v="55"/>
    <n v="13.97"/>
    <s v="Furniture"/>
    <s v="May-2025"/>
    <x v="7"/>
  </r>
  <r>
    <s v="ORD-00357"/>
    <d v="2025-05-06T00:00:00"/>
    <s v="Customer 070"/>
    <s v="Coffee Table"/>
    <s v="Furniture"/>
    <s v="South"/>
    <n v="1"/>
    <n v="0.15"/>
    <n v="178.5"/>
    <n v="54.47"/>
    <s v="Furniture"/>
    <s v="May-2025"/>
    <x v="7"/>
  </r>
  <r>
    <s v="ORD-00358"/>
    <d v="2025-01-29T00:00:00"/>
    <s v="Customer 094"/>
    <s v="Office Chair"/>
    <s v="Furniture"/>
    <s v="East"/>
    <n v="5"/>
    <n v="0.1"/>
    <n v="1260"/>
    <n v="469.64"/>
    <s v="Furniture"/>
    <s v="Jan-2025"/>
    <x v="3"/>
  </r>
  <r>
    <s v="ORD-00359"/>
    <d v="2025-10-23T00:00:00"/>
    <s v="Customer 019"/>
    <s v="Desk Organizer"/>
    <s v="Office Supplies"/>
    <s v="South"/>
    <n v="3"/>
    <n v="0.05"/>
    <n v="71.25"/>
    <n v="24.97"/>
    <s v="Office Supplies"/>
    <s v="Oct-2025"/>
    <x v="4"/>
  </r>
  <r>
    <s v="ORD-00360"/>
    <d v="2025-07-31T00:00:00"/>
    <s v="Customer 076"/>
    <s v="Smartphone X"/>
    <s v="Technology"/>
    <s v="South"/>
    <n v="3"/>
    <n v="0"/>
    <n v="2550"/>
    <n v="679.02"/>
    <s v="Technology"/>
    <s v="Jul-2025"/>
    <x v="5"/>
  </r>
  <r>
    <s v="ORD-00361"/>
    <d v="2025-11-17T00:00:00"/>
    <s v="Customer 045"/>
    <s v="Monitor 24"/>
    <s v="Technology"/>
    <s v="West"/>
    <n v="4"/>
    <n v="0.2"/>
    <n v="1024"/>
    <n v="293.32"/>
    <s v="Technology"/>
    <s v="Nov-2025"/>
    <x v="0"/>
  </r>
  <r>
    <s v="ORD-00362"/>
    <d v="2025-09-26T00:00:00"/>
    <s v="Customer 049"/>
    <s v="Keyboard"/>
    <s v="Technology"/>
    <s v="South"/>
    <n v="4"/>
    <n v="0.15"/>
    <n v="238"/>
    <n v="95.38"/>
    <s v="Technology"/>
    <s v="Sept-2025"/>
    <x v="10"/>
  </r>
  <r>
    <s v="ORD-00363"/>
    <d v="2025-10-03T00:00:00"/>
    <s v="Customer 091"/>
    <s v="Notebook Pack"/>
    <s v="Office Supplies"/>
    <s v="South"/>
    <n v="2"/>
    <n v="0.05"/>
    <n v="34.200000000000003"/>
    <n v="12"/>
    <s v="Office Supplies"/>
    <s v="Oct-2025"/>
    <x v="4"/>
  </r>
  <r>
    <s v="ORD-00364"/>
    <d v="2025-08-26T00:00:00"/>
    <s v="Customer 072"/>
    <s v="Laptop Pro 15"/>
    <s v="Technology"/>
    <s v="South"/>
    <n v="5"/>
    <n v="0.15"/>
    <n v="5100"/>
    <n v="666.22"/>
    <s v="Technology"/>
    <s v="Aug-2025"/>
    <x v="8"/>
  </r>
  <r>
    <s v="ORD-00365"/>
    <d v="2025-07-18T00:00:00"/>
    <s v="Customer 011"/>
    <s v="Desk Lamp"/>
    <s v="Furniture"/>
    <s v="West"/>
    <n v="3"/>
    <n v="0.05"/>
    <n v="156.75"/>
    <n v="53.45"/>
    <s v="Furniture"/>
    <s v="Jul-2025"/>
    <x v="5"/>
  </r>
  <r>
    <s v="ORD-00366"/>
    <d v="2025-07-09T00:00:00"/>
    <s v="Customer 049"/>
    <s v="Wireless Mouse"/>
    <s v="Technology"/>
    <s v="North"/>
    <n v="5"/>
    <n v="0.05"/>
    <n v="166.25"/>
    <n v="71.989999999999995"/>
    <s v="Technology"/>
    <s v="Jul-2025"/>
    <x v="5"/>
  </r>
  <r>
    <s v="ORD-00367"/>
    <d v="2025-02-07T00:00:00"/>
    <s v="Customer 027"/>
    <s v="Desk Lamp"/>
    <s v="Furniture"/>
    <s v="East"/>
    <n v="5"/>
    <n v="0.2"/>
    <n v="220"/>
    <n v="83.24"/>
    <s v="Furniture"/>
    <s v="Feb-2025"/>
    <x v="2"/>
  </r>
  <r>
    <s v="ORD-00368"/>
    <d v="2025-06-05T00:00:00"/>
    <s v="Customer 016"/>
    <s v="Laptop Pro 15"/>
    <s v="Technology"/>
    <s v="West"/>
    <n v="2"/>
    <n v="0.05"/>
    <n v="2280"/>
    <n v="302.13"/>
    <s v="Technology"/>
    <s v="Jun-2025"/>
    <x v="11"/>
  </r>
  <r>
    <s v="ORD-00369"/>
    <d v="2025-05-05T00:00:00"/>
    <s v="Customer 031"/>
    <s v="Coffee Table"/>
    <s v="Furniture"/>
    <s v="East"/>
    <n v="5"/>
    <n v="0.05"/>
    <n v="997.5"/>
    <n v="318.31"/>
    <s v="Furniture"/>
    <s v="May-2025"/>
    <x v="7"/>
  </r>
  <r>
    <s v="ORD-00370"/>
    <d v="2025-05-25T00:00:00"/>
    <s v="Customer 040"/>
    <s v="Bookshelf"/>
    <s v="Furniture"/>
    <s v="East"/>
    <n v="4"/>
    <n v="0.2"/>
    <n v="608"/>
    <n v="143.44"/>
    <s v="Furniture"/>
    <s v="May-2025"/>
    <x v="7"/>
  </r>
  <r>
    <s v="ORD-00371"/>
    <d v="2025-07-04T00:00:00"/>
    <s v="Customer 093"/>
    <s v="Printer"/>
    <s v="Office Supplies"/>
    <s v="West"/>
    <n v="4"/>
    <n v="0.15"/>
    <n v="816"/>
    <n v="340.65"/>
    <s v="Office Supplies"/>
    <s v="Jul-2025"/>
    <x v="5"/>
  </r>
  <r>
    <s v="ORD-00372"/>
    <d v="2025-06-13T00:00:00"/>
    <s v="Customer 073"/>
    <s v="Desk Lamp"/>
    <s v="Furniture"/>
    <s v="South"/>
    <n v="3"/>
    <n v="0.1"/>
    <n v="148.5"/>
    <n v="46.54"/>
    <s v="Furniture"/>
    <s v="Jun-2025"/>
    <x v="11"/>
  </r>
  <r>
    <s v="ORD-00373"/>
    <d v="2025-03-16T00:00:00"/>
    <s v="Customer 075"/>
    <s v="Laptop Pro 15"/>
    <s v="Technology"/>
    <s v="West"/>
    <n v="3"/>
    <n v="0.2"/>
    <n v="2880"/>
    <n v="407.61"/>
    <s v="Technology"/>
    <s v="Mar-2025"/>
    <x v="6"/>
  </r>
  <r>
    <s v="ORD-00374"/>
    <d v="2025-06-01T00:00:00"/>
    <s v="Customer 073"/>
    <s v="Office Chair"/>
    <s v="Furniture"/>
    <s v="South"/>
    <n v="2"/>
    <n v="0.1"/>
    <n v="504"/>
    <n v="188.54"/>
    <s v="Furniture"/>
    <s v="Jun-2025"/>
    <x v="11"/>
  </r>
  <r>
    <s v="ORD-00375"/>
    <d v="2025-09-13T00:00:00"/>
    <s v="Customer 063"/>
    <s v="Printer"/>
    <s v="Office Supplies"/>
    <s v="West"/>
    <n v="3"/>
    <n v="0.1"/>
    <n v="648"/>
    <n v="128.36000000000001"/>
    <s v="Office Supplies"/>
    <s v="Sept-2025"/>
    <x v="10"/>
  </r>
  <r>
    <s v="ORD-00376"/>
    <d v="2025-08-24T00:00:00"/>
    <s v="Customer 070"/>
    <s v="Office Chair"/>
    <s v="Furniture"/>
    <s v="West"/>
    <n v="3"/>
    <n v="0.05"/>
    <n v="798"/>
    <n v="322.24"/>
    <s v="Furniture"/>
    <s v="Aug-2025"/>
    <x v="8"/>
  </r>
  <r>
    <s v="ORD-00377"/>
    <d v="2025-04-05T00:00:00"/>
    <s v="Customer 010"/>
    <s v="Printer"/>
    <s v="Office Supplies"/>
    <s v="North"/>
    <n v="1"/>
    <n v="0.2"/>
    <n v="192"/>
    <n v="84.26"/>
    <s v="Office Supplies"/>
    <s v="Apr-2025"/>
    <x v="9"/>
  </r>
  <r>
    <s v="ORD-00378"/>
    <d v="2025-01-04T00:00:00"/>
    <s v="Customer 020"/>
    <s v="Bookshelf"/>
    <s v="Furniture"/>
    <s v="North"/>
    <n v="2"/>
    <n v="0.05"/>
    <n v="361"/>
    <n v="154.35"/>
    <s v="Furniture"/>
    <s v="Jan-2025"/>
    <x v="3"/>
  </r>
  <r>
    <s v="ORD-00379"/>
    <d v="2025-04-22T00:00:00"/>
    <s v="Customer 082"/>
    <s v="Printer"/>
    <s v="Office Supplies"/>
    <s v="West"/>
    <n v="4"/>
    <n v="0.1"/>
    <n v="864"/>
    <n v="371.56"/>
    <s v="Office Supplies"/>
    <s v="Apr-2025"/>
    <x v="9"/>
  </r>
  <r>
    <s v="ORD-00380"/>
    <d v="2025-12-04T00:00:00"/>
    <s v="Customer 053"/>
    <s v="Notebook Pack"/>
    <s v="Office Supplies"/>
    <s v="North"/>
    <n v="1"/>
    <n v="0"/>
    <n v="18"/>
    <n v="4.9400000000000004"/>
    <s v="Office Supplies"/>
    <s v="Dec-2025"/>
    <x v="1"/>
  </r>
  <r>
    <s v="ORD-00381"/>
    <d v="2025-01-09T00:00:00"/>
    <s v="Customer 003"/>
    <s v="Printer"/>
    <s v="Office Supplies"/>
    <s v="West"/>
    <n v="3"/>
    <n v="0.2"/>
    <n v="576"/>
    <n v="73.400000000000006"/>
    <s v="Office Supplies"/>
    <s v="Jan-2025"/>
    <x v="3"/>
  </r>
  <r>
    <s v="ORD-00382"/>
    <d v="2025-04-02T00:00:00"/>
    <s v="Customer 025"/>
    <s v="Wireless Mouse"/>
    <s v="Technology"/>
    <s v="East"/>
    <n v="1"/>
    <n v="0.2"/>
    <n v="28"/>
    <n v="11.22"/>
    <s v="Technology"/>
    <s v="Apr-2025"/>
    <x v="9"/>
  </r>
  <r>
    <s v="ORD-00383"/>
    <d v="2025-07-01T00:00:00"/>
    <s v="Customer 052"/>
    <s v="Smartphone X"/>
    <s v="Technology"/>
    <s v="West"/>
    <n v="4"/>
    <n v="0"/>
    <n v="3400"/>
    <n v="1111.44"/>
    <s v="Technology"/>
    <s v="Jul-2025"/>
    <x v="5"/>
  </r>
  <r>
    <s v="ORD-00384"/>
    <d v="2025-10-17T00:00:00"/>
    <s v="Customer 011"/>
    <s v="Desk Lamp"/>
    <s v="Furniture"/>
    <s v="North"/>
    <n v="2"/>
    <n v="0.1"/>
    <n v="99"/>
    <n v="22.2"/>
    <s v="Furniture"/>
    <s v="Oct-2025"/>
    <x v="4"/>
  </r>
  <r>
    <s v="ORD-00385"/>
    <d v="2025-02-17T00:00:00"/>
    <s v="Customer 008"/>
    <s v="Bookshelf"/>
    <s v="Furniture"/>
    <s v="North"/>
    <n v="4"/>
    <n v="0.15"/>
    <n v="646"/>
    <n v="172.88"/>
    <s v="Furniture"/>
    <s v="Feb-2025"/>
    <x v="2"/>
  </r>
  <r>
    <s v="ORD-00386"/>
    <d v="2025-12-26T00:00:00"/>
    <s v="Customer 083"/>
    <s v="Office Chair"/>
    <s v="Furniture"/>
    <s v="East"/>
    <n v="1"/>
    <n v="0.15"/>
    <n v="238"/>
    <n v="40.71"/>
    <s v="Furniture"/>
    <s v="Dec-2025"/>
    <x v="1"/>
  </r>
  <r>
    <s v="ORD-00387"/>
    <d v="2025-10-17T00:00:00"/>
    <s v="Customer 089"/>
    <s v="Wireless Mouse"/>
    <s v="Technology"/>
    <s v="West"/>
    <n v="5"/>
    <n v="0"/>
    <n v="175"/>
    <n v="65.48"/>
    <s v="Technology"/>
    <s v="Oct-2025"/>
    <x v="4"/>
  </r>
  <r>
    <s v="ORD-00388"/>
    <d v="2025-05-19T00:00:00"/>
    <s v="Customer 073"/>
    <s v="Laptop Pro 15"/>
    <s v="Technology"/>
    <s v="North"/>
    <n v="1"/>
    <n v="0.1"/>
    <n v="1080"/>
    <n v="165.49"/>
    <s v="Technology"/>
    <s v="May-2025"/>
    <x v="7"/>
  </r>
  <r>
    <s v="ORD-00389"/>
    <d v="2025-04-02T00:00:00"/>
    <s v="Customer 097"/>
    <s v="Keyboard"/>
    <s v="Technology"/>
    <s v="West"/>
    <n v="1"/>
    <n v="0.05"/>
    <n v="66.5"/>
    <n v="17.04"/>
    <s v="Technology"/>
    <s v="Apr-2025"/>
    <x v="9"/>
  </r>
  <r>
    <s v="ORD-00390"/>
    <d v="2025-02-09T00:00:00"/>
    <s v="Customer 050"/>
    <s v="Smartphone X"/>
    <s v="Technology"/>
    <s v="East"/>
    <n v="2"/>
    <n v="0.2"/>
    <n v="1360"/>
    <n v="504.08"/>
    <s v="Technology"/>
    <s v="Feb-2025"/>
    <x v="2"/>
  </r>
  <r>
    <s v="ORD-00391"/>
    <d v="2025-07-16T00:00:00"/>
    <s v="Customer 045"/>
    <s v="Coffee Table"/>
    <s v="Furniture"/>
    <s v="North"/>
    <n v="2"/>
    <n v="0"/>
    <n v="420"/>
    <n v="119.59"/>
    <s v="Furniture"/>
    <s v="Jul-2025"/>
    <x v="5"/>
  </r>
  <r>
    <s v="ORD-00392"/>
    <d v="2025-02-20T00:00:00"/>
    <s v="Customer 099"/>
    <s v="Bookshelf"/>
    <s v="Furniture"/>
    <s v="West"/>
    <n v="2"/>
    <n v="0"/>
    <n v="380"/>
    <n v="128.29"/>
    <s v="Furniture"/>
    <s v="Feb-2025"/>
    <x v="2"/>
  </r>
  <r>
    <s v="ORD-00393"/>
    <d v="2025-06-17T00:00:00"/>
    <s v="Customer 046"/>
    <s v="Laptop Pro 15"/>
    <s v="Technology"/>
    <s v="West"/>
    <n v="3"/>
    <n v="0.15"/>
    <n v="3060"/>
    <n v="881.59"/>
    <s v="Technology"/>
    <s v="Jun-2025"/>
    <x v="11"/>
  </r>
  <r>
    <s v="ORD-00394"/>
    <d v="2025-08-10T00:00:00"/>
    <s v="Customer 080"/>
    <s v="Office Chair"/>
    <s v="Furniture"/>
    <s v="East"/>
    <n v="5"/>
    <n v="0.15"/>
    <n v="1190"/>
    <n v="501.85"/>
    <s v="Furniture"/>
    <s v="Aug-2025"/>
    <x v="8"/>
  </r>
  <r>
    <s v="ORD-00395"/>
    <d v="2025-05-07T00:00:00"/>
    <s v="Customer 049"/>
    <s v="Coffee Table"/>
    <s v="Furniture"/>
    <s v="South"/>
    <n v="1"/>
    <n v="0"/>
    <n v="210"/>
    <n v="75.930000000000007"/>
    <s v="Furniture"/>
    <s v="May-2025"/>
    <x v="7"/>
  </r>
  <r>
    <s v="ORD-00396"/>
    <d v="2025-07-19T00:00:00"/>
    <s v="Customer 040"/>
    <s v="Keyboard"/>
    <s v="Technology"/>
    <s v="West"/>
    <n v="3"/>
    <n v="0"/>
    <n v="210"/>
    <n v="88.16"/>
    <s v="Technology"/>
    <s v="Jul-2025"/>
    <x v="5"/>
  </r>
  <r>
    <s v="ORD-00397"/>
    <d v="2025-07-04T00:00:00"/>
    <s v="Customer 056"/>
    <s v="Smartphone X"/>
    <s v="Technology"/>
    <s v="West"/>
    <n v="1"/>
    <n v="0.05"/>
    <n v="807.5"/>
    <n v="340.11"/>
    <s v="Technology"/>
    <s v="Jul-2025"/>
    <x v="5"/>
  </r>
  <r>
    <s v="ORD-00398"/>
    <d v="2025-10-13T00:00:00"/>
    <s v="Customer 012"/>
    <s v="Printer"/>
    <s v="Office Supplies"/>
    <s v="East"/>
    <n v="5"/>
    <n v="0.15"/>
    <n v="1020"/>
    <n v="424.23"/>
    <s v="Office Supplies"/>
    <s v="Oct-2025"/>
    <x v="4"/>
  </r>
  <r>
    <s v="ORD-00399"/>
    <d v="2025-10-11T00:00:00"/>
    <s v="Customer 050"/>
    <s v="Wireless Mouse"/>
    <s v="Technology"/>
    <s v="North"/>
    <n v="5"/>
    <n v="0.2"/>
    <n v="140"/>
    <n v="26.76"/>
    <s v="Technology"/>
    <s v="Oct-2025"/>
    <x v="4"/>
  </r>
  <r>
    <s v="ORD-00400"/>
    <d v="2025-05-30T00:00:00"/>
    <s v="Customer 072"/>
    <s v="Bookshelf"/>
    <s v="Furniture"/>
    <s v="South"/>
    <n v="4"/>
    <n v="0"/>
    <n v="760"/>
    <n v="160.21"/>
    <s v="Furniture"/>
    <s v="May-2025"/>
    <x v="7"/>
  </r>
  <r>
    <s v="ORD-00401"/>
    <d v="2025-10-20T00:00:00"/>
    <s v="Customer 035"/>
    <s v="Printer"/>
    <s v="Office Supplies"/>
    <s v="East"/>
    <n v="2"/>
    <n v="0.15"/>
    <n v="408"/>
    <n v="160.78"/>
    <s v="Office Supplies"/>
    <s v="Oct-2025"/>
    <x v="4"/>
  </r>
  <r>
    <s v="ORD-00402"/>
    <d v="2025-05-18T00:00:00"/>
    <s v="Customer 036"/>
    <s v="Notebook Pack"/>
    <s v="Office Supplies"/>
    <s v="West"/>
    <n v="2"/>
    <n v="0"/>
    <n v="36"/>
    <n v="14.21"/>
    <s v="Office Supplies"/>
    <s v="May-2025"/>
    <x v="7"/>
  </r>
  <r>
    <s v="ORD-00403"/>
    <d v="2025-06-03T00:00:00"/>
    <s v="Customer 032"/>
    <s v="Notebook Pack"/>
    <s v="Office Supplies"/>
    <s v="West"/>
    <n v="1"/>
    <n v="0.1"/>
    <n v="16.2"/>
    <n v="5.94"/>
    <s v="Office Supplies"/>
    <s v="Jun-2025"/>
    <x v="11"/>
  </r>
  <r>
    <s v="ORD-00404"/>
    <d v="2025-11-01T00:00:00"/>
    <s v="Customer 039"/>
    <s v="Desk Organizer"/>
    <s v="Office Supplies"/>
    <s v="North"/>
    <n v="2"/>
    <n v="0.15"/>
    <n v="42.5"/>
    <n v="17.62"/>
    <s v="Office Supplies"/>
    <s v="Nov-2025"/>
    <x v="0"/>
  </r>
  <r>
    <s v="ORD-00405"/>
    <d v="2025-07-22T00:00:00"/>
    <s v="Customer 043"/>
    <s v="Keyboard"/>
    <s v="Technology"/>
    <s v="West"/>
    <n v="5"/>
    <n v="0.15"/>
    <n v="297.5"/>
    <n v="54.93"/>
    <s v="Technology"/>
    <s v="Jul-2025"/>
    <x v="5"/>
  </r>
  <r>
    <s v="ORD-00406"/>
    <d v="2025-06-21T00:00:00"/>
    <s v="Customer 078"/>
    <s v="Bookshelf"/>
    <s v="Furniture"/>
    <s v="South"/>
    <n v="5"/>
    <n v="0.05"/>
    <n v="902.5"/>
    <n v="316.64999999999998"/>
    <s v="Furniture"/>
    <s v="Jun-2025"/>
    <x v="11"/>
  </r>
  <r>
    <s v="ORD-00407"/>
    <d v="2025-09-03T00:00:00"/>
    <s v="Customer 038"/>
    <s v="Keyboard"/>
    <s v="Technology"/>
    <s v="West"/>
    <n v="2"/>
    <n v="0.15"/>
    <n v="119"/>
    <n v="15.51"/>
    <s v="Technology"/>
    <s v="Sept-2025"/>
    <x v="10"/>
  </r>
  <r>
    <s v="ORD-00408"/>
    <d v="2025-10-22T00:00:00"/>
    <s v="Customer 051"/>
    <s v="Desk Lamp"/>
    <s v="Furniture"/>
    <s v="East"/>
    <n v="3"/>
    <n v="0.15"/>
    <n v="140.25"/>
    <n v="50.14"/>
    <s v="Furniture"/>
    <s v="Oct-2025"/>
    <x v="4"/>
  </r>
  <r>
    <s v="ORD-00409"/>
    <d v="2025-02-28T00:00:00"/>
    <s v="Customer 024"/>
    <s v="Desk Organizer"/>
    <s v="Office Supplies"/>
    <s v="North"/>
    <n v="2"/>
    <n v="0.2"/>
    <n v="40"/>
    <n v="4.84"/>
    <s v="Office Supplies"/>
    <s v="Feb-2025"/>
    <x v="2"/>
  </r>
  <r>
    <s v="ORD-00410"/>
    <d v="2025-08-25T00:00:00"/>
    <s v="Customer 089"/>
    <s v="Coffee Table"/>
    <s v="Furniture"/>
    <s v="North"/>
    <n v="2"/>
    <n v="0.15"/>
    <n v="357"/>
    <n v="66.67"/>
    <s v="Furniture"/>
    <s v="Aug-2025"/>
    <x v="8"/>
  </r>
  <r>
    <s v="ORD-00411"/>
    <d v="2025-07-29T00:00:00"/>
    <s v="Customer 031"/>
    <s v="Monitor 24"/>
    <s v="Technology"/>
    <s v="East"/>
    <n v="4"/>
    <n v="0.05"/>
    <n v="1216"/>
    <n v="293.05"/>
    <s v="Technology"/>
    <s v="Jul-2025"/>
    <x v="5"/>
  </r>
  <r>
    <s v="ORD-00412"/>
    <d v="2025-12-04T00:00:00"/>
    <s v="Customer 077"/>
    <s v="Office Chair"/>
    <s v="Furniture"/>
    <s v="West"/>
    <n v="4"/>
    <n v="0.15"/>
    <n v="952"/>
    <n v="405.16"/>
    <s v="Furniture"/>
    <s v="Dec-2025"/>
    <x v="1"/>
  </r>
  <r>
    <s v="ORD-00413"/>
    <d v="2025-10-26T00:00:00"/>
    <s v="Customer 089"/>
    <s v="Bookshelf"/>
    <s v="Furniture"/>
    <s v="West"/>
    <n v="5"/>
    <m/>
    <n v="760"/>
    <n v="110.39"/>
    <s v="Furniture"/>
    <s v="Oct-2025"/>
    <x v="4"/>
  </r>
  <r>
    <s v="ORD-00414"/>
    <d v="2025-10-06T00:00:00"/>
    <s v="Customer 011"/>
    <s v="Laptop Pro 15"/>
    <s v="Technology"/>
    <s v="North"/>
    <n v="3"/>
    <n v="0.2"/>
    <n v="2880"/>
    <n v="731.63"/>
    <s v="Technology"/>
    <s v="Oct-2025"/>
    <x v="4"/>
  </r>
  <r>
    <s v="ORD-00415"/>
    <d v="2025-05-08T00:00:00"/>
    <s v="Customer 006"/>
    <s v="Monitor 24"/>
    <s v="Technology"/>
    <s v="West"/>
    <n v="3"/>
    <n v="0.05"/>
    <n v="912"/>
    <n v="215.68"/>
    <s v="Technology"/>
    <s v="May-2025"/>
    <x v="7"/>
  </r>
  <r>
    <s v="ORD-00416"/>
    <d v="2025-06-19T00:00:00"/>
    <s v="Customer 029"/>
    <s v="Bookshelf"/>
    <s v="Furniture"/>
    <s v="South"/>
    <n v="1"/>
    <n v="0"/>
    <n v="190"/>
    <n v="79.319999999999993"/>
    <s v="Furniture"/>
    <s v="Jun-2025"/>
    <x v="11"/>
  </r>
  <r>
    <s v="ORD-00417"/>
    <d v="2025-08-17T00:00:00"/>
    <s v="Customer 076"/>
    <s v="Keyboard"/>
    <s v="Technology"/>
    <s v="South"/>
    <n v="4"/>
    <n v="0.15"/>
    <n v="238"/>
    <n v="46.44"/>
    <s v="Technology"/>
    <s v="Aug-2025"/>
    <x v="8"/>
  </r>
  <r>
    <s v="ORD-00418"/>
    <d v="2025-06-26T00:00:00"/>
    <s v="Customer 011"/>
    <s v="Laptop Pro 15"/>
    <s v="Technology"/>
    <s v="North"/>
    <n v="4"/>
    <n v="0"/>
    <n v="4800"/>
    <n v="1692.04"/>
    <s v="Technology"/>
    <s v="Jun-2025"/>
    <x v="11"/>
  </r>
  <r>
    <s v="ORD-00419"/>
    <d v="2025-03-14T00:00:00"/>
    <s v="Customer 027"/>
    <s v="Keyboard"/>
    <s v="Technology"/>
    <s v="West"/>
    <n v="3"/>
    <n v="0.1"/>
    <n v="189"/>
    <n v="56.65"/>
    <s v="Technology"/>
    <s v="Mar-2025"/>
    <x v="6"/>
  </r>
  <r>
    <s v="ORD-00420"/>
    <d v="2025-06-28T00:00:00"/>
    <s v="Customer 058"/>
    <s v="Notebook Pack"/>
    <s v="Office Supplies"/>
    <s v="East"/>
    <n v="1"/>
    <n v="0.15"/>
    <n v="15.3"/>
    <n v="3.24"/>
    <s v="Office Supplies"/>
    <s v="Jun-2025"/>
    <x v="11"/>
  </r>
  <r>
    <s v="ORD-00421"/>
    <d v="2025-02-04T00:00:00"/>
    <s v="Customer 044"/>
    <s v="Smartphone X"/>
    <s v="Technology"/>
    <s v="North"/>
    <n v="1"/>
    <n v="0"/>
    <n v="850"/>
    <n v="376.16"/>
    <s v="Technology"/>
    <s v="Feb-2025"/>
    <x v="2"/>
  </r>
  <r>
    <s v="ORD-00422"/>
    <d v="2025-12-13T00:00:00"/>
    <s v="Customer 021"/>
    <s v="Office Chair"/>
    <s v="Furniture"/>
    <s v="East"/>
    <n v="2"/>
    <n v="0.2"/>
    <n v="448"/>
    <n v="175.81"/>
    <s v="Furniture"/>
    <s v="Dec-2025"/>
    <x v="1"/>
  </r>
  <r>
    <s v="ORD-00423"/>
    <d v="2025-10-14T00:00:00"/>
    <s v="Customer 081"/>
    <s v="Bookshelf"/>
    <s v="Furniture"/>
    <s v="South"/>
    <n v="4"/>
    <n v="0.05"/>
    <n v="722"/>
    <n v="134.83000000000001"/>
    <s v="Furniture"/>
    <s v="Oct-2025"/>
    <x v="4"/>
  </r>
  <r>
    <s v="ORD-00424"/>
    <d v="2025-04-06T00:00:00"/>
    <s v="Customer 079"/>
    <s v="Monitor 24"/>
    <s v="Technology"/>
    <s v="South"/>
    <n v="4"/>
    <n v="0.15"/>
    <n v="1088"/>
    <n v="479.12"/>
    <s v="Technology"/>
    <s v="Apr-2025"/>
    <x v="9"/>
  </r>
  <r>
    <s v="ORD-00425"/>
    <d v="2025-08-19T00:00:00"/>
    <s v="Customer 028"/>
    <s v="Desk Organizer"/>
    <s v="Office Supplies"/>
    <s v="South"/>
    <n v="4"/>
    <n v="0.15"/>
    <n v="85"/>
    <n v="38.130000000000003"/>
    <s v="Office Supplies"/>
    <s v="Aug-2025"/>
    <x v="8"/>
  </r>
  <r>
    <s v="ORD-00426"/>
    <d v="2025-05-23T00:00:00"/>
    <s v="Customer 069"/>
    <s v="Coffee Table"/>
    <s v="Furniture"/>
    <s v="South"/>
    <n v="1"/>
    <n v="0.2"/>
    <n v="168"/>
    <n v="69.959999999999994"/>
    <s v="Furniture"/>
    <s v="May-2025"/>
    <x v="7"/>
  </r>
  <r>
    <s v="ORD-00427"/>
    <d v="2025-07-07T00:00:00"/>
    <s v="Customer 086"/>
    <s v="Keyboard"/>
    <s v="Technology"/>
    <s v="West"/>
    <n v="2"/>
    <n v="0.15"/>
    <n v="119"/>
    <n v="49.07"/>
    <s v="Technology"/>
    <s v="Jul-2025"/>
    <x v="5"/>
  </r>
  <r>
    <s v="ORD-00428"/>
    <d v="2025-09-28T00:00:00"/>
    <s v="Customer 051"/>
    <s v="Monitor 24"/>
    <s v="Technology"/>
    <s v="North"/>
    <n v="3"/>
    <n v="0.2"/>
    <n v="768"/>
    <n v="247.1"/>
    <s v="Technology"/>
    <s v="Sept-2025"/>
    <x v="10"/>
  </r>
  <r>
    <s v="ORD-00429"/>
    <d v="2025-06-28T00:00:00"/>
    <s v="Customer 087"/>
    <s v="Keyboard"/>
    <s v="Technology"/>
    <s v="East"/>
    <n v="4"/>
    <n v="0.2"/>
    <n v="224"/>
    <n v="88.05"/>
    <s v="Technology"/>
    <s v="Jun-2025"/>
    <x v="11"/>
  </r>
  <r>
    <s v="ORD-00430"/>
    <d v="2025-11-11T00:00:00"/>
    <s v="Customer 031"/>
    <s v="Desk Organizer"/>
    <s v="Office Supplies"/>
    <s v="East"/>
    <n v="1"/>
    <n v="0.05"/>
    <n v="23.75"/>
    <n v="8.23"/>
    <s v="Office Supplies"/>
    <s v="Nov-2025"/>
    <x v="0"/>
  </r>
  <r>
    <s v="ORD-00431"/>
    <d v="2025-03-01T00:00:00"/>
    <s v="Customer 054"/>
    <s v="Office Chair"/>
    <s v="Furniture"/>
    <s v="South"/>
    <n v="3"/>
    <n v="0.05"/>
    <n v="798"/>
    <n v="224.58"/>
    <s v="Furniture"/>
    <s v="Mar-2025"/>
    <x v="6"/>
  </r>
  <r>
    <s v="ORD-00432"/>
    <d v="2025-10-22T00:00:00"/>
    <s v="Customer 069"/>
    <s v="Bookshelf"/>
    <s v="Furniture"/>
    <s v="South"/>
    <n v="4"/>
    <n v="0.05"/>
    <n v="722"/>
    <n v="208.95"/>
    <s v="Furniture"/>
    <s v="Oct-2025"/>
    <x v="4"/>
  </r>
  <r>
    <s v="ORD-00433"/>
    <d v="2025-10-12T00:00:00"/>
    <s v="Customer 041"/>
    <s v="Office Chair"/>
    <s v="Furniture"/>
    <s v="West"/>
    <n v="4"/>
    <n v="0.1"/>
    <n v="1008"/>
    <n v="406.93"/>
    <s v="Furniture"/>
    <s v="Oct-2025"/>
    <x v="4"/>
  </r>
  <r>
    <s v="ORD-00434"/>
    <d v="2025-11-14T00:00:00"/>
    <s v="Customer 025"/>
    <s v="Laptop Pro 15"/>
    <s v="Technology"/>
    <s v="West"/>
    <n v="3"/>
    <n v="0"/>
    <n v="3600"/>
    <n v="1044.28"/>
    <s v="Technology"/>
    <s v="Nov-2025"/>
    <x v="0"/>
  </r>
  <r>
    <s v="ORD-00435"/>
    <d v="2025-10-15T00:00:00"/>
    <s v="Customer 054"/>
    <s v="Printer"/>
    <s v="Office Supplies"/>
    <s v="West"/>
    <n v="4"/>
    <n v="0.15"/>
    <n v="816"/>
    <n v="182.82"/>
    <s v="Office Supplies"/>
    <s v="Oct-2025"/>
    <x v="4"/>
  </r>
  <r>
    <s v="ORD-00436"/>
    <d v="2025-09-08T00:00:00"/>
    <s v="Customer 098"/>
    <s v="Office Chair"/>
    <s v="Furniture"/>
    <s v="South"/>
    <n v="1"/>
    <n v="0.2"/>
    <n v="224"/>
    <n v="98.52"/>
    <s v="Furniture"/>
    <s v="Sept-2025"/>
    <x v="10"/>
  </r>
  <r>
    <s v="ORD-00437"/>
    <d v="2025-05-30T00:00:00"/>
    <s v="Customer 022"/>
    <s v="Laptop Pro 15"/>
    <s v="Technology"/>
    <s v="West"/>
    <n v="3"/>
    <n v="0.05"/>
    <n v="3420"/>
    <n v="932.25"/>
    <s v="Technology"/>
    <s v="May-2025"/>
    <x v="7"/>
  </r>
  <r>
    <s v="ORD-00438"/>
    <d v="2025-10-17T00:00:00"/>
    <s v="Customer 074"/>
    <s v="Coffee Table"/>
    <s v="Furniture"/>
    <s v="North"/>
    <n v="4"/>
    <n v="0.2"/>
    <n v="672"/>
    <n v="189.12"/>
    <s v="Furniture"/>
    <s v="Oct-2025"/>
    <x v="4"/>
  </r>
  <r>
    <s v="ORD-00439"/>
    <d v="2025-05-18T00:00:00"/>
    <s v="Customer 006"/>
    <s v="Printer"/>
    <s v="Office Supplies"/>
    <s v="West"/>
    <n v="3"/>
    <n v="0.2"/>
    <n v="576"/>
    <n v="102.84"/>
    <s v="Office Supplies"/>
    <s v="May-2025"/>
    <x v="7"/>
  </r>
  <r>
    <s v="ORD-00440"/>
    <d v="2025-10-07T00:00:00"/>
    <s v="Customer 084"/>
    <s v="Desk Lamp"/>
    <s v="Furniture"/>
    <s v="South"/>
    <n v="4"/>
    <n v="0"/>
    <n v="220"/>
    <n v="45.57"/>
    <s v="Furniture"/>
    <s v="Oct-2025"/>
    <x v="4"/>
  </r>
  <r>
    <s v="ORD-00441"/>
    <d v="2025-06-02T00:00:00"/>
    <s v="Customer 012"/>
    <s v="Laptop Pro 15"/>
    <s v="Technology"/>
    <s v="West"/>
    <n v="4"/>
    <n v="0.1"/>
    <n v="4320"/>
    <n v="1447.07"/>
    <s v="Technology"/>
    <s v="Jun-2025"/>
    <x v="11"/>
  </r>
  <r>
    <s v="ORD-00442"/>
    <d v="2025-03-02T00:00:00"/>
    <s v="Customer 091"/>
    <s v="Desk Lamp"/>
    <s v="Furniture"/>
    <s v="West"/>
    <n v="2"/>
    <n v="0.2"/>
    <n v="88"/>
    <n v="19.59"/>
    <s v="Furniture"/>
    <s v="Mar-2025"/>
    <x v="6"/>
  </r>
  <r>
    <s v="ORD-00443"/>
    <d v="2025-03-26T00:00:00"/>
    <s v="Customer 008"/>
    <s v="Desk Organizer"/>
    <s v="Office Supplies"/>
    <s v="East"/>
    <n v="2"/>
    <n v="0.05"/>
    <n v="47.5"/>
    <n v="8.6199999999999992"/>
    <s v="Office Supplies"/>
    <s v="Mar-2025"/>
    <x v="6"/>
  </r>
  <r>
    <s v="ORD-00444"/>
    <d v="2025-09-30T00:00:00"/>
    <s v="Customer 091"/>
    <s v="Smartphone X"/>
    <s v="Technology"/>
    <s v="East"/>
    <n v="5"/>
    <n v="0.2"/>
    <n v="3400"/>
    <n v="1341.08"/>
    <s v="Technology"/>
    <s v="Sept-2025"/>
    <x v="10"/>
  </r>
  <r>
    <s v="ORD-00445"/>
    <d v="2025-05-29T00:00:00"/>
    <s v="Customer 087"/>
    <s v="Desk Organizer"/>
    <s v="Office Supplies"/>
    <s v="North"/>
    <n v="3"/>
    <n v="0.2"/>
    <n v="60"/>
    <n v="7.49"/>
    <s v="Office Supplies"/>
    <s v="May-2025"/>
    <x v="7"/>
  </r>
  <r>
    <s v="ORD-00446"/>
    <d v="2025-03-11T00:00:00"/>
    <s v="Customer 017"/>
    <s v="Bookshelf"/>
    <s v="Furniture"/>
    <s v="South"/>
    <n v="1"/>
    <n v="0.1"/>
    <n v="171"/>
    <n v="28.02"/>
    <s v="Furniture"/>
    <s v="Mar-2025"/>
    <x v="6"/>
  </r>
  <r>
    <s v="ORD-00447"/>
    <d v="2025-05-08T00:00:00"/>
    <s v="Customer 087"/>
    <s v="Office Chair"/>
    <s v="Furniture"/>
    <s v="West"/>
    <n v="3"/>
    <n v="0.05"/>
    <n v="798"/>
    <n v="158.57"/>
    <s v="Furniture"/>
    <s v="May-2025"/>
    <x v="7"/>
  </r>
  <r>
    <s v="ORD-00448"/>
    <d v="2025-09-08T00:00:00"/>
    <s v="Customer 049"/>
    <s v="Office Chair"/>
    <s v="Furniture"/>
    <s v="West"/>
    <n v="5"/>
    <n v="0.1"/>
    <n v="1260"/>
    <n v="305.95999999999998"/>
    <s v="Furniture"/>
    <s v="Sept-2025"/>
    <x v="10"/>
  </r>
  <r>
    <s v="ORD-00449"/>
    <d v="2025-02-08T00:00:00"/>
    <s v="Customer 036"/>
    <s v="Monitor 24"/>
    <s v="Technology"/>
    <s v="East"/>
    <n v="1"/>
    <n v="0.15"/>
    <n v="272"/>
    <n v="76.12"/>
    <s v="Technology"/>
    <s v="Feb-2025"/>
    <x v="2"/>
  </r>
  <r>
    <s v="ORD-00450"/>
    <d v="2025-08-21T00:00:00"/>
    <s v="Customer 100"/>
    <s v="Notebook Pack"/>
    <s v="Office Supplies"/>
    <s v="North"/>
    <n v="3"/>
    <n v="0.2"/>
    <n v="43.2"/>
    <n v="19.399999999999999"/>
    <s v="Office Supplies"/>
    <s v="Aug-2025"/>
    <x v="8"/>
  </r>
  <r>
    <s v="ORD-00451"/>
    <d v="2025-08-23T00:00:00"/>
    <s v="Customer 051"/>
    <s v="Monitor 24"/>
    <s v="Technology"/>
    <s v="South"/>
    <n v="3"/>
    <n v="0"/>
    <n v="960"/>
    <n v="179.93"/>
    <s v="Technology"/>
    <s v="Aug-2025"/>
    <x v="8"/>
  </r>
  <r>
    <s v="ORD-00452"/>
    <d v="2025-08-08T00:00:00"/>
    <s v="Customer 037"/>
    <s v="Desk Lamp"/>
    <s v="Furniture"/>
    <s v="East"/>
    <n v="4"/>
    <n v="0.1"/>
    <n v="198"/>
    <n v="68"/>
    <s v="Furniture"/>
    <s v="Aug-2025"/>
    <x v="8"/>
  </r>
  <r>
    <s v="ORD-00453"/>
    <d v="2025-10-08T00:00:00"/>
    <s v="Customer 044"/>
    <s v="Desk Organizer"/>
    <s v="Office Supplies"/>
    <s v="North"/>
    <n v="2"/>
    <n v="0.2"/>
    <n v="40"/>
    <n v="6.75"/>
    <s v="Office Supplies"/>
    <s v="Oct-2025"/>
    <x v="4"/>
  </r>
  <r>
    <s v="ORD-00454"/>
    <d v="2025-01-24T00:00:00"/>
    <s v="Customer 021"/>
    <s v="Wireless Mouse"/>
    <s v="Technology"/>
    <s v="West"/>
    <n v="4"/>
    <n v="0"/>
    <n v="140"/>
    <n v="57.26"/>
    <s v="Technology"/>
    <s v="Jan-2025"/>
    <x v="3"/>
  </r>
  <r>
    <s v="ORD-00455"/>
    <d v="2025-08-22T00:00:00"/>
    <s v="Customer 017"/>
    <s v="Laptop Pro 15"/>
    <s v="Technology"/>
    <s v="East"/>
    <n v="4"/>
    <n v="0.05"/>
    <n v="4560"/>
    <n v="553.67999999999995"/>
    <s v="Technology"/>
    <s v="Aug-2025"/>
    <x v="8"/>
  </r>
  <r>
    <s v="ORD-00456"/>
    <d v="2025-03-23T00:00:00"/>
    <s v="Customer 048"/>
    <s v="Smartphone X"/>
    <s v="Technology"/>
    <s v="South"/>
    <n v="1"/>
    <n v="0.1"/>
    <n v="765"/>
    <n v="281.04000000000002"/>
    <s v="Technology"/>
    <s v="Mar-2025"/>
    <x v="6"/>
  </r>
  <r>
    <s v="ORD-00457"/>
    <d v="2025-01-27T00:00:00"/>
    <s v="Customer 012"/>
    <s v="Bookshelf"/>
    <s v="Furniture"/>
    <s v="North"/>
    <n v="3"/>
    <n v="0.05"/>
    <n v="541.5"/>
    <n v="166.97"/>
    <s v="Furniture"/>
    <s v="Jan-2025"/>
    <x v="3"/>
  </r>
  <r>
    <s v="ORD-00458"/>
    <d v="2025-01-01T00:00:00"/>
    <s v="Customer 029"/>
    <s v="Desk Lamp"/>
    <s v="Furniture"/>
    <s v="West"/>
    <n v="4"/>
    <n v="0"/>
    <n v="220"/>
    <n v="89.37"/>
    <s v="Furniture"/>
    <s v="Jan-2025"/>
    <x v="3"/>
  </r>
  <r>
    <s v="ORD-00459"/>
    <d v="2025-01-05T00:00:00"/>
    <s v="Customer 055"/>
    <s v="Laptop Pro 15"/>
    <s v="Technology"/>
    <s v="South"/>
    <n v="3"/>
    <n v="0"/>
    <n v="3600"/>
    <n v="446.07"/>
    <s v="Technology"/>
    <s v="Jan-2025"/>
    <x v="3"/>
  </r>
  <r>
    <s v="ORD-00460"/>
    <d v="2025-09-02T00:00:00"/>
    <s v="Customer 014"/>
    <s v="Wireless Mouse"/>
    <s v="Technology"/>
    <s v="North"/>
    <n v="2"/>
    <n v="0.15"/>
    <n v="59.5"/>
    <n v="25.02"/>
    <s v="Technology"/>
    <s v="Sept-2025"/>
    <x v="10"/>
  </r>
  <r>
    <s v="ORD-00461"/>
    <d v="2025-06-10T00:00:00"/>
    <s v="Customer 097"/>
    <s v="Keyboard"/>
    <s v="Technology"/>
    <s v="South"/>
    <n v="3"/>
    <n v="0.05"/>
    <n v="199.5"/>
    <n v="64.58"/>
    <s v="Technology"/>
    <s v="Jun-2025"/>
    <x v="11"/>
  </r>
  <r>
    <s v="ORD-00462"/>
    <d v="2025-11-25T00:00:00"/>
    <s v="Customer 002"/>
    <s v="Monitor 24"/>
    <s v="Technology"/>
    <s v="South"/>
    <n v="2"/>
    <n v="0"/>
    <n v="640"/>
    <n v="175.96"/>
    <s v="Technology"/>
    <s v="Nov-2025"/>
    <x v="0"/>
  </r>
  <r>
    <s v="ORD-00463"/>
    <d v="2025-08-14T00:00:00"/>
    <s v="Customer 079"/>
    <s v="Keyboard"/>
    <s v="Technology"/>
    <s v="West"/>
    <n v="2"/>
    <n v="0.05"/>
    <n v="133"/>
    <n v="19.48"/>
    <s v="Technology"/>
    <s v="Aug-2025"/>
    <x v="8"/>
  </r>
  <r>
    <s v="ORD-00464"/>
    <d v="2025-04-22T00:00:00"/>
    <s v="Customer 076"/>
    <s v="Wireless Mouse"/>
    <s v="Technology"/>
    <s v="West"/>
    <n v="1"/>
    <n v="0.05"/>
    <n v="33.25"/>
    <n v="6.71"/>
    <s v="Technology"/>
    <s v="Apr-2025"/>
    <x v="9"/>
  </r>
  <r>
    <s v="ORD-00465"/>
    <d v="2025-06-29T00:00:00"/>
    <s v="Customer 083"/>
    <s v="Bookshelf"/>
    <s v="Furniture"/>
    <s v="North"/>
    <n v="3"/>
    <n v="0.05"/>
    <n v="541.5"/>
    <n v="199.4"/>
    <s v="Furniture"/>
    <s v="Jun-2025"/>
    <x v="11"/>
  </r>
  <r>
    <s v="ORD-00466"/>
    <d v="2025-05-08T00:00:00"/>
    <s v="Customer 037"/>
    <s v="Printer"/>
    <s v="Office Supplies"/>
    <s v="North"/>
    <n v="5"/>
    <n v="0.2"/>
    <n v="960"/>
    <n v="203.53"/>
    <s v="Office Supplies"/>
    <s v="May-2025"/>
    <x v="7"/>
  </r>
  <r>
    <s v="ORD-00467"/>
    <d v="2025-12-04T00:00:00"/>
    <s v="Customer 025"/>
    <s v="Smartphone X"/>
    <s v="Technology"/>
    <s v="West"/>
    <n v="2"/>
    <n v="0.2"/>
    <n v="1360"/>
    <n v="339.61"/>
    <s v="Technology"/>
    <s v="Dec-2025"/>
    <x v="1"/>
  </r>
  <r>
    <s v="ORD-00468"/>
    <d v="2025-06-01T00:00:00"/>
    <s v="Customer 015"/>
    <s v="Monitor 24"/>
    <s v="Technology"/>
    <s v="South"/>
    <n v="1"/>
    <n v="0.05"/>
    <n v="304"/>
    <n v="87.15"/>
    <s v="Technology"/>
    <s v="Jun-2025"/>
    <x v="11"/>
  </r>
  <r>
    <s v="ORD-00469"/>
    <d v="2025-09-13T00:00:00"/>
    <s v="Customer 002"/>
    <s v="Monitor 24"/>
    <s v="Technology"/>
    <s v="East"/>
    <n v="5"/>
    <n v="0"/>
    <n v="1600"/>
    <n v="441.06"/>
    <s v="Technology"/>
    <s v="Sept-2025"/>
    <x v="10"/>
  </r>
  <r>
    <s v="ORD-00470"/>
    <d v="2025-06-12T00:00:00"/>
    <s v="Customer 070"/>
    <s v="Office Chair"/>
    <s v="Furniture"/>
    <s v="South"/>
    <n v="4"/>
    <n v="0.2"/>
    <n v="896"/>
    <n v="278.76"/>
    <s v="Furniture"/>
    <s v="Jun-2025"/>
    <x v="11"/>
  </r>
  <r>
    <s v="ORD-00471"/>
    <d v="2025-08-30T00:00:00"/>
    <s v="Customer 034"/>
    <s v="Wireless Mouse"/>
    <s v="Technology"/>
    <s v="South"/>
    <n v="1"/>
    <n v="0.2"/>
    <n v="28"/>
    <n v="11.98"/>
    <s v="Technology"/>
    <s v="Aug-2025"/>
    <x v="8"/>
  </r>
  <r>
    <s v="ORD-00472"/>
    <d v="2025-01-21T00:00:00"/>
    <s v="Customer 092"/>
    <s v="Laptop Pro 15"/>
    <s v="Technology"/>
    <s v="West"/>
    <n v="4"/>
    <n v="0.2"/>
    <n v="3840"/>
    <n v="1364.96"/>
    <s v="Technology"/>
    <s v="Jan-2025"/>
    <x v="3"/>
  </r>
  <r>
    <s v="ORD-00473"/>
    <d v="2025-08-05T00:00:00"/>
    <s v="Customer 069"/>
    <s v="Coffee Table"/>
    <s v="Furniture"/>
    <s v="South"/>
    <n v="4"/>
    <n v="0"/>
    <n v="840"/>
    <n v="200.44"/>
    <s v="Furniture"/>
    <s v="Aug-2025"/>
    <x v="8"/>
  </r>
  <r>
    <s v="ORD-00474"/>
    <d v="2025-05-23T00:00:00"/>
    <s v="Customer 027"/>
    <s v="Wireless Mouse"/>
    <s v="Technology"/>
    <s v="South"/>
    <n v="3"/>
    <n v="0"/>
    <n v="105"/>
    <n v="29.53"/>
    <s v="Technology"/>
    <s v="May-2025"/>
    <x v="7"/>
  </r>
  <r>
    <s v="ORD-00475"/>
    <d v="2025-10-02T00:00:00"/>
    <s v="Customer 084"/>
    <s v="Keyboard"/>
    <s v="Technology"/>
    <s v="North"/>
    <n v="4"/>
    <n v="0.2"/>
    <n v="224"/>
    <n v="53.91"/>
    <s v="Technology"/>
    <s v="Oct-2025"/>
    <x v="4"/>
  </r>
  <r>
    <s v="ORD-00476"/>
    <d v="2025-06-08T00:00:00"/>
    <s v="Customer 012"/>
    <s v="Coffee Table"/>
    <s v="Furniture"/>
    <s v="West"/>
    <n v="4"/>
    <n v="0.05"/>
    <n v="798"/>
    <n v="343.85"/>
    <s v="Furniture"/>
    <s v="Jun-2025"/>
    <x v="11"/>
  </r>
  <r>
    <s v="ORD-00477"/>
    <d v="2025-03-01T00:00:00"/>
    <s v="Customer 086"/>
    <s v="Notebook Pack"/>
    <s v="Office Supplies"/>
    <s v="South"/>
    <n v="5"/>
    <n v="0.2"/>
    <n v="72"/>
    <n v="31.09"/>
    <s v="Office Supplies"/>
    <s v="Mar-2025"/>
    <x v="6"/>
  </r>
  <r>
    <s v="ORD-00478"/>
    <d v="2025-03-03T00:00:00"/>
    <s v="Customer 045"/>
    <s v="Laptop Pro 15"/>
    <s v="Technology"/>
    <s v="East"/>
    <n v="2"/>
    <n v="0"/>
    <n v="2400"/>
    <n v="950.24"/>
    <s v="Technology"/>
    <s v="Mar-2025"/>
    <x v="6"/>
  </r>
  <r>
    <s v="ORD-00479"/>
    <d v="2025-03-27T00:00:00"/>
    <s v="Customer 016"/>
    <s v="Keyboard"/>
    <s v="Technology"/>
    <s v="North"/>
    <n v="2"/>
    <n v="0.1"/>
    <n v="126"/>
    <n v="26.22"/>
    <s v="Technology"/>
    <s v="Mar-2025"/>
    <x v="6"/>
  </r>
  <r>
    <s v="ORD-00480"/>
    <d v="2025-06-21T00:00:00"/>
    <s v="Customer 092"/>
    <s v="Bookshelf"/>
    <s v="Furniture"/>
    <s v="North"/>
    <n v="3"/>
    <n v="0.2"/>
    <n v="456"/>
    <n v="195.59"/>
    <s v="Furniture"/>
    <s v="Jun-2025"/>
    <x v="11"/>
  </r>
  <r>
    <s v="ORD-00481"/>
    <d v="2025-09-12T00:00:00"/>
    <s v="Customer 073"/>
    <s v="Notebook Pack"/>
    <s v="Office Supplies"/>
    <s v="South"/>
    <n v="5"/>
    <n v="0.1"/>
    <n v="81"/>
    <n v="34.97"/>
    <s v="Office Supplies"/>
    <s v="Sept-2025"/>
    <x v="10"/>
  </r>
  <r>
    <s v="ORD-00482"/>
    <d v="2025-07-08T00:00:00"/>
    <s v="Customer 087"/>
    <s v="Office Chair"/>
    <s v="Furniture"/>
    <s v="North"/>
    <n v="3"/>
    <n v="0"/>
    <n v="840"/>
    <n v="130.11000000000001"/>
    <s v="Furniture"/>
    <s v="Jul-2025"/>
    <x v="5"/>
  </r>
  <r>
    <s v="ORD-00483"/>
    <d v="2025-04-27T00:00:00"/>
    <s v="Customer 002"/>
    <s v="Coffee Table"/>
    <s v="Furniture"/>
    <s v="South"/>
    <n v="5"/>
    <n v="0"/>
    <n v="1050"/>
    <n v="457.24"/>
    <s v="Furniture"/>
    <s v="Apr-2025"/>
    <x v="9"/>
  </r>
  <r>
    <s v="ORD-00484"/>
    <d v="2025-01-24T00:00:00"/>
    <s v="Customer 023"/>
    <s v="Notebook Pack"/>
    <s v="Office Supplies"/>
    <s v="North"/>
    <n v="3"/>
    <n v="0.15"/>
    <n v="45.9"/>
    <n v="6.72"/>
    <s v="Office Supplies"/>
    <s v="Jan-2025"/>
    <x v="3"/>
  </r>
  <r>
    <s v="ORD-00485"/>
    <d v="2025-10-11T00:00:00"/>
    <s v="Customer 054"/>
    <s v="Coffee Table"/>
    <s v="Furniture"/>
    <s v="East"/>
    <n v="4"/>
    <n v="0.05"/>
    <n v="798"/>
    <n v="274.36"/>
    <s v="Furniture"/>
    <s v="Oct-2025"/>
    <x v="4"/>
  </r>
  <r>
    <s v="ORD-00486"/>
    <d v="2025-05-19T00:00:00"/>
    <s v="Customer 087"/>
    <s v="Wireless Mouse"/>
    <s v="Technology"/>
    <s v="North"/>
    <n v="5"/>
    <n v="0.1"/>
    <n v="157.5"/>
    <n v="64.67"/>
    <s v="Technology"/>
    <s v="May-2025"/>
    <x v="7"/>
  </r>
  <r>
    <s v="ORD-00487"/>
    <d v="2025-04-02T00:00:00"/>
    <s v="Customer 009"/>
    <s v="Desk Lamp"/>
    <s v="Furniture"/>
    <s v="West"/>
    <n v="5"/>
    <n v="0"/>
    <n v="275"/>
    <n v="37.17"/>
    <s v="Furniture"/>
    <s v="Apr-2025"/>
    <x v="9"/>
  </r>
  <r>
    <s v="ORD-00488"/>
    <d v="2025-05-25T00:00:00"/>
    <s v="Customer 002"/>
    <s v="Smartphone X"/>
    <s v="Technology"/>
    <s v="East"/>
    <n v="3"/>
    <n v="0"/>
    <n v="2550"/>
    <n v="682.07"/>
    <s v="Technology"/>
    <s v="May-2025"/>
    <x v="7"/>
  </r>
  <r>
    <s v="ORD-00489"/>
    <d v="2025-04-13T00:00:00"/>
    <s v="Customer 032"/>
    <s v="Smartphone X"/>
    <s v="Technology"/>
    <s v="West"/>
    <n v="5"/>
    <n v="0.1"/>
    <n v="3825"/>
    <n v="787.72"/>
    <s v="Technology"/>
    <s v="Apr-2025"/>
    <x v="9"/>
  </r>
  <r>
    <s v="ORD-00490"/>
    <d v="2025-07-08T00:00:00"/>
    <s v="Customer 070"/>
    <s v="Desk Organizer"/>
    <s v="Office Supplies"/>
    <s v="South"/>
    <n v="4"/>
    <n v="0.05"/>
    <n v="95"/>
    <n v="19.79"/>
    <s v="Office Supplies"/>
    <s v="Jul-2025"/>
    <x v="5"/>
  </r>
  <r>
    <s v="ORD-00491"/>
    <d v="2025-03-19T00:00:00"/>
    <s v="Customer 045"/>
    <s v="Laptop Pro 15"/>
    <s v="Technology"/>
    <s v="North"/>
    <n v="4"/>
    <n v="0"/>
    <n v="4800"/>
    <n v="1790.93"/>
    <s v="Technology"/>
    <s v="Mar-2025"/>
    <x v="6"/>
  </r>
  <r>
    <s v="ORD-00492"/>
    <d v="2025-06-21T00:00:00"/>
    <s v="Customer 068"/>
    <s v="Laptop Pro 15"/>
    <s v="Technology"/>
    <s v="South"/>
    <n v="4"/>
    <n v="0.1"/>
    <n v="4320"/>
    <n v="1795.81"/>
    <s v="Technology"/>
    <s v="Jun-2025"/>
    <x v="11"/>
  </r>
  <r>
    <s v="ORD-00493"/>
    <d v="2025-08-03T00:00:00"/>
    <s v="Customer 012"/>
    <s v="Notebook Pack"/>
    <s v="Office Supplies"/>
    <s v="North"/>
    <n v="1"/>
    <n v="0.05"/>
    <n v="17.100000000000001"/>
    <n v="3.68"/>
    <s v="Office Supplies"/>
    <s v="Aug-2025"/>
    <x v="8"/>
  </r>
  <r>
    <s v="ORD-00494"/>
    <d v="2025-04-29T00:00:00"/>
    <s v="Customer 096"/>
    <s v="Printer"/>
    <s v="Office Supplies"/>
    <s v="North"/>
    <n v="4"/>
    <n v="0.1"/>
    <n v="864"/>
    <n v="258.08"/>
    <s v="Office Supplies"/>
    <s v="Apr-2025"/>
    <x v="9"/>
  </r>
  <r>
    <s v="ORD-00495"/>
    <d v="2025-10-25T00:00:00"/>
    <s v="Customer 051"/>
    <s v="Wireless Mouse"/>
    <s v="Technology"/>
    <s v="North"/>
    <n v="5"/>
    <n v="0.05"/>
    <n v="166.25"/>
    <n v="39.85"/>
    <s v="Technology"/>
    <s v="Oct-2025"/>
    <x v="4"/>
  </r>
  <r>
    <s v="ORD-00496"/>
    <d v="2025-10-31T00:00:00"/>
    <s v="Customer 017"/>
    <s v="Desk Organizer"/>
    <s v="Office Supplies"/>
    <s v="South"/>
    <n v="1"/>
    <n v="0.15"/>
    <n v="21.25"/>
    <n v="4.92"/>
    <s v="Office Supplies"/>
    <s v="Oct-2025"/>
    <x v="4"/>
  </r>
  <r>
    <s v="ORD-00497"/>
    <d v="2025-05-30T00:00:00"/>
    <s v="Customer 095"/>
    <s v="Smartphone X"/>
    <s v="Technology"/>
    <s v="East"/>
    <n v="3"/>
    <n v="0.15"/>
    <n v="2167.5"/>
    <n v="474.16"/>
    <s v="Technology"/>
    <s v="May-2025"/>
    <x v="7"/>
  </r>
  <r>
    <s v="ORD-00498"/>
    <d v="2025-06-12T00:00:00"/>
    <s v="Customer 026"/>
    <s v="Notebook Pack"/>
    <s v="Office Supplies"/>
    <s v="South"/>
    <n v="3"/>
    <n v="0.05"/>
    <n v="51.3"/>
    <n v="21.82"/>
    <s v="Office Supplies"/>
    <s v="Jun-2025"/>
    <x v="11"/>
  </r>
  <r>
    <s v="ORD-00499"/>
    <d v="2025-10-27T00:00:00"/>
    <s v="Customer 060"/>
    <s v="Wireless Mouse"/>
    <s v="Technology"/>
    <s v="East"/>
    <n v="2"/>
    <n v="0"/>
    <n v="70"/>
    <n v="27.7"/>
    <s v="Technology"/>
    <s v="Oct-2025"/>
    <x v="4"/>
  </r>
  <r>
    <s v="ORD-00500"/>
    <d v="2025-07-28T00:00:00"/>
    <s v="Customer 027"/>
    <s v="Wireless Mouse"/>
    <s v="Technology"/>
    <s v="West"/>
    <n v="5"/>
    <n v="0.1"/>
    <n v="157.5"/>
    <n v="20.74"/>
    <s v="Technology"/>
    <s v="Jul-2025"/>
    <x v="5"/>
  </r>
  <r>
    <s v="ORD-00501"/>
    <d v="2025-06-07T00:00:00"/>
    <s v="Customer 088"/>
    <s v="Notebook Pack"/>
    <s v="Office Supplies"/>
    <s v="East"/>
    <n v="3"/>
    <n v="0"/>
    <n v="54"/>
    <n v="22.69"/>
    <s v="Office Supplies"/>
    <s v="Jun-2025"/>
    <x v="11"/>
  </r>
  <r>
    <s v="ORD-00502"/>
    <d v="2025-12-27T00:00:00"/>
    <s v="Customer 042"/>
    <s v="Coffee Table"/>
    <s v="Furniture"/>
    <s v="South"/>
    <n v="5"/>
    <n v="0"/>
    <n v="1050"/>
    <n v="398"/>
    <s v="Furniture"/>
    <s v="Dec-2025"/>
    <x v="1"/>
  </r>
  <r>
    <s v="ORD-00503"/>
    <d v="2025-02-16T00:00:00"/>
    <s v="Customer 007"/>
    <s v="Coffee Table"/>
    <s v="Furniture"/>
    <s v="East"/>
    <n v="2"/>
    <n v="0.1"/>
    <n v="378"/>
    <n v="120.67"/>
    <s v="Furniture"/>
    <s v="Feb-2025"/>
    <x v="2"/>
  </r>
  <r>
    <s v="ORD-00504"/>
    <d v="2025-05-14T00:00:00"/>
    <s v="Customer 072"/>
    <s v="Office Chair"/>
    <s v="Furniture"/>
    <s v="South"/>
    <n v="1"/>
    <n v="0.15"/>
    <n v="238"/>
    <n v="39.979999999999997"/>
    <s v="Furniture"/>
    <s v="May-2025"/>
    <x v="7"/>
  </r>
  <r>
    <s v="ORD-00505"/>
    <d v="2025-02-18T00:00:00"/>
    <s v="Customer 008"/>
    <s v="Notebook Pack"/>
    <s v="Office Supplies"/>
    <s v="South"/>
    <n v="1"/>
    <n v="0.05"/>
    <n v="17.100000000000001"/>
    <n v="7.01"/>
    <s v="Office Supplies"/>
    <s v="Feb-2025"/>
    <x v="2"/>
  </r>
  <r>
    <s v="ORD-00506"/>
    <d v="2025-03-08T00:00:00"/>
    <s v="Customer 083"/>
    <s v="Desk Lamp"/>
    <s v="Furniture"/>
    <s v="North"/>
    <n v="4"/>
    <n v="0.1"/>
    <n v="198"/>
    <n v="44.26"/>
    <s v="Furniture"/>
    <s v="Mar-2025"/>
    <x v="6"/>
  </r>
  <r>
    <s v="ORD-00507"/>
    <d v="2025-10-26T00:00:00"/>
    <s v="Customer 009"/>
    <s v="Desk Organizer"/>
    <s v="Office Supplies"/>
    <s v="South"/>
    <n v="3"/>
    <n v="0"/>
    <n v="75"/>
    <n v="33.21"/>
    <s v="Office Supplies"/>
    <s v="Oct-2025"/>
    <x v="4"/>
  </r>
  <r>
    <s v="ORD-00508"/>
    <d v="2025-11-27T00:00:00"/>
    <s v="Customer 043"/>
    <s v="Notebook Pack"/>
    <s v="Office Supplies"/>
    <s v="North"/>
    <n v="2"/>
    <n v="0"/>
    <n v="36"/>
    <n v="5.45"/>
    <s v="Office Supplies"/>
    <s v="Nov-2025"/>
    <x v="0"/>
  </r>
  <r>
    <s v="ORD-00509"/>
    <d v="2025-01-22T00:00:00"/>
    <s v="Customer 056"/>
    <s v="Notebook Pack"/>
    <s v="Office Supplies"/>
    <s v="West"/>
    <n v="1"/>
    <n v="0.05"/>
    <n v="17.100000000000001"/>
    <n v="2.48"/>
    <s v="Office Supplies"/>
    <s v="Jan-2025"/>
    <x v="3"/>
  </r>
  <r>
    <s v="ORD-00510"/>
    <d v="2025-09-12T00:00:00"/>
    <s v="Customer 028"/>
    <s v="Laptop Pro 15"/>
    <s v="Technology"/>
    <s v="South"/>
    <n v="4"/>
    <n v="0.15"/>
    <n v="4080"/>
    <n v="1603.33"/>
    <s v="Technology"/>
    <s v="Sept-2025"/>
    <x v="10"/>
  </r>
  <r>
    <s v="ORD-00511"/>
    <d v="2025-05-21T00:00:00"/>
    <s v="Customer 080"/>
    <s v="Smartphone X"/>
    <s v="Technology"/>
    <s v="South"/>
    <n v="4"/>
    <n v="0.05"/>
    <n v="3230"/>
    <n v="1416.57"/>
    <s v="Technology"/>
    <s v="May-2025"/>
    <x v="7"/>
  </r>
  <r>
    <s v="ORD-00512"/>
    <d v="2025-11-28T00:00:00"/>
    <s v="Customer 062"/>
    <s v="Smartphone X"/>
    <s v="Technology"/>
    <s v="North"/>
    <n v="4"/>
    <n v="0.15"/>
    <n v="2890"/>
    <n v="458.59"/>
    <s v="Technology"/>
    <s v="Nov-2025"/>
    <x v="0"/>
  </r>
  <r>
    <s v="ORD-00513"/>
    <d v="2025-02-14T00:00:00"/>
    <s v="Customer 083"/>
    <s v="Smartphone X"/>
    <s v="Technology"/>
    <s v="South"/>
    <n v="4"/>
    <n v="0.05"/>
    <n v="3230"/>
    <n v="1006.64"/>
    <s v="Technology"/>
    <s v="Feb-2025"/>
    <x v="2"/>
  </r>
  <r>
    <s v="ORD-00514"/>
    <d v="2025-11-19T00:00:00"/>
    <s v="Customer 046"/>
    <s v="Printer"/>
    <s v="Office Supplies"/>
    <s v="West"/>
    <n v="1"/>
    <n v="0.15"/>
    <n v="204"/>
    <n v="39.159999999999997"/>
    <s v="Office Supplies"/>
    <s v="Nov-2025"/>
    <x v="0"/>
  </r>
  <r>
    <s v="ORD-00515"/>
    <d v="2025-10-06T00:00:00"/>
    <s v="Customer 050"/>
    <s v="Notebook Pack"/>
    <s v="Office Supplies"/>
    <s v="East"/>
    <n v="3"/>
    <n v="0.2"/>
    <n v="43.2"/>
    <n v="12.28"/>
    <s v="Office Supplies"/>
    <s v="Oct-2025"/>
    <x v="4"/>
  </r>
  <r>
    <s v="ORD-00516"/>
    <d v="2025-04-03T00:00:00"/>
    <s v="Customer 100"/>
    <s v="Laptop Pro 15"/>
    <s v="Technology"/>
    <s v="East"/>
    <n v="3"/>
    <n v="0.2"/>
    <n v="2880"/>
    <n v="1087.8399999999999"/>
    <s v="Technology"/>
    <s v="Apr-2025"/>
    <x v="9"/>
  </r>
  <r>
    <s v="ORD-00517"/>
    <d v="2025-01-30T00:00:00"/>
    <s v="Customer 030"/>
    <s v="Notebook Pack"/>
    <s v="Office Supplies"/>
    <s v="South"/>
    <n v="5"/>
    <n v="0.1"/>
    <n v="81"/>
    <n v="15.95"/>
    <s v="Office Supplies"/>
    <s v="Jan-2025"/>
    <x v="3"/>
  </r>
  <r>
    <s v="ORD-00518"/>
    <d v="2025-02-21T00:00:00"/>
    <s v="Customer 095"/>
    <s v="Desk Lamp"/>
    <s v="Furniture"/>
    <s v="North"/>
    <n v="2"/>
    <n v="0.1"/>
    <n v="99"/>
    <n v="27.11"/>
    <s v="Furniture"/>
    <s v="Feb-2025"/>
    <x v="2"/>
  </r>
  <r>
    <s v="ORD-00519"/>
    <d v="2025-04-23T00:00:00"/>
    <s v="Customer 023"/>
    <s v="Desk Organizer"/>
    <s v="Office Supplies"/>
    <s v="South"/>
    <n v="4"/>
    <n v="0.1"/>
    <n v="90"/>
    <n v="12.72"/>
    <s v="Office Supplies"/>
    <s v="Apr-2025"/>
    <x v="9"/>
  </r>
  <r>
    <s v="ORD-00520"/>
    <d v="2025-05-02T00:00:00"/>
    <s v="Customer 004"/>
    <s v="Desk Organizer"/>
    <s v="Office Supplies"/>
    <s v="East"/>
    <n v="3"/>
    <n v="0.1"/>
    <n v="67.5"/>
    <n v="10.02"/>
    <s v="Office Supplies"/>
    <s v="May-2025"/>
    <x v="7"/>
  </r>
  <r>
    <s v="ORD-00521"/>
    <d v="2025-10-18T00:00:00"/>
    <s v="Customer 064"/>
    <s v="Desk Organizer"/>
    <s v="Office Supplies"/>
    <s v="East"/>
    <n v="2"/>
    <n v="0.2"/>
    <n v="40"/>
    <n v="5.48"/>
    <s v="Office Supplies"/>
    <s v="Oct-2025"/>
    <x v="4"/>
  </r>
  <r>
    <s v="ORD-00522"/>
    <d v="2025-03-31T00:00:00"/>
    <s v="Customer 078"/>
    <s v="Notebook Pack"/>
    <s v="Office Supplies"/>
    <s v="South"/>
    <n v="1"/>
    <n v="0"/>
    <n v="18"/>
    <n v="7.77"/>
    <s v="Office Supplies"/>
    <s v="Mar-2025"/>
    <x v="6"/>
  </r>
  <r>
    <s v="ORD-00523"/>
    <d v="2025-01-11T00:00:00"/>
    <s v="Customer 079"/>
    <s v="Printer"/>
    <s v="Office Supplies"/>
    <s v="South"/>
    <n v="4"/>
    <n v="0"/>
    <n v="960"/>
    <n v="326.91000000000003"/>
    <s v="Office Supplies"/>
    <s v="Jan-2025"/>
    <x v="3"/>
  </r>
  <r>
    <s v="ORD-00524"/>
    <d v="2025-03-08T00:00:00"/>
    <s v="Customer 019"/>
    <s v="Keyboard"/>
    <s v="Technology"/>
    <s v="South"/>
    <n v="2"/>
    <n v="0.1"/>
    <n v="126"/>
    <n v="54.22"/>
    <s v="Technology"/>
    <s v="Mar-2025"/>
    <x v="6"/>
  </r>
  <r>
    <s v="ORD-00525"/>
    <d v="2025-02-26T00:00:00"/>
    <s v="Customer 085"/>
    <s v="Printer"/>
    <s v="Office Supplies"/>
    <s v="West"/>
    <n v="3"/>
    <n v="0"/>
    <n v="720"/>
    <n v="235.23"/>
    <s v="Office Supplies"/>
    <s v="Feb-2025"/>
    <x v="2"/>
  </r>
  <r>
    <s v="ORD-00526"/>
    <d v="2025-10-28T00:00:00"/>
    <s v="Customer 021"/>
    <s v="Wireless Mouse"/>
    <s v="Technology"/>
    <s v="West"/>
    <n v="3"/>
    <n v="0.1"/>
    <n v="94.5"/>
    <n v="32.46"/>
    <s v="Technology"/>
    <s v="Oct-2025"/>
    <x v="4"/>
  </r>
  <r>
    <s v="ORD-00527"/>
    <d v="2025-11-24T00:00:00"/>
    <s v="Customer 072"/>
    <s v="Notebook Pack"/>
    <s v="Office Supplies"/>
    <s v="East"/>
    <n v="3"/>
    <n v="0.05"/>
    <n v="51.3"/>
    <n v="11.11"/>
    <s v="Office Supplies"/>
    <s v="Nov-2025"/>
    <x v="0"/>
  </r>
  <r>
    <s v="ORD-00528"/>
    <d v="2025-04-25T00:00:00"/>
    <s v="Customer 094"/>
    <s v="Monitor 24"/>
    <s v="Technology"/>
    <s v="East"/>
    <n v="5"/>
    <n v="0.05"/>
    <n v="1520"/>
    <n v="494.2"/>
    <s v="Technology"/>
    <s v="Apr-2025"/>
    <x v="9"/>
  </r>
  <r>
    <s v="ORD-00529"/>
    <d v="2025-03-07T00:00:00"/>
    <s v="Customer 099"/>
    <s v="Office Chair"/>
    <s v="Furniture"/>
    <s v="North"/>
    <n v="1"/>
    <n v="0.2"/>
    <n v="224"/>
    <n v="71.849999999999994"/>
    <s v="Furniture"/>
    <s v="Mar-2025"/>
    <x v="6"/>
  </r>
  <r>
    <s v="ORD-00530"/>
    <d v="2025-04-04T00:00:00"/>
    <s v="Customer 073"/>
    <s v="Desk Organizer"/>
    <s v="Office Supplies"/>
    <s v="North"/>
    <n v="3"/>
    <n v="0.2"/>
    <n v="60"/>
    <n v="22.63"/>
    <s v="Office Supplies"/>
    <s v="Apr-2025"/>
    <x v="9"/>
  </r>
  <r>
    <s v="ORD-00531"/>
    <d v="2025-09-12T00:00:00"/>
    <s v="Customer 041"/>
    <s v="Office Chair"/>
    <s v="Furniture"/>
    <s v="South"/>
    <n v="3"/>
    <n v="0"/>
    <n v="840"/>
    <n v="312.02999999999997"/>
    <s v="Furniture"/>
    <s v="Sept-2025"/>
    <x v="10"/>
  </r>
  <r>
    <s v="ORD-00532"/>
    <d v="2025-11-22T00:00:00"/>
    <s v="Customer 027"/>
    <s v="Wireless Mouse"/>
    <s v="Technology"/>
    <s v="South"/>
    <n v="3"/>
    <n v="0.15"/>
    <n v="89.25"/>
    <n v="39.83"/>
    <s v="Technology"/>
    <s v="Nov-2025"/>
    <x v="0"/>
  </r>
  <r>
    <s v="ORD-00533"/>
    <d v="2025-12-21T00:00:00"/>
    <s v="Customer 093"/>
    <s v="Wireless Mouse"/>
    <s v="Technology"/>
    <s v="North"/>
    <n v="3"/>
    <n v="0.1"/>
    <n v="94.5"/>
    <n v="17.98"/>
    <s v="Technology"/>
    <s v="Dec-2025"/>
    <x v="1"/>
  </r>
  <r>
    <s v="ORD-00534"/>
    <d v="2025-01-25T00:00:00"/>
    <s v="Customer 053"/>
    <s v="Bookshelf"/>
    <s v="Furniture"/>
    <s v="West"/>
    <n v="4"/>
    <n v="0.15"/>
    <n v="646"/>
    <n v="84.11"/>
    <s v="Furniture"/>
    <s v="Jan-2025"/>
    <x v="3"/>
  </r>
  <r>
    <s v="ORD-00535"/>
    <d v="2025-07-13T00:00:00"/>
    <s v="Customer 062"/>
    <s v="Keyboard"/>
    <s v="Technology"/>
    <s v="South"/>
    <n v="5"/>
    <n v="0.15"/>
    <n v="297.5"/>
    <n v="123.92"/>
    <s v="Technology"/>
    <s v="Jul-2025"/>
    <x v="5"/>
  </r>
  <r>
    <s v="ORD-00536"/>
    <d v="2025-03-25T00:00:00"/>
    <s v="Customer 041"/>
    <s v="Notebook Pack"/>
    <s v="Office Supplies"/>
    <s v="East"/>
    <n v="1"/>
    <n v="0"/>
    <n v="18"/>
    <n v="6.35"/>
    <s v="Office Supplies"/>
    <s v="Mar-2025"/>
    <x v="6"/>
  </r>
  <r>
    <s v="ORD-00537"/>
    <d v="2025-02-23T00:00:00"/>
    <s v="Customer 021"/>
    <s v="Wireless Mouse"/>
    <s v="Technology"/>
    <s v="North"/>
    <n v="3"/>
    <n v="0.05"/>
    <n v="99.75"/>
    <n v="15.66"/>
    <s v="Technology"/>
    <s v="Feb-2025"/>
    <x v="2"/>
  </r>
  <r>
    <s v="ORD-00538"/>
    <d v="2025-10-08T00:00:00"/>
    <s v="Customer 062"/>
    <s v="Wireless Mouse"/>
    <s v="Technology"/>
    <s v="North"/>
    <n v="3"/>
    <n v="0.2"/>
    <n v="84"/>
    <n v="10.49"/>
    <s v="Technology"/>
    <s v="Oct-2025"/>
    <x v="4"/>
  </r>
  <r>
    <s v="ORD-00539"/>
    <d v="2025-08-09T00:00:00"/>
    <s v="Customer 021"/>
    <s v="Monitor 24"/>
    <s v="Technology"/>
    <s v="North"/>
    <n v="2"/>
    <n v="0.2"/>
    <n v="512"/>
    <n v="80.069999999999993"/>
    <s v="Technology"/>
    <s v="Aug-2025"/>
    <x v="8"/>
  </r>
  <r>
    <s v="ORD-00540"/>
    <d v="2025-02-21T00:00:00"/>
    <s v="Customer 071"/>
    <s v="Keyboard"/>
    <s v="Technology"/>
    <s v="East"/>
    <n v="2"/>
    <n v="0.05"/>
    <n v="133"/>
    <n v="41.89"/>
    <s v="Technology"/>
    <s v="Feb-2025"/>
    <x v="2"/>
  </r>
  <r>
    <s v="ORD-00541"/>
    <d v="2025-12-05T00:00:00"/>
    <s v="Customer 051"/>
    <s v="Smartphone X"/>
    <s v="Technology"/>
    <s v="West"/>
    <n v="3"/>
    <n v="0.05"/>
    <n v="2422.5"/>
    <n v="1013.45"/>
    <s v="Technology"/>
    <s v="Dec-2025"/>
    <x v="1"/>
  </r>
  <r>
    <s v="ORD-00542"/>
    <d v="2025-03-20T00:00:00"/>
    <s v="Customer 038"/>
    <s v="Laptop Pro 15"/>
    <s v="Technology"/>
    <s v="West"/>
    <n v="3"/>
    <n v="0"/>
    <n v="3600"/>
    <n v="1112"/>
    <s v="Technology"/>
    <s v="Mar-2025"/>
    <x v="6"/>
  </r>
  <r>
    <s v="ORD-00543"/>
    <d v="2025-04-13T00:00:00"/>
    <s v="Customer 038"/>
    <s v="Wireless Mouse"/>
    <s v="Technology"/>
    <s v="North"/>
    <n v="1"/>
    <n v="0.05"/>
    <n v="33.25"/>
    <n v="13.09"/>
    <s v="Technology"/>
    <s v="Apr-2025"/>
    <x v="9"/>
  </r>
  <r>
    <s v="ORD-00544"/>
    <d v="2025-08-31T00:00:00"/>
    <s v="Customer 085"/>
    <s v="Wireless Mouse"/>
    <s v="Technology"/>
    <s v="East"/>
    <n v="3"/>
    <n v="0.15"/>
    <n v="89.25"/>
    <n v="26.29"/>
    <s v="Technology"/>
    <s v="Aug-2025"/>
    <x v="8"/>
  </r>
  <r>
    <s v="ORD-00545"/>
    <d v="2025-02-16T00:00:00"/>
    <s v="Customer 049"/>
    <s v="Monitor 24"/>
    <s v="Technology"/>
    <s v="East"/>
    <n v="5"/>
    <n v="0.15"/>
    <n v="1360"/>
    <n v="529.03"/>
    <s v="Technology"/>
    <s v="Feb-2025"/>
    <x v="2"/>
  </r>
  <r>
    <s v="ORD-00546"/>
    <d v="2025-04-06T00:00:00"/>
    <s v="Customer 034"/>
    <s v="Notebook Pack"/>
    <s v="Office Supplies"/>
    <s v="South"/>
    <n v="1"/>
    <n v="0.1"/>
    <n v="16.2"/>
    <n v="4.9400000000000004"/>
    <s v="Office Supplies"/>
    <s v="Apr-2025"/>
    <x v="9"/>
  </r>
  <r>
    <s v="ORD-00547"/>
    <d v="2025-05-18T00:00:00"/>
    <s v="Customer 086"/>
    <s v="Desk Organizer"/>
    <s v="Office Supplies"/>
    <s v="North"/>
    <n v="1"/>
    <n v="0.05"/>
    <n v="23.75"/>
    <n v="4.79"/>
    <s v="Office Supplies"/>
    <s v="May-2025"/>
    <x v="7"/>
  </r>
  <r>
    <s v="ORD-00548"/>
    <d v="2025-02-13T00:00:00"/>
    <s v="Customer 097"/>
    <s v="Monitor 24"/>
    <s v="Technology"/>
    <s v="South"/>
    <n v="3"/>
    <n v="0.2"/>
    <n v="768"/>
    <n v="240.68"/>
    <s v="Technology"/>
    <s v="Feb-2025"/>
    <x v="2"/>
  </r>
  <r>
    <s v="ORD-00549"/>
    <d v="2025-10-11T00:00:00"/>
    <s v="Customer 069"/>
    <s v="Laptop Pro 15"/>
    <s v="Technology"/>
    <s v="West"/>
    <n v="4"/>
    <n v="0.2"/>
    <n v="3840"/>
    <n v="1197.51"/>
    <s v="Technology"/>
    <s v="Oct-2025"/>
    <x v="4"/>
  </r>
  <r>
    <s v="ORD-00550"/>
    <d v="2025-10-21T00:00:00"/>
    <s v="Customer 092"/>
    <s v="Desk Lamp"/>
    <s v="Furniture"/>
    <s v="North"/>
    <n v="4"/>
    <n v="0.1"/>
    <n v="198"/>
    <n v="83.94"/>
    <s v="Furniture"/>
    <s v="Oct-2025"/>
    <x v="4"/>
  </r>
  <r>
    <s v="ORD-00551"/>
    <d v="2025-09-15T00:00:00"/>
    <s v="Customer 080"/>
    <s v="Desk Organizer"/>
    <s v="Office Supplies"/>
    <s v="South"/>
    <n v="5"/>
    <n v="0.2"/>
    <n v="100"/>
    <n v="22.64"/>
    <s v="Office Supplies"/>
    <s v="Sept-2025"/>
    <x v="10"/>
  </r>
  <r>
    <s v="ORD-00552"/>
    <d v="2025-03-03T00:00:00"/>
    <s v="Customer 025"/>
    <s v="Notebook Pack"/>
    <s v="Office Supplies"/>
    <s v="South"/>
    <n v="2"/>
    <n v="0.05"/>
    <n v="34.200000000000003"/>
    <n v="4.42"/>
    <s v="Office Supplies"/>
    <s v="Mar-2025"/>
    <x v="6"/>
  </r>
  <r>
    <s v="ORD-00553"/>
    <d v="2025-01-22T00:00:00"/>
    <s v="Customer 081"/>
    <s v="Bookshelf"/>
    <s v="Furniture"/>
    <s v="South"/>
    <n v="1"/>
    <n v="0.15"/>
    <n v="161.5"/>
    <n v="61.91"/>
    <s v="Furniture"/>
    <s v="Jan-2025"/>
    <x v="3"/>
  </r>
  <r>
    <s v="ORD-00554"/>
    <d v="2025-11-01T00:00:00"/>
    <s v="Customer 072"/>
    <s v="Smartphone X"/>
    <s v="Technology"/>
    <s v="West"/>
    <n v="3"/>
    <n v="0"/>
    <n v="2550"/>
    <n v="1074.27"/>
    <s v="Technology"/>
    <s v="Nov-2025"/>
    <x v="0"/>
  </r>
  <r>
    <s v="ORD-00555"/>
    <d v="2025-10-10T00:00:00"/>
    <s v="Customer 002"/>
    <s v="Keyboard"/>
    <s v="Technology"/>
    <s v="West"/>
    <n v="3"/>
    <n v="0.2"/>
    <n v="168"/>
    <n v="50.2"/>
    <s v="Technology"/>
    <s v="Oct-2025"/>
    <x v="4"/>
  </r>
  <r>
    <s v="ORD-00556"/>
    <d v="2025-02-27T00:00:00"/>
    <s v="Customer 075"/>
    <s v="Bookshelf"/>
    <s v="Furniture"/>
    <s v="North"/>
    <n v="2"/>
    <n v="0.05"/>
    <n v="361"/>
    <n v="94.95"/>
    <s v="Furniture"/>
    <s v="Feb-2025"/>
    <x v="2"/>
  </r>
  <r>
    <s v="ORD-00557"/>
    <d v="2025-02-24T00:00:00"/>
    <s v="Customer 045"/>
    <s v="Desk Organizer"/>
    <s v="Office Supplies"/>
    <s v="West"/>
    <n v="1"/>
    <n v="0.1"/>
    <n v="22.5"/>
    <n v="3.68"/>
    <s v="Office Supplies"/>
    <s v="Feb-2025"/>
    <x v="2"/>
  </r>
  <r>
    <s v="ORD-00558"/>
    <d v="2025-05-16T00:00:00"/>
    <s v="Customer 005"/>
    <s v="Bookshelf"/>
    <s v="Furniture"/>
    <s v="South"/>
    <n v="4"/>
    <n v="0.2"/>
    <n v="608"/>
    <n v="151.41999999999999"/>
    <s v="Furniture"/>
    <s v="May-2025"/>
    <x v="7"/>
  </r>
  <r>
    <s v="ORD-00559"/>
    <d v="2025-05-22T00:00:00"/>
    <s v="Customer 089"/>
    <s v="Bookshelf"/>
    <s v="Furniture"/>
    <s v="West"/>
    <n v="2"/>
    <n v="0.2"/>
    <n v="304"/>
    <n v="75.739999999999995"/>
    <s v="Furniture"/>
    <s v="May-2025"/>
    <x v="7"/>
  </r>
  <r>
    <s v="ORD-00560"/>
    <d v="2025-01-20T00:00:00"/>
    <s v="Customer 061"/>
    <s v="Bookshelf"/>
    <s v="Furniture"/>
    <s v="East"/>
    <n v="3"/>
    <n v="0.05"/>
    <n v="541.5"/>
    <n v="234.87"/>
    <s v="Furniture"/>
    <s v="Jan-2025"/>
    <x v="3"/>
  </r>
  <r>
    <s v="ORD-00561"/>
    <d v="2025-07-10T00:00:00"/>
    <s v="Customer 063"/>
    <s v="Laptop Pro 15"/>
    <s v="Technology"/>
    <s v="North"/>
    <n v="3"/>
    <n v="0.1"/>
    <n v="3240"/>
    <n v="1125.53"/>
    <s v="Technology"/>
    <s v="Jul-2025"/>
    <x v="5"/>
  </r>
  <r>
    <s v="ORD-00562"/>
    <d v="2025-04-27T00:00:00"/>
    <s v="Customer 042"/>
    <s v="Office Chair"/>
    <s v="Furniture"/>
    <s v="East"/>
    <n v="3"/>
    <n v="0.15"/>
    <n v="714"/>
    <n v="138.91999999999999"/>
    <s v="Furniture"/>
    <s v="Apr-2025"/>
    <x v="9"/>
  </r>
  <r>
    <s v="ORD-00563"/>
    <d v="2025-08-02T00:00:00"/>
    <s v="Customer 053"/>
    <s v="Desk Organizer"/>
    <s v="Office Supplies"/>
    <s v="West"/>
    <n v="1"/>
    <n v="0.05"/>
    <n v="23.75"/>
    <n v="7.23"/>
    <s v="Office Supplies"/>
    <s v="Aug-2025"/>
    <x v="8"/>
  </r>
  <r>
    <s v="ORD-00564"/>
    <d v="2025-09-22T00:00:00"/>
    <s v="Customer 009"/>
    <s v="Keyboard"/>
    <s v="Technology"/>
    <s v="East"/>
    <n v="1"/>
    <n v="0.2"/>
    <n v="56"/>
    <n v="10.57"/>
    <s v="Technology"/>
    <s v="Sept-2025"/>
    <x v="10"/>
  </r>
  <r>
    <s v="ORD-00565"/>
    <d v="2025-12-30T00:00:00"/>
    <s v="Customer 068"/>
    <s v="Printer"/>
    <s v="Office Supplies"/>
    <s v="North"/>
    <n v="4"/>
    <n v="0.05"/>
    <n v="912"/>
    <n v="175.5"/>
    <s v="Office Supplies"/>
    <s v="Dec-2025"/>
    <x v="1"/>
  </r>
  <r>
    <s v="ORD-00566"/>
    <d v="2025-03-30T00:00:00"/>
    <s v="Customer 059"/>
    <s v="Desk Lamp"/>
    <s v="Furniture"/>
    <s v="North"/>
    <n v="2"/>
    <n v="0"/>
    <n v="110"/>
    <n v="40.44"/>
    <s v="Furniture"/>
    <s v="Mar-2025"/>
    <x v="6"/>
  </r>
  <r>
    <s v="ORD-00567"/>
    <d v="2025-07-04T00:00:00"/>
    <s v="Customer 060"/>
    <s v="Coffee Table"/>
    <s v="Furniture"/>
    <s v="West"/>
    <n v="2"/>
    <n v="0.1"/>
    <n v="378"/>
    <n v="124.15"/>
    <s v="Furniture"/>
    <s v="Jul-2025"/>
    <x v="5"/>
  </r>
  <r>
    <s v="ORD-00568"/>
    <d v="2025-11-22T00:00:00"/>
    <s v="Customer 077"/>
    <s v="Wireless Mouse"/>
    <s v="Technology"/>
    <s v="West"/>
    <n v="1"/>
    <n v="0.05"/>
    <n v="33.25"/>
    <n v="10.88"/>
    <s v="Technology"/>
    <s v="Nov-2025"/>
    <x v="0"/>
  </r>
  <r>
    <s v="ORD-00569"/>
    <d v="2025-04-01T00:00:00"/>
    <s v="Customer 021"/>
    <s v="Notebook Pack"/>
    <s v="Office Supplies"/>
    <s v="East"/>
    <n v="5"/>
    <n v="0.2"/>
    <n v="72"/>
    <n v="24.09"/>
    <s v="Office Supplies"/>
    <s v="Apr-2025"/>
    <x v="9"/>
  </r>
  <r>
    <s v="ORD-00570"/>
    <d v="2025-12-19T00:00:00"/>
    <s v="Customer 021"/>
    <s v="Wireless Mouse"/>
    <s v="Technology"/>
    <s v="South"/>
    <n v="3"/>
    <n v="0"/>
    <n v="105"/>
    <n v="33.86"/>
    <s v="Technology"/>
    <s v="Dec-2025"/>
    <x v="1"/>
  </r>
  <r>
    <s v="ORD-00571"/>
    <d v="2025-04-24T00:00:00"/>
    <s v="Customer 053"/>
    <s v="Monitor 24"/>
    <s v="Technology"/>
    <s v="North"/>
    <n v="2"/>
    <n v="0.05"/>
    <n v="608"/>
    <n v="219.61"/>
    <s v="Technology"/>
    <s v="Apr-2025"/>
    <x v="9"/>
  </r>
  <r>
    <s v="ORD-00572"/>
    <d v="2025-12-16T00:00:00"/>
    <s v="Customer 077"/>
    <s v="Laptop Pro 15"/>
    <s v="Technology"/>
    <s v="North"/>
    <n v="4"/>
    <n v="0.05"/>
    <n v="4560"/>
    <n v="1077.8399999999999"/>
    <s v="Technology"/>
    <s v="Dec-2025"/>
    <x v="1"/>
  </r>
  <r>
    <s v="ORD-00573"/>
    <d v="2025-04-25T00:00:00"/>
    <s v="Customer 091"/>
    <s v="Smartphone X"/>
    <s v="Technology"/>
    <s v="East"/>
    <n v="5"/>
    <n v="0.1"/>
    <n v="3825"/>
    <n v="821.59"/>
    <s v="Technology"/>
    <s v="Apr-2025"/>
    <x v="9"/>
  </r>
  <r>
    <s v="ORD-00574"/>
    <d v="2025-08-05T00:00:00"/>
    <s v="Customer 060"/>
    <s v="Bookshelf"/>
    <s v="Furniture"/>
    <s v="East"/>
    <n v="3"/>
    <n v="0.15"/>
    <n v="484.5"/>
    <n v="177.73"/>
    <s v="Furniture"/>
    <s v="Aug-2025"/>
    <x v="8"/>
  </r>
  <r>
    <s v="ORD-00575"/>
    <d v="2025-12-13T00:00:00"/>
    <s v="Customer 001"/>
    <s v="Printer"/>
    <s v="Office Supplies"/>
    <s v="East"/>
    <n v="5"/>
    <n v="0.15"/>
    <n v="1020"/>
    <n v="262.26"/>
    <s v="Office Supplies"/>
    <s v="Dec-2025"/>
    <x v="1"/>
  </r>
  <r>
    <s v="ORD-00576"/>
    <d v="2025-10-15T00:00:00"/>
    <s v="Customer 088"/>
    <s v="Monitor 24"/>
    <s v="Technology"/>
    <s v="North"/>
    <n v="5"/>
    <n v="0.2"/>
    <n v="1280"/>
    <n v="456.6"/>
    <s v="Technology"/>
    <s v="Oct-2025"/>
    <x v="4"/>
  </r>
  <r>
    <s v="ORD-00577"/>
    <d v="2025-09-04T00:00:00"/>
    <s v="Customer 036"/>
    <s v="Wireless Mouse"/>
    <s v="Technology"/>
    <s v="East"/>
    <n v="3"/>
    <n v="0.1"/>
    <n v="94.5"/>
    <n v="22.55"/>
    <s v="Technology"/>
    <s v="Sept-2025"/>
    <x v="10"/>
  </r>
  <r>
    <s v="ORD-00578"/>
    <d v="2025-12-02T00:00:00"/>
    <s v="Customer 098"/>
    <s v="Coffee Table"/>
    <s v="Furniture"/>
    <s v="South"/>
    <n v="3"/>
    <n v="0.05"/>
    <n v="598.5"/>
    <n v="239.71"/>
    <s v="Furniture"/>
    <s v="Dec-2025"/>
    <x v="1"/>
  </r>
  <r>
    <s v="ORD-00579"/>
    <d v="2025-01-30T00:00:00"/>
    <s v="Customer 093"/>
    <s v="Desk Organizer"/>
    <s v="Office Supplies"/>
    <s v="North"/>
    <n v="4"/>
    <n v="0.1"/>
    <n v="90"/>
    <n v="20.28"/>
    <s v="Office Supplies"/>
    <s v="Jan-2025"/>
    <x v="3"/>
  </r>
  <r>
    <s v="ORD-00580"/>
    <d v="2025-12-02T00:00:00"/>
    <s v="Customer 052"/>
    <s v="Notebook Pack"/>
    <s v="Office Supplies"/>
    <s v="West"/>
    <n v="3"/>
    <n v="0.1"/>
    <n v="48.6"/>
    <n v="7.32"/>
    <s v="Office Supplies"/>
    <s v="Dec-2025"/>
    <x v="1"/>
  </r>
  <r>
    <s v="ORD-00581"/>
    <d v="2025-01-19T00:00:00"/>
    <s v="Customer 092"/>
    <s v="Desk Organizer"/>
    <s v="Office Supplies"/>
    <s v="South"/>
    <n v="5"/>
    <n v="0.05"/>
    <n v="118.75"/>
    <n v="39.99"/>
    <s v="Office Supplies"/>
    <s v="Jan-2025"/>
    <x v="3"/>
  </r>
  <r>
    <s v="ORD-00582"/>
    <d v="2025-12-18T00:00:00"/>
    <s v="Customer 022"/>
    <s v="Printer"/>
    <s v="Office Supplies"/>
    <s v="South"/>
    <n v="4"/>
    <n v="0.1"/>
    <n v="864"/>
    <n v="244.15"/>
    <s v="Office Supplies"/>
    <s v="Dec-2025"/>
    <x v="1"/>
  </r>
  <r>
    <s v="ORD-00583"/>
    <d v="2025-05-31T00:00:00"/>
    <s v="Customer 093"/>
    <s v="Wireless Mouse"/>
    <s v="Technology"/>
    <s v="South"/>
    <n v="4"/>
    <n v="0.05"/>
    <n v="133"/>
    <n v="27.33"/>
    <s v="Technology"/>
    <s v="May-2025"/>
    <x v="7"/>
  </r>
  <r>
    <s v="ORD-00584"/>
    <d v="2025-12-15T00:00:00"/>
    <s v="Customer 096"/>
    <s v="Keyboard"/>
    <s v="Technology"/>
    <s v="East"/>
    <n v="1"/>
    <n v="0.05"/>
    <n v="66.5"/>
    <n v="22.13"/>
    <s v="Technology"/>
    <s v="Dec-2025"/>
    <x v="1"/>
  </r>
  <r>
    <s v="ORD-00585"/>
    <d v="2025-08-04T00:00:00"/>
    <s v="Customer 060"/>
    <s v="Keyboard"/>
    <s v="Technology"/>
    <s v="North"/>
    <n v="3"/>
    <n v="0.1"/>
    <n v="189"/>
    <n v="48.53"/>
    <s v="Technology"/>
    <s v="Aug-2025"/>
    <x v="8"/>
  </r>
  <r>
    <s v="ORD-00586"/>
    <d v="2025-08-29T00:00:00"/>
    <s v="Customer 010"/>
    <s v="Laptop Pro 15"/>
    <s v="Technology"/>
    <s v="West"/>
    <n v="5"/>
    <n v="0.2"/>
    <n v="4800"/>
    <n v="664.23"/>
    <s v="Technology"/>
    <s v="Aug-2025"/>
    <x v="8"/>
  </r>
  <r>
    <s v="ORD-00587"/>
    <d v="2025-04-10T00:00:00"/>
    <s v="Customer 053"/>
    <s v="Printer"/>
    <s v="Office Supplies"/>
    <s v="North"/>
    <n v="1"/>
    <n v="0.15"/>
    <n v="204"/>
    <n v="56.13"/>
    <s v="Office Supplies"/>
    <s v="Apr-2025"/>
    <x v="9"/>
  </r>
  <r>
    <s v="ORD-00588"/>
    <d v="2025-03-19T00:00:00"/>
    <s v="Customer 073"/>
    <s v="Office Chair"/>
    <s v="Furniture"/>
    <s v="West"/>
    <n v="2"/>
    <n v="0.1"/>
    <n v="504"/>
    <n v="158.74"/>
    <s v="Furniture"/>
    <s v="Mar-2025"/>
    <x v="6"/>
  </r>
  <r>
    <s v="ORD-00589"/>
    <d v="2025-03-15T00:00:00"/>
    <s v="Customer 081"/>
    <s v="Keyboard"/>
    <s v="Technology"/>
    <s v="South"/>
    <n v="2"/>
    <n v="0"/>
    <n v="140"/>
    <n v="40.47"/>
    <s v="Technology"/>
    <s v="Mar-2025"/>
    <x v="6"/>
  </r>
  <r>
    <s v="ORD-00590"/>
    <d v="2025-06-10T00:00:00"/>
    <s v="Customer 027"/>
    <s v="Monitor 24"/>
    <s v="Technology"/>
    <s v="South"/>
    <n v="1"/>
    <n v="0"/>
    <n v="320"/>
    <n v="96.26"/>
    <s v="Technology"/>
    <s v="Jun-2025"/>
    <x v="11"/>
  </r>
  <r>
    <s v="ORD-00591"/>
    <d v="2025-10-23T00:00:00"/>
    <s v="Customer 056"/>
    <s v="Office Chair"/>
    <s v="Furniture"/>
    <s v="West"/>
    <n v="4"/>
    <n v="0"/>
    <n v="1120"/>
    <n v="456.17"/>
    <s v="Furniture"/>
    <s v="Oct-2025"/>
    <x v="4"/>
  </r>
  <r>
    <s v="ORD-00592"/>
    <d v="2025-07-26T00:00:00"/>
    <s v="Customer 069"/>
    <s v="Bookshelf"/>
    <s v="Furniture"/>
    <s v="South"/>
    <n v="4"/>
    <n v="0.15"/>
    <n v="646"/>
    <n v="289.7"/>
    <s v="Furniture"/>
    <s v="Jul-2025"/>
    <x v="5"/>
  </r>
  <r>
    <s v="ORD-00593"/>
    <d v="2025-07-11T00:00:00"/>
    <s v="Customer 087"/>
    <s v="Laptop Pro 15"/>
    <s v="Technology"/>
    <s v="North"/>
    <n v="3"/>
    <n v="0.2"/>
    <n v="2880"/>
    <n v="1114.8800000000001"/>
    <s v="Technology"/>
    <s v="Jul-2025"/>
    <x v="5"/>
  </r>
  <r>
    <s v="ORD-00594"/>
    <d v="2025-11-17T00:00:00"/>
    <s v="Customer 045"/>
    <s v="Coffee Table"/>
    <s v="Furniture"/>
    <s v="East"/>
    <n v="2"/>
    <n v="0.05"/>
    <n v="399"/>
    <n v="88.23"/>
    <s v="Furniture"/>
    <s v="Nov-2025"/>
    <x v="0"/>
  </r>
  <r>
    <s v="ORD-00595"/>
    <d v="2025-03-08T00:00:00"/>
    <s v="Customer 022"/>
    <s v="Wireless Mouse"/>
    <s v="Technology"/>
    <s v="North"/>
    <n v="4"/>
    <n v="0.2"/>
    <n v="112"/>
    <n v="28.64"/>
    <s v="Technology"/>
    <s v="Mar-2025"/>
    <x v="6"/>
  </r>
  <r>
    <s v="ORD-00596"/>
    <d v="2025-01-24T00:00:00"/>
    <s v="Customer 077"/>
    <s v="Smartphone X"/>
    <s v="Technology"/>
    <s v="East"/>
    <n v="3"/>
    <n v="0.15"/>
    <n v="2167.5"/>
    <n v="454.78"/>
    <s v="Technology"/>
    <s v="Jan-2025"/>
    <x v="3"/>
  </r>
  <r>
    <s v="ORD-00597"/>
    <d v="2025-08-11T00:00:00"/>
    <s v="Customer 063"/>
    <s v="Monitor 24"/>
    <s v="Technology"/>
    <s v="East"/>
    <n v="2"/>
    <n v="0.1"/>
    <n v="576"/>
    <n v="69.849999999999994"/>
    <s v="Technology"/>
    <s v="Aug-2025"/>
    <x v="8"/>
  </r>
  <r>
    <s v="ORD-00598"/>
    <d v="2025-04-07T00:00:00"/>
    <s v="Customer 094"/>
    <s v="Office Chair"/>
    <s v="Furniture"/>
    <s v="South"/>
    <n v="4"/>
    <n v="0"/>
    <n v="1120"/>
    <n v="419.58"/>
    <s v="Furniture"/>
    <s v="Apr-2025"/>
    <x v="9"/>
  </r>
  <r>
    <s v="ORD-00599"/>
    <d v="2025-04-19T00:00:00"/>
    <s v="Customer 016"/>
    <s v="Coffee Table"/>
    <s v="Furniture"/>
    <s v="East"/>
    <n v="1"/>
    <n v="0.2"/>
    <n v="168"/>
    <n v="47.62"/>
    <s v="Furniture"/>
    <s v="Apr-2025"/>
    <x v="9"/>
  </r>
  <r>
    <s v="ORD-00600"/>
    <d v="2025-12-31T00:00:00"/>
    <s v="Customer 033"/>
    <s v="Monitor 24"/>
    <s v="Technology"/>
    <s v="North"/>
    <n v="1"/>
    <n v="0.15"/>
    <n v="272"/>
    <n v="43.72"/>
    <s v="Technology"/>
    <s v="Dec-2025"/>
    <x v="1"/>
  </r>
  <r>
    <s v="ORD-00601"/>
    <d v="2025-11-01T00:00:00"/>
    <s v="Customer 015"/>
    <s v="Laptop Pro 15"/>
    <s v="Technology"/>
    <s v="West"/>
    <n v="1"/>
    <n v="0"/>
    <n v="1200"/>
    <n v="520.9"/>
    <s v="Technology"/>
    <s v="Nov-2025"/>
    <x v="0"/>
  </r>
  <r>
    <s v="ORD-00602"/>
    <d v="2025-08-16T00:00:00"/>
    <s v="Customer 090"/>
    <s v="Bookshelf"/>
    <s v="Furniture"/>
    <s v="South"/>
    <n v="1"/>
    <n v="0.2"/>
    <n v="152"/>
    <n v="55.72"/>
    <s v="Furniture"/>
    <s v="Aug-2025"/>
    <x v="8"/>
  </r>
  <r>
    <s v="ORD-00603"/>
    <d v="2025-04-16T00:00:00"/>
    <s v="Customer 013"/>
    <s v="Coffee Table"/>
    <s v="Furniture"/>
    <s v="East"/>
    <n v="1"/>
    <n v="0.1"/>
    <n v="189"/>
    <n v="58.8"/>
    <s v="Furniture"/>
    <s v="Apr-2025"/>
    <x v="9"/>
  </r>
  <r>
    <s v="ORD-00604"/>
    <d v="2025-11-15T00:00:00"/>
    <s v="Customer 014"/>
    <s v="Desk Organizer"/>
    <s v="Office Supplies"/>
    <s v="North"/>
    <n v="2"/>
    <n v="0.15"/>
    <n v="42.5"/>
    <n v="7.48"/>
    <s v="Office Supplies"/>
    <s v="Nov-2025"/>
    <x v="0"/>
  </r>
  <r>
    <s v="ORD-00605"/>
    <d v="2025-05-25T00:00:00"/>
    <s v="Customer 026"/>
    <s v="Wireless Mouse"/>
    <s v="Technology"/>
    <s v="East"/>
    <n v="1"/>
    <n v="0.15"/>
    <n v="29.75"/>
    <n v="11.44"/>
    <s v="Technology"/>
    <s v="May-2025"/>
    <x v="7"/>
  </r>
  <r>
    <s v="ORD-00606"/>
    <d v="2025-09-25T00:00:00"/>
    <s v="Customer 006"/>
    <s v="Desk Lamp"/>
    <s v="Furniture"/>
    <s v="West"/>
    <n v="3"/>
    <n v="0.15"/>
    <n v="140.25"/>
    <n v="49.44"/>
    <s v="Furniture"/>
    <s v="Sept-2025"/>
    <x v="10"/>
  </r>
  <r>
    <s v="ORD-00607"/>
    <d v="2025-04-17T00:00:00"/>
    <s v="Customer 002"/>
    <s v="Coffee Table"/>
    <s v="Furniture"/>
    <s v="North"/>
    <n v="4"/>
    <n v="0.1"/>
    <n v="756"/>
    <n v="281.7"/>
    <s v="Furniture"/>
    <s v="Apr-2025"/>
    <x v="9"/>
  </r>
  <r>
    <s v="ORD-00608"/>
    <d v="2025-02-26T00:00:00"/>
    <s v="Customer 100"/>
    <s v="Desk Organizer"/>
    <s v="Office Supplies"/>
    <s v="North"/>
    <n v="4"/>
    <n v="0.05"/>
    <n v="95"/>
    <n v="12.98"/>
    <s v="Office Supplies"/>
    <s v="Feb-2025"/>
    <x v="2"/>
  </r>
  <r>
    <s v="ORD-00609"/>
    <d v="2025-02-21T00:00:00"/>
    <s v="Customer 038"/>
    <s v="Smartphone X"/>
    <s v="Technology"/>
    <s v="East"/>
    <n v="2"/>
    <n v="0.15"/>
    <n v="1445"/>
    <n v="178.8"/>
    <s v="Technology"/>
    <s v="Feb-2025"/>
    <x v="2"/>
  </r>
  <r>
    <s v="ORD-00610"/>
    <d v="2025-08-26T00:00:00"/>
    <s v="Customer 038"/>
    <s v="Laptop Pro 15"/>
    <s v="Technology"/>
    <s v="East"/>
    <n v="1"/>
    <n v="0.05"/>
    <n v="1140"/>
    <n v="184.15"/>
    <s v="Technology"/>
    <s v="Aug-2025"/>
    <x v="8"/>
  </r>
  <r>
    <s v="ORD-00611"/>
    <d v="2025-12-13T00:00:00"/>
    <s v="Customer 098"/>
    <s v="Keyboard"/>
    <s v="Technology"/>
    <s v="North"/>
    <n v="4"/>
    <n v="0"/>
    <n v="280"/>
    <n v="117.22"/>
    <s v="Technology"/>
    <s v="Dec-2025"/>
    <x v="1"/>
  </r>
  <r>
    <s v="ORD-00612"/>
    <d v="2025-01-05T00:00:00"/>
    <s v="Customer 057"/>
    <s v="Office Chair"/>
    <s v="Furniture"/>
    <s v="East"/>
    <n v="2"/>
    <n v="0.1"/>
    <n v="504"/>
    <n v="167.34"/>
    <s v="Furniture"/>
    <s v="Jan-2025"/>
    <x v="3"/>
  </r>
  <r>
    <s v="ORD-00613"/>
    <d v="2025-02-17T00:00:00"/>
    <s v="Customer 052"/>
    <s v="Keyboard"/>
    <s v="Technology"/>
    <s v="West"/>
    <n v="3"/>
    <n v="0.05"/>
    <n v="199.5"/>
    <n v="82.28"/>
    <s v="Technology"/>
    <s v="Feb-2025"/>
    <x v="2"/>
  </r>
  <r>
    <s v="ORD-00614"/>
    <d v="2025-05-20T00:00:00"/>
    <s v="Customer 022"/>
    <s v="Bookshelf"/>
    <s v="Furniture"/>
    <s v="North"/>
    <n v="4"/>
    <n v="0.15"/>
    <n v="646"/>
    <n v="152.38"/>
    <s v="Furniture"/>
    <s v="May-2025"/>
    <x v="7"/>
  </r>
  <r>
    <s v="ORD-00615"/>
    <d v="2025-03-09T00:00:00"/>
    <s v="Customer 076"/>
    <s v="Coffee Table"/>
    <s v="Furniture"/>
    <s v="West"/>
    <n v="1"/>
    <n v="0.05"/>
    <n v="199.5"/>
    <n v="82.95"/>
    <s v="Furniture"/>
    <s v="Mar-2025"/>
    <x v="6"/>
  </r>
  <r>
    <s v="ORD-00616"/>
    <d v="2025-10-19T00:00:00"/>
    <s v="Customer 100"/>
    <s v="Monitor 24"/>
    <s v="Technology"/>
    <s v="East"/>
    <n v="4"/>
    <n v="0.05"/>
    <n v="1216"/>
    <n v="301.89"/>
    <s v="Technology"/>
    <s v="Oct-2025"/>
    <x v="4"/>
  </r>
  <r>
    <s v="ORD-00617"/>
    <d v="2025-11-10T00:00:00"/>
    <s v="Customer 015"/>
    <s v="Laptop Pro 15"/>
    <s v="Technology"/>
    <s v="West"/>
    <n v="2"/>
    <n v="0.15"/>
    <n v="2040"/>
    <n v="298.39"/>
    <s v="Technology"/>
    <s v="Nov-2025"/>
    <x v="0"/>
  </r>
  <r>
    <s v="ORD-00618"/>
    <d v="2025-08-14T00:00:00"/>
    <s v="Customer 002"/>
    <s v="Laptop Pro 15"/>
    <s v="Technology"/>
    <s v="South"/>
    <n v="1"/>
    <n v="0.1"/>
    <n v="1080"/>
    <n v="252.57"/>
    <s v="Technology"/>
    <s v="Aug-2025"/>
    <x v="8"/>
  </r>
  <r>
    <s v="ORD-00619"/>
    <d v="2025-12-09T00:00:00"/>
    <s v="Customer 080"/>
    <s v="Keyboard"/>
    <s v="Technology"/>
    <s v="North"/>
    <n v="5"/>
    <n v="0.2"/>
    <n v="280"/>
    <n v="62.41"/>
    <s v="Technology"/>
    <s v="Dec-2025"/>
    <x v="1"/>
  </r>
  <r>
    <s v="ORD-00620"/>
    <d v="2025-08-10T00:00:00"/>
    <s v="Customer 087"/>
    <s v="Monitor 24"/>
    <s v="Technology"/>
    <s v="West"/>
    <n v="2"/>
    <n v="0.15"/>
    <n v="544"/>
    <n v="182.73"/>
    <s v="Technology"/>
    <s v="Aug-2025"/>
    <x v="8"/>
  </r>
  <r>
    <s v="ORD-00621"/>
    <d v="2025-03-18T00:00:00"/>
    <s v="Customer 021"/>
    <s v="Printer"/>
    <s v="Office Supplies"/>
    <s v="West"/>
    <n v="5"/>
    <n v="0"/>
    <n v="1200"/>
    <n v="535.39"/>
    <s v="Office Supplies"/>
    <s v="Mar-2025"/>
    <x v="6"/>
  </r>
  <r>
    <s v="ORD-00622"/>
    <d v="2025-09-11T00:00:00"/>
    <s v="Customer 043"/>
    <s v="Office Chair"/>
    <s v="Furniture"/>
    <s v="East"/>
    <n v="1"/>
    <n v="0.15"/>
    <n v="238"/>
    <n v="81.92"/>
    <s v="Furniture"/>
    <s v="Sept-2025"/>
    <x v="10"/>
  </r>
  <r>
    <s v="ORD-00623"/>
    <d v="2025-01-26T00:00:00"/>
    <s v="Customer 052"/>
    <s v="Printer"/>
    <s v="Office Supplies"/>
    <s v="South"/>
    <n v="2"/>
    <n v="0.2"/>
    <n v="384"/>
    <n v="91.28"/>
    <s v="Office Supplies"/>
    <s v="Jan-2025"/>
    <x v="3"/>
  </r>
  <r>
    <s v="ORD-00624"/>
    <d v="2025-02-10T00:00:00"/>
    <s v="Customer 064"/>
    <s v="Notebook Pack"/>
    <s v="Office Supplies"/>
    <s v="West"/>
    <n v="4"/>
    <n v="0.2"/>
    <n v="57.6"/>
    <n v="17.399999999999999"/>
    <s v="Office Supplies"/>
    <s v="Feb-2025"/>
    <x v="2"/>
  </r>
  <r>
    <s v="ORD-00625"/>
    <d v="2025-06-11T00:00:00"/>
    <s v="Customer 053"/>
    <s v="Wireless Mouse"/>
    <s v="Technology"/>
    <s v="North"/>
    <n v="4"/>
    <n v="0"/>
    <n v="140"/>
    <n v="58.26"/>
    <s v="Technology"/>
    <s v="Jun-2025"/>
    <x v="11"/>
  </r>
  <r>
    <s v="ORD-00626"/>
    <d v="2025-10-13T00:00:00"/>
    <s v="Customer 080"/>
    <s v="Printer"/>
    <s v="Office Supplies"/>
    <s v="East"/>
    <n v="1"/>
    <n v="0"/>
    <n v="240"/>
    <n v="45.29"/>
    <s v="Office Supplies"/>
    <s v="Oct-2025"/>
    <x v="4"/>
  </r>
  <r>
    <s v="ORD-00627"/>
    <d v="2025-09-18T00:00:00"/>
    <s v="Customer 047"/>
    <s v="Printer"/>
    <s v="Office Supplies"/>
    <s v="North"/>
    <n v="2"/>
    <n v="0.15"/>
    <n v="408"/>
    <n v="55.64"/>
    <s v="Office Supplies"/>
    <s v="Sept-2025"/>
    <x v="10"/>
  </r>
  <r>
    <s v="ORD-00628"/>
    <d v="2025-04-25T00:00:00"/>
    <s v="Customer 077"/>
    <s v="Notebook Pack"/>
    <s v="Office Supplies"/>
    <s v="West"/>
    <n v="3"/>
    <n v="0.2"/>
    <n v="43.2"/>
    <n v="8.5"/>
    <s v="Office Supplies"/>
    <s v="Apr-2025"/>
    <x v="9"/>
  </r>
  <r>
    <s v="ORD-00629"/>
    <d v="2025-12-03T00:00:00"/>
    <s v="Customer 085"/>
    <s v="Keyboard"/>
    <s v="Technology"/>
    <s v="South"/>
    <n v="4"/>
    <n v="0"/>
    <n v="280"/>
    <n v="117"/>
    <s v="Technology"/>
    <s v="Dec-2025"/>
    <x v="1"/>
  </r>
  <r>
    <s v="ORD-00630"/>
    <d v="2025-01-02T00:00:00"/>
    <s v="Customer 048"/>
    <s v="Keyboard"/>
    <s v="Technology"/>
    <s v="North"/>
    <n v="3"/>
    <n v="0.1"/>
    <n v="189"/>
    <n v="50.89"/>
    <s v="Technology"/>
    <s v="Jan-2025"/>
    <x v="3"/>
  </r>
  <r>
    <s v="ORD-00631"/>
    <d v="2025-01-24T00:00:00"/>
    <s v="Customer 096"/>
    <s v="Office Chair"/>
    <s v="Furniture"/>
    <s v="West"/>
    <n v="4"/>
    <n v="0.05"/>
    <n v="1064"/>
    <n v="190.24"/>
    <s v="Furniture"/>
    <s v="Jan-2025"/>
    <x v="3"/>
  </r>
  <r>
    <s v="ORD-00632"/>
    <d v="2025-02-24T00:00:00"/>
    <s v="Customer 051"/>
    <s v="Smartphone X"/>
    <s v="Technology"/>
    <s v="South"/>
    <n v="5"/>
    <n v="0.05"/>
    <n v="4037.5"/>
    <n v="1567"/>
    <s v="Technology"/>
    <s v="Feb-2025"/>
    <x v="2"/>
  </r>
  <r>
    <s v="ORD-00633"/>
    <d v="2025-08-23T00:00:00"/>
    <s v="Customer 006"/>
    <s v="Desk Lamp"/>
    <s v="Furniture"/>
    <s v="North"/>
    <n v="3"/>
    <n v="0"/>
    <n v="165"/>
    <n v="33.020000000000003"/>
    <s v="Furniture"/>
    <s v="Aug-2025"/>
    <x v="8"/>
  </r>
  <r>
    <s v="ORD-00634"/>
    <d v="2025-08-19T00:00:00"/>
    <s v="Customer 064"/>
    <s v="Notebook Pack"/>
    <s v="Office Supplies"/>
    <s v="North"/>
    <n v="5"/>
    <n v="0.2"/>
    <n v="72"/>
    <n v="29.2"/>
    <s v="Office Supplies"/>
    <s v="Aug-2025"/>
    <x v="8"/>
  </r>
  <r>
    <s v="ORD-00635"/>
    <d v="2025-09-29T00:00:00"/>
    <s v="Customer 075"/>
    <s v="Coffee Table"/>
    <s v="Furniture"/>
    <s v="West"/>
    <n v="1"/>
    <n v="0.2"/>
    <n v="168"/>
    <n v="23.75"/>
    <s v="Furniture"/>
    <s v="Sept-2025"/>
    <x v="10"/>
  </r>
  <r>
    <s v="ORD-00636"/>
    <d v="2025-09-18T00:00:00"/>
    <s v="Customer 017"/>
    <s v="Office Chair"/>
    <s v="Furniture"/>
    <s v="North"/>
    <n v="5"/>
    <n v="0.05"/>
    <n v="1330"/>
    <n v="277.89"/>
    <s v="Furniture"/>
    <s v="Sept-2025"/>
    <x v="10"/>
  </r>
  <r>
    <s v="ORD-00637"/>
    <d v="2025-07-18T00:00:00"/>
    <s v="Customer 065"/>
    <s v="Monitor 24"/>
    <s v="Technology"/>
    <s v="West"/>
    <n v="5"/>
    <n v="0.2"/>
    <n v="1280"/>
    <n v="203.15"/>
    <s v="Technology"/>
    <s v="Jul-2025"/>
    <x v="5"/>
  </r>
  <r>
    <s v="ORD-00638"/>
    <d v="2025-08-03T00:00:00"/>
    <s v="Customer 044"/>
    <s v="Desk Organizer"/>
    <s v="Office Supplies"/>
    <s v="East"/>
    <n v="2"/>
    <n v="0.1"/>
    <n v="45"/>
    <n v="14.34"/>
    <s v="Office Supplies"/>
    <s v="Aug-2025"/>
    <x v="8"/>
  </r>
  <r>
    <s v="ORD-00639"/>
    <d v="2025-08-20T00:00:00"/>
    <s v="Customer 096"/>
    <s v="Office Chair"/>
    <s v="Furniture"/>
    <s v="East"/>
    <n v="2"/>
    <n v="0.15"/>
    <n v="476"/>
    <n v="119.56"/>
    <s v="Furniture"/>
    <s v="Aug-2025"/>
    <x v="8"/>
  </r>
  <r>
    <s v="ORD-00640"/>
    <d v="2025-12-26T00:00:00"/>
    <s v="Customer 026"/>
    <s v="Printer"/>
    <s v="Office Supplies"/>
    <s v="South"/>
    <n v="3"/>
    <n v="0.2"/>
    <n v="576"/>
    <n v="138.96"/>
    <s v="Office Supplies"/>
    <s v="Dec-2025"/>
    <x v="1"/>
  </r>
  <r>
    <s v="ORD-00641"/>
    <d v="2025-11-16T00:00:00"/>
    <s v="Customer 017"/>
    <s v="Coffee Table"/>
    <s v="Furniture"/>
    <s v="South"/>
    <n v="3"/>
    <n v="0.1"/>
    <n v="567"/>
    <n v="82.79"/>
    <s v="Furniture"/>
    <s v="Nov-2025"/>
    <x v="0"/>
  </r>
  <r>
    <s v="ORD-00642"/>
    <d v="2025-09-15T00:00:00"/>
    <s v="Customer 072"/>
    <s v="Printer"/>
    <s v="Office Supplies"/>
    <s v="West"/>
    <n v="3"/>
    <n v="0"/>
    <n v="720"/>
    <n v="143.24"/>
    <s v="Office Supplies"/>
    <s v="Sept-2025"/>
    <x v="10"/>
  </r>
  <r>
    <s v="ORD-00643"/>
    <d v="2025-10-26T00:00:00"/>
    <s v="Customer 055"/>
    <s v="Desk Organizer"/>
    <s v="Office Supplies"/>
    <s v="North"/>
    <n v="4"/>
    <n v="0.2"/>
    <n v="80"/>
    <n v="28.45"/>
    <s v="Office Supplies"/>
    <s v="Oct-2025"/>
    <x v="4"/>
  </r>
  <r>
    <s v="ORD-00644"/>
    <d v="2025-09-25T00:00:00"/>
    <s v="Customer 086"/>
    <s v="Wireless Mouse"/>
    <s v="Technology"/>
    <s v="North"/>
    <n v="1"/>
    <n v="0.15"/>
    <n v="29.75"/>
    <n v="11.96"/>
    <s v="Technology"/>
    <s v="Sept-2025"/>
    <x v="10"/>
  </r>
  <r>
    <s v="ORD-00645"/>
    <d v="2025-04-13T00:00:00"/>
    <s v="Customer 019"/>
    <s v="Smartphone X"/>
    <s v="Technology"/>
    <s v="North"/>
    <n v="2"/>
    <n v="0.1"/>
    <n v="1530"/>
    <n v="343.46"/>
    <s v="Technology"/>
    <s v="Apr-2025"/>
    <x v="9"/>
  </r>
  <r>
    <s v="ORD-00646"/>
    <d v="2025-12-20T00:00:00"/>
    <s v="Customer 058"/>
    <s v="Smartphone X"/>
    <s v="Technology"/>
    <s v="North"/>
    <n v="2"/>
    <n v="0.2"/>
    <n v="1360"/>
    <n v="597.5"/>
    <s v="Technology"/>
    <s v="Dec-2025"/>
    <x v="1"/>
  </r>
  <r>
    <s v="ORD-00647"/>
    <d v="2025-11-12T00:00:00"/>
    <s v="Customer 072"/>
    <s v="Monitor 24"/>
    <s v="Technology"/>
    <s v="West"/>
    <n v="5"/>
    <n v="0.05"/>
    <n v="1520"/>
    <n v="311.61"/>
    <s v="Technology"/>
    <s v="Nov-2025"/>
    <x v="0"/>
  </r>
  <r>
    <s v="ORD-00648"/>
    <d v="2025-05-02T00:00:00"/>
    <s v="Customer 050"/>
    <s v="Printer"/>
    <s v="Office Supplies"/>
    <s v="West"/>
    <n v="3"/>
    <n v="0"/>
    <n v="720"/>
    <n v="103.87"/>
    <s v="Office Supplies"/>
    <s v="May-2025"/>
    <x v="7"/>
  </r>
  <r>
    <s v="ORD-00649"/>
    <d v="2025-12-17T00:00:00"/>
    <s v="Customer 033"/>
    <s v="Keyboard"/>
    <s v="Technology"/>
    <s v="South"/>
    <n v="5"/>
    <n v="0"/>
    <n v="350"/>
    <n v="156"/>
    <s v="Technology"/>
    <s v="Dec-2025"/>
    <x v="1"/>
  </r>
  <r>
    <s v="ORD-00650"/>
    <d v="2025-11-14T00:00:00"/>
    <s v="Customer 070"/>
    <s v="Notebook Pack"/>
    <s v="Office Supplies"/>
    <s v="South"/>
    <n v="2"/>
    <n v="0.1"/>
    <n v="32.4"/>
    <n v="6.51"/>
    <s v="Office Supplies"/>
    <s v="Nov-2025"/>
    <x v="0"/>
  </r>
  <r>
    <s v="ORD-00651"/>
    <d v="2025-04-10T00:00:00"/>
    <s v="Customer 010"/>
    <s v="Smartphone X"/>
    <s v="Technology"/>
    <s v="South"/>
    <n v="4"/>
    <n v="0.05"/>
    <m/>
    <n v="405.24"/>
    <s v="Technology"/>
    <s v="Apr-2025"/>
    <x v="9"/>
  </r>
  <r>
    <s v="ORD-00652"/>
    <d v="2025-03-30T00:00:00"/>
    <s v="Customer 055"/>
    <s v="Coffee Table"/>
    <s v="Furniture"/>
    <s v="East"/>
    <n v="5"/>
    <n v="0"/>
    <n v="1050"/>
    <n v="341.8"/>
    <s v="Furniture"/>
    <s v="Mar-2025"/>
    <x v="6"/>
  </r>
  <r>
    <s v="ORD-00653"/>
    <d v="2025-10-12T00:00:00"/>
    <s v="Customer 033"/>
    <s v="Smartphone X"/>
    <s v="Technology"/>
    <s v="North"/>
    <n v="2"/>
    <n v="0.05"/>
    <n v="1615"/>
    <n v="415.51"/>
    <s v="Technology"/>
    <s v="Oct-2025"/>
    <x v="4"/>
  </r>
  <r>
    <s v="ORD-00654"/>
    <d v="2025-06-19T00:00:00"/>
    <s v="Customer 042"/>
    <s v="Notebook Pack"/>
    <s v="Office Supplies"/>
    <s v="North"/>
    <n v="2"/>
    <n v="0"/>
    <n v="36"/>
    <n v="14.37"/>
    <s v="Office Supplies"/>
    <s v="Jun-2025"/>
    <x v="11"/>
  </r>
  <r>
    <s v="ORD-00655"/>
    <d v="2025-11-17T00:00:00"/>
    <s v="Customer 071"/>
    <s v="Desk Organizer"/>
    <s v="Office Supplies"/>
    <s v="East"/>
    <n v="3"/>
    <n v="0.15"/>
    <n v="63.75"/>
    <n v="12.07"/>
    <s v="Office Supplies"/>
    <s v="Nov-2025"/>
    <x v="0"/>
  </r>
  <r>
    <s v="ORD-00656"/>
    <d v="2025-02-07T00:00:00"/>
    <s v="Customer 024"/>
    <s v="Coffee Table"/>
    <s v="Furniture"/>
    <s v="North"/>
    <n v="3"/>
    <n v="0.2"/>
    <n v="504"/>
    <n v="190.22"/>
    <s v="Furniture"/>
    <s v="Feb-2025"/>
    <x v="2"/>
  </r>
  <r>
    <s v="ORD-00657"/>
    <d v="2025-09-16T00:00:00"/>
    <s v="Customer 012"/>
    <s v="Office Chair"/>
    <s v="Furniture"/>
    <s v="East"/>
    <n v="4"/>
    <n v="0.2"/>
    <n v="896"/>
    <n v="244.41"/>
    <s v="Furniture"/>
    <s v="Sept-2025"/>
    <x v="10"/>
  </r>
  <r>
    <s v="ORD-00658"/>
    <d v="2025-04-24T00:00:00"/>
    <s v="Customer 028"/>
    <s v="Desk Lamp"/>
    <s v="Furniture"/>
    <s v="West"/>
    <n v="3"/>
    <n v="0.1"/>
    <n v="148.5"/>
    <n v="49.14"/>
    <s v="Furniture"/>
    <s v="Apr-2025"/>
    <x v="9"/>
  </r>
  <r>
    <s v="ORD-00659"/>
    <d v="2025-10-15T00:00:00"/>
    <s v="Customer 058"/>
    <s v="Monitor 24"/>
    <s v="Technology"/>
    <s v="South"/>
    <n v="1"/>
    <n v="0"/>
    <n v="320"/>
    <n v="73.36"/>
    <s v="Technology"/>
    <s v="Oct-2025"/>
    <x v="4"/>
  </r>
  <r>
    <s v="ORD-00660"/>
    <d v="2025-11-25T00:00:00"/>
    <s v="Customer 088"/>
    <s v="Desk Organizer"/>
    <s v="Office Supplies"/>
    <s v="East"/>
    <n v="5"/>
    <n v="0.05"/>
    <n v="118.75"/>
    <n v="15.86"/>
    <s v="Office Supplies"/>
    <s v="Nov-2025"/>
    <x v="0"/>
  </r>
  <r>
    <s v="ORD-00661"/>
    <d v="2025-07-15T00:00:00"/>
    <s v="Customer 037"/>
    <s v="Wireless Mouse"/>
    <s v="Technology"/>
    <s v="North"/>
    <n v="4"/>
    <n v="0.1"/>
    <n v="126"/>
    <n v="34.24"/>
    <s v="Technology"/>
    <s v="Jul-2025"/>
    <x v="5"/>
  </r>
  <r>
    <s v="ORD-00662"/>
    <d v="2025-09-22T00:00:00"/>
    <s v="Customer 006"/>
    <s v="Keyboard"/>
    <s v="Technology"/>
    <s v="East"/>
    <n v="5"/>
    <n v="0.2"/>
    <n v="280"/>
    <n v="84.83"/>
    <s v="Technology"/>
    <s v="Sept-2025"/>
    <x v="10"/>
  </r>
  <r>
    <s v="ORD-00663"/>
    <d v="2025-11-30T00:00:00"/>
    <s v="Customer 013"/>
    <s v="Desk Lamp"/>
    <s v="Furniture"/>
    <s v="South"/>
    <n v="3"/>
    <n v="0.2"/>
    <n v="132"/>
    <n v="55.81"/>
    <s v="Furniture"/>
    <s v="Nov-2025"/>
    <x v="0"/>
  </r>
  <r>
    <s v="ORD-00664"/>
    <d v="2025-10-03T00:00:00"/>
    <s v="Customer 081"/>
    <s v="Printer"/>
    <s v="Office Supplies"/>
    <s v="South"/>
    <n v="1"/>
    <n v="0"/>
    <n v="240"/>
    <n v="91.31"/>
    <s v="Office Supplies"/>
    <s v="Oct-2025"/>
    <x v="4"/>
  </r>
  <r>
    <s v="ORD-00665"/>
    <d v="2025-12-17T00:00:00"/>
    <s v="Customer 090"/>
    <s v="Bookshelf"/>
    <s v="Furniture"/>
    <s v="West"/>
    <n v="1"/>
    <n v="0.05"/>
    <n v="180.5"/>
    <n v="49.19"/>
    <s v="Furniture"/>
    <s v="Dec-2025"/>
    <x v="1"/>
  </r>
  <r>
    <s v="ORD-00666"/>
    <d v="2025-11-28T00:00:00"/>
    <s v="Customer 043"/>
    <s v="Wireless Mouse"/>
    <s v="Technology"/>
    <s v="North"/>
    <n v="2"/>
    <n v="0"/>
    <n v="70"/>
    <n v="20.89"/>
    <s v="Technology"/>
    <s v="Nov-2025"/>
    <x v="0"/>
  </r>
  <r>
    <s v="ORD-00667"/>
    <d v="2025-02-14T00:00:00"/>
    <s v="Customer 072"/>
    <s v="Wireless Mouse"/>
    <s v="Technology"/>
    <s v="North"/>
    <n v="1"/>
    <n v="0.05"/>
    <n v="33.25"/>
    <n v="6.25"/>
    <s v="Technology"/>
    <s v="Feb-2025"/>
    <x v="2"/>
  </r>
  <r>
    <s v="ORD-00668"/>
    <d v="2025-10-22T00:00:00"/>
    <s v="Customer 081"/>
    <s v="Desk Lamp"/>
    <s v="Furniture"/>
    <s v="West"/>
    <n v="3"/>
    <n v="0.15"/>
    <n v="140.25"/>
    <n v="45.15"/>
    <s v="Furniture"/>
    <s v="Oct-2025"/>
    <x v="4"/>
  </r>
  <r>
    <s v="ORD-00669"/>
    <d v="2025-08-10T00:00:00"/>
    <s v="Customer 069"/>
    <s v="Keyboard"/>
    <s v="Technology"/>
    <s v="North"/>
    <n v="1"/>
    <n v="0.15"/>
    <n v="59.5"/>
    <n v="13.55"/>
    <s v="Technology"/>
    <s v="Aug-2025"/>
    <x v="8"/>
  </r>
  <r>
    <s v="ORD-00670"/>
    <d v="2025-11-25T00:00:00"/>
    <s v="Customer 075"/>
    <s v="Coffee Table"/>
    <s v="Furniture"/>
    <s v="North"/>
    <n v="5"/>
    <n v="0"/>
    <n v="1050"/>
    <n v="210.56"/>
    <s v="Furniture"/>
    <s v="Nov-2025"/>
    <x v="0"/>
  </r>
  <r>
    <s v="ORD-00671"/>
    <d v="2025-12-25T00:00:00"/>
    <s v="Customer 088"/>
    <s v="Wireless Mouse"/>
    <s v="Technology"/>
    <s v="East"/>
    <n v="3"/>
    <n v="0.2"/>
    <n v="84"/>
    <n v="34.86"/>
    <s v="Technology"/>
    <s v="Dec-2025"/>
    <x v="1"/>
  </r>
  <r>
    <s v="ORD-00672"/>
    <d v="2025-11-07T00:00:00"/>
    <s v="Customer 085"/>
    <s v="Wireless Mouse"/>
    <s v="Technology"/>
    <s v="North"/>
    <n v="3"/>
    <n v="0.15"/>
    <n v="89.25"/>
    <n v="28.93"/>
    <s v="Technology"/>
    <s v="Nov-2025"/>
    <x v="0"/>
  </r>
  <r>
    <s v="ORD-00673"/>
    <d v="2025-08-31T00:00:00"/>
    <s v="Customer 051"/>
    <s v="Office Chair"/>
    <s v="Furniture"/>
    <s v="East"/>
    <n v="5"/>
    <n v="0.05"/>
    <n v="1330"/>
    <n v="538.64"/>
    <s v="Furniture"/>
    <s v="Aug-2025"/>
    <x v="8"/>
  </r>
  <r>
    <s v="ORD-00674"/>
    <d v="2025-11-21T00:00:00"/>
    <s v="Customer 002"/>
    <s v="Office Chair"/>
    <s v="Furniture"/>
    <s v="South"/>
    <n v="3"/>
    <n v="0.1"/>
    <n v="756"/>
    <n v="101.35"/>
    <s v="Furniture"/>
    <s v="Nov-2025"/>
    <x v="0"/>
  </r>
  <r>
    <s v="ORD-00675"/>
    <d v="2025-03-05T00:00:00"/>
    <s v="Customer 069"/>
    <s v="Laptop Pro 15"/>
    <s v="Technology"/>
    <s v="North"/>
    <n v="1"/>
    <n v="0.2"/>
    <n v="960"/>
    <n v="242.98"/>
    <s v="Technology"/>
    <s v="Mar-2025"/>
    <x v="6"/>
  </r>
  <r>
    <s v="ORD-00676"/>
    <d v="2025-06-06T00:00:00"/>
    <s v="Customer 083"/>
    <s v="Desk Lamp"/>
    <s v="Furniture"/>
    <s v="South"/>
    <n v="3"/>
    <n v="0.05"/>
    <n v="156.75"/>
    <n v="49.19"/>
    <s v="Furniture"/>
    <s v="Jun-2025"/>
    <x v="11"/>
  </r>
  <r>
    <s v="ORD-00677"/>
    <d v="2025-03-24T00:00:00"/>
    <s v="Customer 025"/>
    <s v="Office Chair"/>
    <s v="Furniture"/>
    <s v="North"/>
    <n v="2"/>
    <n v="0.2"/>
    <n v="448"/>
    <n v="78.19"/>
    <s v="Furniture"/>
    <s v="Mar-2025"/>
    <x v="6"/>
  </r>
  <r>
    <s v="ORD-00678"/>
    <d v="2025-04-03T00:00:00"/>
    <s v="Customer 071"/>
    <s v="Monitor 24"/>
    <s v="Technology"/>
    <s v="West"/>
    <n v="5"/>
    <n v="0"/>
    <n v="1600"/>
    <n v="270.47000000000003"/>
    <s v="Technology"/>
    <s v="Apr-2025"/>
    <x v="9"/>
  </r>
  <r>
    <s v="ORD-00679"/>
    <d v="2025-11-27T00:00:00"/>
    <s v="Customer 033"/>
    <s v="Printer"/>
    <s v="Office Supplies"/>
    <s v="North"/>
    <n v="1"/>
    <n v="0.1"/>
    <n v="216"/>
    <n v="49.32"/>
    <s v="Office Supplies"/>
    <s v="Nov-2025"/>
    <x v="0"/>
  </r>
  <r>
    <s v="ORD-00680"/>
    <d v="2025-04-12T00:00:00"/>
    <s v="Customer 046"/>
    <s v="Coffee Table"/>
    <s v="Furniture"/>
    <s v="South"/>
    <n v="5"/>
    <n v="0.15"/>
    <n v="892.5"/>
    <n v="121.37"/>
    <s v="Furniture"/>
    <s v="Apr-2025"/>
    <x v="9"/>
  </r>
  <r>
    <s v="ORD-00681"/>
    <d v="2025-12-10T00:00:00"/>
    <s v="Customer 009"/>
    <s v="Monitor 24"/>
    <s v="Technology"/>
    <s v="South"/>
    <n v="2"/>
    <n v="0"/>
    <n v="640"/>
    <n v="227.78"/>
    <s v="Technology"/>
    <s v="Dec-2025"/>
    <x v="1"/>
  </r>
  <r>
    <s v="ORD-00682"/>
    <d v="2025-06-12T00:00:00"/>
    <s v="Customer 040"/>
    <s v="Notebook Pack"/>
    <s v="Office Supplies"/>
    <s v="South"/>
    <n v="4"/>
    <n v="0.1"/>
    <n v="64.8"/>
    <n v="15.98"/>
    <s v="Office Supplies"/>
    <s v="Jun-2025"/>
    <x v="11"/>
  </r>
  <r>
    <s v="ORD-00683"/>
    <d v="2025-10-17T00:00:00"/>
    <s v="Customer 022"/>
    <s v="Desk Organizer"/>
    <s v="Office Supplies"/>
    <s v="North"/>
    <n v="3"/>
    <n v="0.1"/>
    <n v="67.5"/>
    <n v="9.02"/>
    <s v="Office Supplies"/>
    <s v="Oct-2025"/>
    <x v="4"/>
  </r>
  <r>
    <s v="ORD-00684"/>
    <d v="2025-06-10T00:00:00"/>
    <s v="Customer 047"/>
    <s v="Desk Lamp"/>
    <s v="Furniture"/>
    <s v="South"/>
    <n v="2"/>
    <n v="0.15"/>
    <n v="93.5"/>
    <n v="33.54"/>
    <s v="Furniture"/>
    <s v="Jun-2025"/>
    <x v="11"/>
  </r>
  <r>
    <s v="ORD-00685"/>
    <d v="2025-12-14T00:00:00"/>
    <s v="Customer 046"/>
    <s v="Coffee Table"/>
    <s v="Furniture"/>
    <s v="East"/>
    <n v="3"/>
    <n v="0.15"/>
    <n v="535.5"/>
    <n v="159.18"/>
    <s v="Furniture"/>
    <s v="Dec-2025"/>
    <x v="1"/>
  </r>
  <r>
    <s v="ORD-00686"/>
    <d v="2025-09-07T00:00:00"/>
    <s v="Customer 011"/>
    <s v="Printer"/>
    <s v="Office Supplies"/>
    <s v="East"/>
    <n v="1"/>
    <n v="0.05"/>
    <n v="228"/>
    <n v="54.03"/>
    <s v="Office Supplies"/>
    <s v="Sept-2025"/>
    <x v="10"/>
  </r>
  <r>
    <s v="ORD-00687"/>
    <d v="2025-03-13T00:00:00"/>
    <s v="Customer 081"/>
    <s v="Printer"/>
    <s v="Office Supplies"/>
    <s v="North"/>
    <n v="2"/>
    <n v="0.1"/>
    <n v="432"/>
    <n v="89.83"/>
    <s v="Office Supplies"/>
    <s v="Mar-2025"/>
    <x v="6"/>
  </r>
  <r>
    <s v="ORD-00688"/>
    <d v="2025-02-08T00:00:00"/>
    <s v="Customer 075"/>
    <s v="Laptop Pro 15"/>
    <s v="Technology"/>
    <s v="West"/>
    <n v="5"/>
    <n v="0"/>
    <n v="6000"/>
    <n v="1090.97"/>
    <s v="Technology"/>
    <s v="Feb-2025"/>
    <x v="2"/>
  </r>
  <r>
    <s v="ORD-00689"/>
    <d v="2025-10-30T00:00:00"/>
    <s v="Customer 070"/>
    <s v="Desk Lamp"/>
    <s v="Furniture"/>
    <s v="West"/>
    <n v="1"/>
    <n v="0.2"/>
    <n v="44"/>
    <n v="16.02"/>
    <s v="Furniture"/>
    <s v="Oct-2025"/>
    <x v="4"/>
  </r>
  <r>
    <s v="ORD-00690"/>
    <d v="2025-12-01T00:00:00"/>
    <s v="Customer 099"/>
    <s v="Office Chair"/>
    <s v="Furniture"/>
    <s v="East"/>
    <n v="3"/>
    <n v="0.15"/>
    <n v="714"/>
    <n v="268.68"/>
    <s v="Furniture"/>
    <s v="Dec-2025"/>
    <x v="1"/>
  </r>
  <r>
    <s v="ORD-00691"/>
    <d v="2025-03-10T00:00:00"/>
    <s v="Customer 047"/>
    <s v="Notebook Pack"/>
    <s v="Office Supplies"/>
    <s v="North"/>
    <n v="5"/>
    <n v="0.2"/>
    <n v="72"/>
    <n v="30.25"/>
    <s v="Office Supplies"/>
    <s v="Mar-2025"/>
    <x v="6"/>
  </r>
  <r>
    <s v="ORD-00692"/>
    <d v="2025-12-06T00:00:00"/>
    <s v="Customer 018"/>
    <s v="Desk Lamp"/>
    <s v="Furniture"/>
    <s v="West"/>
    <n v="5"/>
    <n v="0.05"/>
    <n v="261.25"/>
    <n v="52.28"/>
    <s v="Furniture"/>
    <s v="Dec-2025"/>
    <x v="1"/>
  </r>
  <r>
    <s v="ORD-00693"/>
    <d v="2025-03-23T00:00:00"/>
    <s v="Customer 019"/>
    <s v="Office Chair"/>
    <s v="Furniture"/>
    <s v="West"/>
    <n v="5"/>
    <n v="0.2"/>
    <n v="1120"/>
    <n v="260.27999999999997"/>
    <s v="Furniture"/>
    <s v="Mar-2025"/>
    <x v="6"/>
  </r>
  <r>
    <s v="ORD-00694"/>
    <d v="2025-07-03T00:00:00"/>
    <s v="Customer 034"/>
    <s v="Laptop Pro 15"/>
    <s v="Technology"/>
    <s v="East"/>
    <n v="2"/>
    <n v="0.15"/>
    <n v="2040"/>
    <n v="761.99"/>
    <s v="Technology"/>
    <s v="Jul-2025"/>
    <x v="5"/>
  </r>
  <r>
    <s v="ORD-00695"/>
    <d v="2025-04-30T00:00:00"/>
    <s v="Customer 047"/>
    <s v="Laptop Pro 15"/>
    <s v="Technology"/>
    <s v="West"/>
    <n v="2"/>
    <n v="0.2"/>
    <n v="1920"/>
    <n v="288.86"/>
    <s v="Technology"/>
    <s v="Apr-2025"/>
    <x v="9"/>
  </r>
  <r>
    <s v="ORD-00696"/>
    <d v="2025-08-29T00:00:00"/>
    <s v="Customer 042"/>
    <s v="Notebook Pack"/>
    <s v="Office Supplies"/>
    <s v="North"/>
    <n v="1"/>
    <n v="0"/>
    <n v="18"/>
    <n v="2.2799999999999998"/>
    <s v="Office Supplies"/>
    <s v="Aug-2025"/>
    <x v="8"/>
  </r>
  <r>
    <s v="ORD-00697"/>
    <d v="2025-12-27T00:00:00"/>
    <s v="Customer 073"/>
    <s v="Printer"/>
    <s v="Office Supplies"/>
    <s v="South"/>
    <n v="3"/>
    <n v="0.1"/>
    <n v="648"/>
    <n v="167.87"/>
    <s v="Office Supplies"/>
    <s v="Dec-2025"/>
    <x v="1"/>
  </r>
  <r>
    <s v="ORD-00698"/>
    <d v="2025-07-12T00:00:00"/>
    <s v="Customer 010"/>
    <s v="Monitor 24"/>
    <s v="Technology"/>
    <s v="East"/>
    <n v="4"/>
    <n v="0.1"/>
    <n v="1152"/>
    <n v="294.99"/>
    <s v="Technology"/>
    <s v="Jul-2025"/>
    <x v="5"/>
  </r>
  <r>
    <s v="ORD-00699"/>
    <d v="2025-07-12T00:00:00"/>
    <s v="Customer 045"/>
    <s v="Desk Lamp"/>
    <s v="Furniture"/>
    <s v="West"/>
    <n v="5"/>
    <n v="0.15"/>
    <n v="233.75"/>
    <n v="77.97"/>
    <s v="Furniture"/>
    <s v="Jul-2025"/>
    <x v="5"/>
  </r>
  <r>
    <s v="ORD-00700"/>
    <d v="2025-09-04T00:00:00"/>
    <s v="Customer 057"/>
    <s v="Desk Organizer"/>
    <s v="Office Supplies"/>
    <s v="South"/>
    <n v="1"/>
    <n v="0.2"/>
    <n v="20"/>
    <n v="3.18"/>
    <s v="Office Supplies"/>
    <s v="Sept-2025"/>
    <x v="10"/>
  </r>
  <r>
    <s v="ORD-00701"/>
    <d v="2025-04-28T00:00:00"/>
    <s v="Customer 024"/>
    <s v="Wireless Mouse"/>
    <s v="Technology"/>
    <s v="South"/>
    <n v="5"/>
    <n v="0.1"/>
    <n v="157.5"/>
    <n v="59.88"/>
    <s v="Technology"/>
    <s v="Apr-2025"/>
    <x v="9"/>
  </r>
  <r>
    <s v="ORD-00702"/>
    <d v="2025-07-05T00:00:00"/>
    <s v="Customer 043"/>
    <s v="Desk Organizer"/>
    <s v="Office Supplies"/>
    <s v="North"/>
    <n v="1"/>
    <n v="0.05"/>
    <n v="23.75"/>
    <n v="7.44"/>
    <s v="Office Supplies"/>
    <s v="Jul-2025"/>
    <x v="5"/>
  </r>
  <r>
    <s v="ORD-00703"/>
    <d v="2025-09-04T00:00:00"/>
    <s v="Customer 021"/>
    <s v="Monitor 24"/>
    <s v="Technology"/>
    <s v="West"/>
    <n v="4"/>
    <n v="0.15"/>
    <n v="1088"/>
    <n v="413.95"/>
    <s v="Technology"/>
    <s v="Sept-2025"/>
    <x v="10"/>
  </r>
  <r>
    <s v="ORD-00704"/>
    <d v="2025-01-12T00:00:00"/>
    <s v="Customer 021"/>
    <s v="Desk Lamp"/>
    <s v="Furniture"/>
    <s v="South"/>
    <n v="1"/>
    <n v="0.05"/>
    <n v="52.25"/>
    <n v="13.62"/>
    <s v="Furniture"/>
    <s v="Jan-2025"/>
    <x v="3"/>
  </r>
  <r>
    <s v="ORD-00705"/>
    <d v="2025-11-19T00:00:00"/>
    <s v="Customer 022"/>
    <s v="Printer"/>
    <s v="Office Supplies"/>
    <s v="East"/>
    <n v="1"/>
    <n v="0.2"/>
    <n v="192"/>
    <n v="77.09"/>
    <s v="Office Supplies"/>
    <s v="Nov-2025"/>
    <x v="0"/>
  </r>
  <r>
    <s v="ORD-00706"/>
    <d v="2025-04-03T00:00:00"/>
    <s v="Customer 082"/>
    <s v="Printer"/>
    <s v="Office Supplies"/>
    <s v="North"/>
    <n v="4"/>
    <n v="0.2"/>
    <n v="768"/>
    <n v="99.95"/>
    <s v="Office Supplies"/>
    <s v="Apr-2025"/>
    <x v="9"/>
  </r>
  <r>
    <s v="ORD-00707"/>
    <d v="2025-12-05T00:00:00"/>
    <s v="Customer 061"/>
    <s v="Smartphone X"/>
    <s v="Technology"/>
    <s v="West"/>
    <n v="1"/>
    <n v="0.05"/>
    <n v="807.5"/>
    <n v="243.67"/>
    <s v="Technology"/>
    <s v="Dec-2025"/>
    <x v="1"/>
  </r>
  <r>
    <s v="ORD-00708"/>
    <d v="2025-03-29T00:00:00"/>
    <s v="Customer 075"/>
    <s v="Desk Lamp"/>
    <s v="Furniture"/>
    <s v="South"/>
    <n v="4"/>
    <n v="0.2"/>
    <n v="176"/>
    <n v="70.91"/>
    <s v="Furniture"/>
    <s v="Mar-2025"/>
    <x v="6"/>
  </r>
  <r>
    <s v="ORD-00709"/>
    <d v="2025-11-16T00:00:00"/>
    <s v="Customer 088"/>
    <s v="Monitor 24"/>
    <s v="Technology"/>
    <s v="East"/>
    <n v="5"/>
    <n v="0.1"/>
    <n v="1440"/>
    <n v="568.29999999999995"/>
    <s v="Technology"/>
    <s v="Nov-2025"/>
    <x v="0"/>
  </r>
  <r>
    <s v="ORD-00710"/>
    <d v="2025-08-21T00:00:00"/>
    <s v="Customer 050"/>
    <s v="Desk Organizer"/>
    <s v="Office Supplies"/>
    <s v="South"/>
    <n v="5"/>
    <n v="0"/>
    <n v="125"/>
    <n v="46.77"/>
    <s v="Office Supplies"/>
    <s v="Aug-2025"/>
    <x v="8"/>
  </r>
  <r>
    <s v="ORD-00711"/>
    <d v="2025-02-25T00:00:00"/>
    <s v="Customer 065"/>
    <s v="Laptop Pro 15"/>
    <s v="Technology"/>
    <s v="West"/>
    <n v="2"/>
    <n v="0.2"/>
    <n v="1920"/>
    <n v="319.36"/>
    <s v="Technology"/>
    <s v="Feb-2025"/>
    <x v="2"/>
  </r>
  <r>
    <s v="ORD-00712"/>
    <d v="2025-03-18T00:00:00"/>
    <s v="Customer 079"/>
    <s v="Desk Organizer"/>
    <s v="Office Supplies"/>
    <s v="North"/>
    <n v="1"/>
    <n v="0.05"/>
    <n v="23.75"/>
    <n v="6.96"/>
    <s v="Office Supplies"/>
    <s v="Mar-2025"/>
    <x v="6"/>
  </r>
  <r>
    <s v="ORD-00713"/>
    <d v="2025-09-30T00:00:00"/>
    <s v="Customer 017"/>
    <s v="Printer"/>
    <s v="Office Supplies"/>
    <s v="North"/>
    <n v="1"/>
    <n v="0"/>
    <n v="240"/>
    <n v="69.81"/>
    <s v="Office Supplies"/>
    <s v="Sept-2025"/>
    <x v="10"/>
  </r>
  <r>
    <s v="ORD-00714"/>
    <d v="2025-12-14T00:00:00"/>
    <s v="Customer 006"/>
    <s v="Monitor 24"/>
    <s v="Technology"/>
    <s v="West"/>
    <n v="4"/>
    <n v="0.2"/>
    <n v="1024"/>
    <n v="318.64"/>
    <s v="Technology"/>
    <s v="Dec-2025"/>
    <x v="1"/>
  </r>
  <r>
    <s v="ORD-00715"/>
    <d v="2025-04-28T00:00:00"/>
    <s v="Customer 095"/>
    <s v="Notebook Pack"/>
    <s v="Office Supplies"/>
    <s v="North"/>
    <n v="4"/>
    <n v="0.1"/>
    <n v="64.8"/>
    <n v="16.559999999999999"/>
    <s v="Office Supplies"/>
    <s v="Apr-2025"/>
    <x v="9"/>
  </r>
  <r>
    <s v="ORD-00716"/>
    <d v="2025-08-06T00:00:00"/>
    <s v="Customer 011"/>
    <s v="Office Chair"/>
    <s v="Furniture"/>
    <s v="East"/>
    <n v="3"/>
    <n v="0.15"/>
    <n v="714"/>
    <n v="140.85"/>
    <s v="Furniture"/>
    <s v="Aug-2025"/>
    <x v="8"/>
  </r>
  <r>
    <s v="ORD-00717"/>
    <d v="2025-11-03T00:00:00"/>
    <s v="Customer 091"/>
    <s v="Printer"/>
    <s v="Office Supplies"/>
    <s v="North"/>
    <n v="4"/>
    <n v="0.1"/>
    <n v="864"/>
    <n v="334.91"/>
    <s v="Office Supplies"/>
    <s v="Nov-2025"/>
    <x v="0"/>
  </r>
  <r>
    <s v="ORD-00718"/>
    <d v="2025-10-23T00:00:00"/>
    <s v="Customer 084"/>
    <s v="Printer"/>
    <s v="Office Supplies"/>
    <s v="South"/>
    <n v="1"/>
    <n v="0.2"/>
    <n v="192"/>
    <n v="85.94"/>
    <s v="Office Supplies"/>
    <s v="Oct-2025"/>
    <x v="4"/>
  </r>
  <r>
    <s v="ORD-00719"/>
    <d v="2025-12-19T00:00:00"/>
    <s v="Customer 055"/>
    <s v="Keyboard"/>
    <s v="Technology"/>
    <s v="East"/>
    <n v="4"/>
    <n v="0.1"/>
    <n v="252"/>
    <n v="104.54"/>
    <s v="Technology"/>
    <s v="Dec-2025"/>
    <x v="1"/>
  </r>
  <r>
    <s v="ORD-00720"/>
    <d v="2025-05-14T00:00:00"/>
    <s v="Customer 036"/>
    <s v="Printer"/>
    <s v="Office Supplies"/>
    <s v="West"/>
    <n v="4"/>
    <n v="0.2"/>
    <n v="768"/>
    <n v="252.93"/>
    <s v="Office Supplies"/>
    <s v="May-2025"/>
    <x v="7"/>
  </r>
  <r>
    <s v="ORD-00721"/>
    <d v="2025-04-15T00:00:00"/>
    <s v="Customer 048"/>
    <s v="Bookshelf"/>
    <s v="Furniture"/>
    <s v="West"/>
    <n v="5"/>
    <n v="0.2"/>
    <n v="760"/>
    <n v="221"/>
    <s v="Furniture"/>
    <s v="Apr-2025"/>
    <x v="9"/>
  </r>
  <r>
    <s v="ORD-00722"/>
    <d v="2025-05-10T00:00:00"/>
    <s v="Customer 051"/>
    <s v="Smartphone X"/>
    <s v="Technology"/>
    <s v="South"/>
    <n v="5"/>
    <n v="0.1"/>
    <n v="3825"/>
    <n v="744.02"/>
    <s v="Technology"/>
    <s v="May-2025"/>
    <x v="7"/>
  </r>
  <r>
    <s v="ORD-00723"/>
    <d v="2025-12-04T00:00:00"/>
    <s v="Customer 021"/>
    <s v="Wireless Mouse"/>
    <s v="Technology"/>
    <s v="North"/>
    <n v="2"/>
    <n v="0.15"/>
    <n v="59.5"/>
    <n v="11.4"/>
    <s v="Technology"/>
    <s v="Dec-2025"/>
    <x v="1"/>
  </r>
  <r>
    <s v="ORD-00724"/>
    <d v="2025-04-20T00:00:00"/>
    <s v="Customer 079"/>
    <s v="Printer"/>
    <s v="Office Supplies"/>
    <s v="North"/>
    <n v="4"/>
    <n v="0.1"/>
    <n v="864"/>
    <n v="160.46"/>
    <s v="Office Supplies"/>
    <s v="Apr-2025"/>
    <x v="9"/>
  </r>
  <r>
    <s v="ORD-00725"/>
    <d v="2025-03-24T00:00:00"/>
    <s v="Customer 061"/>
    <s v="Bookshelf"/>
    <s v="Furniture"/>
    <s v="West"/>
    <n v="1"/>
    <n v="0"/>
    <n v="190"/>
    <n v="33.880000000000003"/>
    <s v="Furniture"/>
    <s v="Mar-2025"/>
    <x v="6"/>
  </r>
  <r>
    <s v="ORD-00726"/>
    <d v="2025-02-15T00:00:00"/>
    <s v="Customer 078"/>
    <s v="Wireless Mouse"/>
    <s v="Technology"/>
    <s v="North"/>
    <n v="3"/>
    <n v="0.05"/>
    <n v="99.75"/>
    <n v="32.68"/>
    <s v="Technology"/>
    <s v="Feb-2025"/>
    <x v="2"/>
  </r>
  <r>
    <s v="ORD-00727"/>
    <d v="2025-07-16T00:00:00"/>
    <s v="Customer 077"/>
    <s v="Bookshelf"/>
    <s v="Furniture"/>
    <s v="North"/>
    <n v="5"/>
    <n v="0.2"/>
    <n v="760"/>
    <n v="270.14999999999998"/>
    <s v="Furniture"/>
    <s v="Jul-2025"/>
    <x v="5"/>
  </r>
  <r>
    <s v="ORD-00728"/>
    <d v="2025-03-31T00:00:00"/>
    <s v="Customer 085"/>
    <s v="Monitor 24"/>
    <s v="Technology"/>
    <s v="East"/>
    <n v="4"/>
    <n v="0.15"/>
    <n v="1088"/>
    <n v="485.75"/>
    <s v="Technology"/>
    <s v="Mar-2025"/>
    <x v="6"/>
  </r>
  <r>
    <s v="ORD-00729"/>
    <d v="2025-04-10T00:00:00"/>
    <s v="Customer 030"/>
    <s v="Laptop Pro 15"/>
    <s v="Technology"/>
    <s v="South"/>
    <n v="5"/>
    <n v="0.2"/>
    <n v="4800"/>
    <n v="1342.95"/>
    <s v="Technology"/>
    <s v="Apr-2025"/>
    <x v="9"/>
  </r>
  <r>
    <s v="ORD-00730"/>
    <d v="2025-12-12T00:00:00"/>
    <s v="Customer 021"/>
    <s v="Laptop Pro 15"/>
    <s v="Technology"/>
    <s v="North"/>
    <n v="3"/>
    <n v="0.05"/>
    <n v="3420"/>
    <n v="799.75"/>
    <s v="Technology"/>
    <s v="Dec-2025"/>
    <x v="1"/>
  </r>
  <r>
    <s v="ORD-00731"/>
    <d v="2025-05-22T00:00:00"/>
    <s v="Customer 026"/>
    <s v="Bookshelf"/>
    <s v="Furniture"/>
    <s v="North"/>
    <n v="3"/>
    <n v="0.15"/>
    <n v="484.5"/>
    <n v="153.19999999999999"/>
    <s v="Furniture"/>
    <s v="May-2025"/>
    <x v="7"/>
  </r>
  <r>
    <s v="ORD-00732"/>
    <d v="2025-12-27T00:00:00"/>
    <s v="Customer 072"/>
    <s v="Wireless Mouse"/>
    <s v="Technology"/>
    <s v="East"/>
    <n v="1"/>
    <n v="0.2"/>
    <n v="28"/>
    <n v="9.9700000000000006"/>
    <s v="Technology"/>
    <s v="Dec-2025"/>
    <x v="1"/>
  </r>
  <r>
    <s v="ORD-00733"/>
    <d v="2025-06-27T00:00:00"/>
    <s v="Customer 059"/>
    <s v="Smartphone X"/>
    <s v="Technology"/>
    <s v="West"/>
    <n v="2"/>
    <n v="0.2"/>
    <n v="1360"/>
    <n v="179.78"/>
    <s v="Technology"/>
    <s v="Jun-2025"/>
    <x v="11"/>
  </r>
  <r>
    <s v="ORD-00734"/>
    <d v="2025-10-22T00:00:00"/>
    <s v="Customer 014"/>
    <s v="Laptop Pro 15"/>
    <s v="Technology"/>
    <s v="North"/>
    <n v="3"/>
    <n v="0.05"/>
    <n v="3420"/>
    <n v="1079.51"/>
    <s v="Technology"/>
    <s v="Oct-2025"/>
    <x v="4"/>
  </r>
  <r>
    <s v="ORD-00735"/>
    <d v="2025-09-15T00:00:00"/>
    <s v="Customer 033"/>
    <s v="Smartphone X"/>
    <s v="Technology"/>
    <s v="East"/>
    <n v="3"/>
    <n v="0"/>
    <n v="2550"/>
    <n v="471.82"/>
    <s v="Technology"/>
    <s v="Sept-2025"/>
    <x v="10"/>
  </r>
  <r>
    <s v="ORD-00736"/>
    <d v="2025-12-22T00:00:00"/>
    <s v="Customer 032"/>
    <s v="Notebook Pack"/>
    <s v="Office Supplies"/>
    <s v="East"/>
    <n v="4"/>
    <n v="0.2"/>
    <n v="57.6"/>
    <n v="16.73"/>
    <s v="Office Supplies"/>
    <s v="Dec-2025"/>
    <x v="1"/>
  </r>
  <r>
    <s v="ORD-00737"/>
    <d v="2025-08-23T00:00:00"/>
    <s v="Customer 062"/>
    <s v="Monitor 24"/>
    <s v="Technology"/>
    <s v="North"/>
    <n v="4"/>
    <n v="0.2"/>
    <n v="1024"/>
    <n v="169.51"/>
    <s v="Technology"/>
    <s v="Aug-2025"/>
    <x v="8"/>
  </r>
  <r>
    <s v="ORD-00738"/>
    <d v="2025-05-13T00:00:00"/>
    <s v="Customer 030"/>
    <s v="Wireless Mouse"/>
    <s v="Technology"/>
    <s v="East"/>
    <n v="4"/>
    <n v="0.05"/>
    <n v="133"/>
    <n v="30.14"/>
    <s v="Technology"/>
    <s v="May-2025"/>
    <x v="7"/>
  </r>
  <r>
    <s v="ORD-00739"/>
    <d v="2025-07-31T00:00:00"/>
    <s v="Customer 034"/>
    <s v="Keyboard"/>
    <s v="Technology"/>
    <s v="South"/>
    <n v="5"/>
    <n v="0.2"/>
    <n v="280"/>
    <n v="125.1"/>
    <s v="Technology"/>
    <s v="Jul-2025"/>
    <x v="5"/>
  </r>
  <r>
    <s v="ORD-00740"/>
    <d v="2025-05-28T00:00:00"/>
    <s v="Customer 023"/>
    <s v="Wireless Mouse"/>
    <s v="Technology"/>
    <s v="West"/>
    <n v="4"/>
    <n v="0.1"/>
    <n v="126"/>
    <n v="53.54"/>
    <s v="Technology"/>
    <s v="May-2025"/>
    <x v="7"/>
  </r>
  <r>
    <s v="ORD-00741"/>
    <d v="2025-06-10T00:00:00"/>
    <s v="Customer 096"/>
    <s v="Keyboard"/>
    <s v="Technology"/>
    <s v="South"/>
    <n v="2"/>
    <n v="0.2"/>
    <n v="112"/>
    <n v="40.450000000000003"/>
    <s v="Technology"/>
    <s v="Jun-2025"/>
    <x v="11"/>
  </r>
  <r>
    <s v="ORD-00742"/>
    <d v="2025-09-13T00:00:00"/>
    <s v="Customer 034"/>
    <s v="Coffee Table"/>
    <s v="Furniture"/>
    <s v="South"/>
    <n v="2"/>
    <n v="0.05"/>
    <n v="399"/>
    <n v="82.72"/>
    <s v="Furniture"/>
    <s v="Sept-2025"/>
    <x v="10"/>
  </r>
  <r>
    <s v="ORD-00743"/>
    <d v="2025-04-28T00:00:00"/>
    <s v="Customer 100"/>
    <s v="Desk Lamp"/>
    <s v="Furniture"/>
    <s v="North"/>
    <n v="2"/>
    <n v="0.2"/>
    <n v="88"/>
    <n v="29.26"/>
    <s v="Furniture"/>
    <s v="Apr-2025"/>
    <x v="9"/>
  </r>
  <r>
    <s v="ORD-00744"/>
    <d v="2025-03-03T00:00:00"/>
    <s v="Customer 070"/>
    <s v="Wireless Mouse"/>
    <s v="Technology"/>
    <s v="North"/>
    <n v="4"/>
    <n v="0.2"/>
    <n v="112"/>
    <n v="50.16"/>
    <s v="Technology"/>
    <s v="Mar-2025"/>
    <x v="6"/>
  </r>
  <r>
    <s v="ORD-00745"/>
    <d v="2025-09-04T00:00:00"/>
    <s v="Customer 074"/>
    <s v="Keyboard"/>
    <s v="Technology"/>
    <s v="East"/>
    <n v="5"/>
    <n v="0.1"/>
    <n v="315"/>
    <n v="90.57"/>
    <s v="Technology"/>
    <s v="Sept-2025"/>
    <x v="10"/>
  </r>
  <r>
    <s v="ORD-00746"/>
    <d v="2025-09-09T00:00:00"/>
    <s v="Customer 097"/>
    <s v="Office Chair"/>
    <s v="Furniture"/>
    <s v="South"/>
    <n v="5"/>
    <n v="0.1"/>
    <n v="1260"/>
    <n v="401.56"/>
    <s v="Furniture"/>
    <s v="Sept-2025"/>
    <x v="10"/>
  </r>
  <r>
    <s v="ORD-00747"/>
    <d v="2025-01-28T00:00:00"/>
    <s v="Customer 005"/>
    <s v="Printer"/>
    <s v="Office Supplies"/>
    <s v="East"/>
    <n v="4"/>
    <n v="0.15"/>
    <n v="816"/>
    <n v="114.17"/>
    <s v="Office Supplies"/>
    <s v="Jan-2025"/>
    <x v="3"/>
  </r>
  <r>
    <s v="ORD-00748"/>
    <d v="2025-07-21T00:00:00"/>
    <s v="Customer 090"/>
    <s v="Monitor 24"/>
    <s v="Technology"/>
    <s v="West"/>
    <n v="2"/>
    <n v="0.15"/>
    <n v="544"/>
    <n v="69.5"/>
    <s v="Technology"/>
    <s v="Jul-2025"/>
    <x v="5"/>
  </r>
  <r>
    <s v="ORD-00749"/>
    <d v="2025-06-11T00:00:00"/>
    <s v="Customer 049"/>
    <s v="Coffee Table"/>
    <s v="Furniture"/>
    <s v="North"/>
    <n v="1"/>
    <n v="0"/>
    <n v="210"/>
    <n v="47.78"/>
    <s v="Furniture"/>
    <s v="Jun-2025"/>
    <x v="11"/>
  </r>
  <r>
    <s v="ORD-00750"/>
    <d v="2025-06-16T00:00:00"/>
    <s v="Customer 034"/>
    <s v="Keyboard"/>
    <s v="Technology"/>
    <s v="South"/>
    <n v="5"/>
    <n v="0.1"/>
    <n v="315"/>
    <n v="122.3"/>
    <s v="Technology"/>
    <s v="Jun-2025"/>
    <x v="11"/>
  </r>
  <r>
    <s v="ORD-00751"/>
    <d v="2025-05-18T00:00:00"/>
    <s v="Customer 064"/>
    <s v="Notebook Pack"/>
    <s v="Office Supplies"/>
    <s v="West"/>
    <n v="5"/>
    <n v="0.1"/>
    <n v="81"/>
    <n v="26.67"/>
    <s v="Office Supplies"/>
    <s v="May-2025"/>
    <x v="7"/>
  </r>
  <r>
    <s v="ORD-00752"/>
    <d v="2025-04-18T00:00:00"/>
    <s v="Customer 036"/>
    <s v="Bookshelf"/>
    <s v="Furniture"/>
    <s v="West"/>
    <n v="3"/>
    <n v="0.1"/>
    <n v="513"/>
    <n v="86.22"/>
    <s v="Furniture"/>
    <s v="Apr-2025"/>
    <x v="9"/>
  </r>
  <r>
    <s v="ORD-00753"/>
    <d v="2025-04-03T00:00:00"/>
    <s v="Customer 013"/>
    <s v="Desk Organizer"/>
    <s v="Office Supplies"/>
    <s v="East"/>
    <n v="2"/>
    <n v="0.2"/>
    <n v="40"/>
    <n v="8.94"/>
    <s v="Office Supplies"/>
    <s v="Apr-2025"/>
    <x v="9"/>
  </r>
  <r>
    <s v="ORD-00754"/>
    <d v="2025-05-01T00:00:00"/>
    <s v="Customer 095"/>
    <s v="Printer"/>
    <s v="Office Supplies"/>
    <s v="South"/>
    <n v="4"/>
    <n v="0.15"/>
    <n v="816"/>
    <n v="314.39999999999998"/>
    <s v="Office Supplies"/>
    <s v="May-2025"/>
    <x v="7"/>
  </r>
  <r>
    <s v="ORD-00755"/>
    <d v="2025-08-31T00:00:00"/>
    <s v="Customer 081"/>
    <s v="Laptop Pro 15"/>
    <s v="Technology"/>
    <s v="East"/>
    <n v="2"/>
    <n v="0.15"/>
    <n v="2040"/>
    <n v="581.66999999999996"/>
    <s v="Technology"/>
    <s v="Aug-2025"/>
    <x v="8"/>
  </r>
  <r>
    <s v="ORD-00756"/>
    <d v="2025-09-07T00:00:00"/>
    <s v="Customer 007"/>
    <s v="Smartphone X"/>
    <s v="Technology"/>
    <s v="West"/>
    <n v="3"/>
    <n v="0.2"/>
    <n v="2040"/>
    <n v="340.06"/>
    <s v="Technology"/>
    <s v="Sept-2025"/>
    <x v="10"/>
  </r>
  <r>
    <s v="ORD-00757"/>
    <d v="2025-02-20T00:00:00"/>
    <s v="Customer 033"/>
    <s v="Coffee Table"/>
    <s v="Furniture"/>
    <s v="West"/>
    <n v="2"/>
    <n v="0"/>
    <n v="420"/>
    <n v="159.13999999999999"/>
    <s v="Furniture"/>
    <s v="Feb-2025"/>
    <x v="2"/>
  </r>
  <r>
    <s v="ORD-00758"/>
    <d v="2025-11-19T00:00:00"/>
    <s v="Customer 047"/>
    <s v="Wireless Mouse"/>
    <s v="Technology"/>
    <s v="East"/>
    <n v="4"/>
    <n v="0.1"/>
    <n v="126"/>
    <n v="45.9"/>
    <s v="Technology"/>
    <s v="Nov-2025"/>
    <x v="0"/>
  </r>
  <r>
    <s v="ORD-00759"/>
    <d v="2025-06-26T00:00:00"/>
    <s v="Customer 087"/>
    <s v="Laptop Pro 15"/>
    <s v="Technology"/>
    <s v="South"/>
    <n v="4"/>
    <n v="0"/>
    <n v="4800"/>
    <n v="1603.87"/>
    <s v="Technology"/>
    <s v="Jun-2025"/>
    <x v="11"/>
  </r>
  <r>
    <s v="ORD-00760"/>
    <d v="2025-10-23T00:00:00"/>
    <s v="Customer 037"/>
    <s v="Desk Organizer"/>
    <s v="Office Supplies"/>
    <s v="East"/>
    <n v="5"/>
    <n v="0.05"/>
    <n v="118.75"/>
    <n v="15.06"/>
    <s v="Office Supplies"/>
    <s v="Oct-2025"/>
    <x v="4"/>
  </r>
  <r>
    <s v="ORD-00761"/>
    <d v="2025-06-16T00:00:00"/>
    <s v="Customer 058"/>
    <s v="Monitor 24"/>
    <s v="Technology"/>
    <s v="North"/>
    <n v="5"/>
    <n v="0.15"/>
    <n v="1360"/>
    <n v="264.29000000000002"/>
    <s v="Technology"/>
    <s v="Jun-2025"/>
    <x v="11"/>
  </r>
  <r>
    <s v="ORD-00762"/>
    <d v="2025-07-15T00:00:00"/>
    <s v="Customer 019"/>
    <s v="Desk Organizer"/>
    <s v="Office Supplies"/>
    <s v="South"/>
    <n v="3"/>
    <n v="0.15"/>
    <n v="63.75"/>
    <n v="15.4"/>
    <s v="Office Supplies"/>
    <s v="Jul-2025"/>
    <x v="5"/>
  </r>
  <r>
    <s v="ORD-00763"/>
    <d v="2025-11-24T00:00:00"/>
    <s v="Customer 010"/>
    <s v="Keyboard"/>
    <s v="Technology"/>
    <s v="North"/>
    <n v="4"/>
    <n v="0.2"/>
    <n v="224"/>
    <n v="58.54"/>
    <s v="Technology"/>
    <s v="Nov-2025"/>
    <x v="0"/>
  </r>
  <r>
    <s v="ORD-00764"/>
    <d v="2025-03-24T00:00:00"/>
    <s v="Customer 038"/>
    <s v="Keyboard"/>
    <s v="Technology"/>
    <s v="East"/>
    <n v="2"/>
    <n v="0.1"/>
    <n v="126"/>
    <n v="43.52"/>
    <s v="Technology"/>
    <s v="Mar-2025"/>
    <x v="6"/>
  </r>
  <r>
    <s v="ORD-00765"/>
    <d v="2025-11-06T00:00:00"/>
    <s v="Customer 100"/>
    <s v="Monitor 24"/>
    <s v="Technology"/>
    <s v="East"/>
    <n v="4"/>
    <n v="0.1"/>
    <n v="1152"/>
    <n v="180.94"/>
    <s v="Technology"/>
    <s v="Nov-2025"/>
    <x v="0"/>
  </r>
  <r>
    <s v="ORD-00766"/>
    <d v="2025-10-28T00:00:00"/>
    <s v="Customer 003"/>
    <s v="Printer"/>
    <s v="Office Supplies"/>
    <s v="South"/>
    <n v="4"/>
    <n v="0.15"/>
    <n v="816"/>
    <n v="322.14"/>
    <s v="Office Supplies"/>
    <s v="Oct-2025"/>
    <x v="4"/>
  </r>
  <r>
    <s v="ORD-00767"/>
    <d v="2025-05-01T00:00:00"/>
    <s v="Customer 051"/>
    <s v="Monitor 24"/>
    <s v="Technology"/>
    <s v="North"/>
    <n v="3"/>
    <n v="0"/>
    <n v="960"/>
    <n v="365.29"/>
    <s v="Technology"/>
    <s v="May-2025"/>
    <x v="7"/>
  </r>
  <r>
    <s v="ORD-00768"/>
    <d v="2025-02-18T00:00:00"/>
    <s v="Customer 099"/>
    <s v="Wireless Mouse"/>
    <s v="Technology"/>
    <s v="West"/>
    <n v="4"/>
    <n v="0.2"/>
    <n v="112"/>
    <n v="48.41"/>
    <s v="Technology"/>
    <s v="Feb-2025"/>
    <x v="2"/>
  </r>
  <r>
    <s v="ORD-00769"/>
    <d v="2025-09-26T00:00:00"/>
    <s v="Customer 011"/>
    <s v="Wireless Mouse"/>
    <s v="Technology"/>
    <s v="West"/>
    <n v="1"/>
    <n v="0.1"/>
    <n v="31.5"/>
    <n v="7.75"/>
    <s v="Technology"/>
    <s v="Sept-2025"/>
    <x v="10"/>
  </r>
  <r>
    <s v="ORD-00770"/>
    <d v="2025-06-08T00:00:00"/>
    <s v="Customer 017"/>
    <s v="Desk Lamp"/>
    <s v="Furniture"/>
    <s v="South"/>
    <n v="2"/>
    <n v="0.1"/>
    <n v="99"/>
    <n v="30.07"/>
    <s v="Furniture"/>
    <s v="Jun-2025"/>
    <x v="11"/>
  </r>
  <r>
    <s v="ORD-00771"/>
    <d v="2025-09-27T00:00:00"/>
    <s v="Customer 042"/>
    <s v="Office Chair"/>
    <s v="Furniture"/>
    <s v="West"/>
    <n v="1"/>
    <n v="0"/>
    <n v="280"/>
    <n v="64.69"/>
    <s v="Furniture"/>
    <s v="Sept-2025"/>
    <x v="10"/>
  </r>
  <r>
    <s v="ORD-00772"/>
    <d v="2025-08-28T00:00:00"/>
    <s v="Customer 090"/>
    <s v="Printer"/>
    <s v="Office Supplies"/>
    <s v="South"/>
    <n v="3"/>
    <n v="0.2"/>
    <n v="576"/>
    <n v="174.64"/>
    <s v="Office Supplies"/>
    <s v="Aug-2025"/>
    <x v="8"/>
  </r>
  <r>
    <s v="ORD-00773"/>
    <d v="2025-10-30T00:00:00"/>
    <s v="Customer 082"/>
    <s v="Desk Organizer"/>
    <s v="Office Supplies"/>
    <s v="East"/>
    <n v="4"/>
    <n v="0.2"/>
    <n v="80"/>
    <n v="24.52"/>
    <s v="Office Supplies"/>
    <s v="Oct-2025"/>
    <x v="4"/>
  </r>
  <r>
    <s v="ORD-00774"/>
    <d v="2025-06-27T00:00:00"/>
    <s v="Customer 057"/>
    <s v="Notebook Pack"/>
    <s v="Office Supplies"/>
    <s v="East"/>
    <n v="5"/>
    <n v="0.05"/>
    <n v="85.5"/>
    <n v="15.77"/>
    <s v="Office Supplies"/>
    <s v="Jun-2025"/>
    <x v="11"/>
  </r>
  <r>
    <s v="ORD-00775"/>
    <d v="2025-07-07T00:00:00"/>
    <s v="Customer 001"/>
    <s v="Bookshelf"/>
    <s v="Furniture"/>
    <s v="South"/>
    <n v="3"/>
    <n v="0.05"/>
    <n v="541.5"/>
    <n v="189.43"/>
    <s v="Furniture"/>
    <s v="Jul-2025"/>
    <x v="5"/>
  </r>
  <r>
    <s v="ORD-00776"/>
    <d v="2025-06-26T00:00:00"/>
    <s v="Customer 063"/>
    <s v="Smartphone X"/>
    <s v="Technology"/>
    <s v="West"/>
    <n v="4"/>
    <n v="0.2"/>
    <n v="2720"/>
    <n v="1216.53"/>
    <s v="Technology"/>
    <s v="Jun-2025"/>
    <x v="11"/>
  </r>
  <r>
    <s v="ORD-00777"/>
    <d v="2025-06-03T00:00:00"/>
    <s v="Customer 001"/>
    <s v="Laptop Pro 15"/>
    <s v="Technology"/>
    <s v="East"/>
    <n v="4"/>
    <n v="0.1"/>
    <n v="4320"/>
    <n v="1092.9100000000001"/>
    <s v="Technology"/>
    <s v="Jun-2025"/>
    <x v="11"/>
  </r>
  <r>
    <s v="ORD-00778"/>
    <d v="2025-04-07T00:00:00"/>
    <s v="Customer 021"/>
    <s v="Bookshelf"/>
    <s v="Furniture"/>
    <s v="West"/>
    <n v="5"/>
    <n v="0.15"/>
    <n v="807.5"/>
    <n v="258.18"/>
    <s v="Furniture"/>
    <s v="Apr-2025"/>
    <x v="9"/>
  </r>
  <r>
    <s v="ORD-00779"/>
    <d v="2025-07-13T00:00:00"/>
    <s v="Customer 031"/>
    <s v="Desk Lamp"/>
    <s v="Furniture"/>
    <s v="East"/>
    <n v="3"/>
    <n v="0"/>
    <n v="165"/>
    <n v="51.26"/>
    <s v="Furniture"/>
    <s v="Jul-2025"/>
    <x v="5"/>
  </r>
  <r>
    <s v="ORD-00780"/>
    <d v="2025-05-26T00:00:00"/>
    <s v="Customer 009"/>
    <s v="Monitor 24"/>
    <s v="Technology"/>
    <s v="South"/>
    <n v="5"/>
    <n v="0.1"/>
    <n v="1440"/>
    <n v="451.79"/>
    <s v="Technology"/>
    <s v="May-2025"/>
    <x v="7"/>
  </r>
  <r>
    <s v="ORD-00781"/>
    <d v="2025-03-11T00:00:00"/>
    <s v="Customer 035"/>
    <s v="Smartphone X"/>
    <s v="Technology"/>
    <s v="West"/>
    <n v="1"/>
    <n v="0.15"/>
    <n v="722.5"/>
    <n v="177.84"/>
    <s v="Technology"/>
    <s v="Mar-2025"/>
    <x v="6"/>
  </r>
  <r>
    <s v="ORD-00782"/>
    <d v="2025-04-07T00:00:00"/>
    <s v="Customer 069"/>
    <s v="Keyboard"/>
    <s v="Technology"/>
    <s v="North"/>
    <n v="1"/>
    <n v="0.05"/>
    <n v="66.5"/>
    <n v="28.84"/>
    <s v="Technology"/>
    <s v="Apr-2025"/>
    <x v="9"/>
  </r>
  <r>
    <s v="ORD-00783"/>
    <d v="2025-04-06T00:00:00"/>
    <s v="Customer 057"/>
    <s v="Wireless Mouse"/>
    <s v="Technology"/>
    <s v="North"/>
    <n v="3"/>
    <n v="0.1"/>
    <n v="94.5"/>
    <n v="38.630000000000003"/>
    <s v="Technology"/>
    <s v="Apr-2025"/>
    <x v="9"/>
  </r>
  <r>
    <s v="ORD-00784"/>
    <d v="2025-04-30T00:00:00"/>
    <s v="Customer 044"/>
    <s v="Wireless Mouse"/>
    <s v="Technology"/>
    <s v="West"/>
    <n v="2"/>
    <n v="0"/>
    <n v="70"/>
    <n v="20.100000000000001"/>
    <s v="Technology"/>
    <s v="Apr-2025"/>
    <x v="9"/>
  </r>
  <r>
    <s v="ORD-00785"/>
    <d v="2025-06-09T00:00:00"/>
    <s v="Customer 005"/>
    <s v="Notebook Pack"/>
    <s v="Office Supplies"/>
    <s v="East"/>
    <n v="3"/>
    <n v="0.15"/>
    <n v="45.9"/>
    <n v="10.1"/>
    <s v="Office Supplies"/>
    <s v="Jun-2025"/>
    <x v="11"/>
  </r>
  <r>
    <s v="ORD-00786"/>
    <d v="2025-02-11T00:00:00"/>
    <s v="Customer 010"/>
    <s v="Office Chair"/>
    <s v="Furniture"/>
    <s v="West"/>
    <n v="1"/>
    <n v="0.1"/>
    <n v="252"/>
    <n v="48.9"/>
    <s v="Furniture"/>
    <s v="Feb-2025"/>
    <x v="2"/>
  </r>
  <r>
    <s v="ORD-00787"/>
    <d v="2025-04-03T00:00:00"/>
    <s v="Customer 016"/>
    <s v="Desk Lamp"/>
    <s v="Furniture"/>
    <s v="South"/>
    <n v="3"/>
    <n v="0.15"/>
    <n v="140.25"/>
    <n v="24.78"/>
    <s v="Furniture"/>
    <s v="Apr-2025"/>
    <x v="9"/>
  </r>
  <r>
    <s v="ORD-00788"/>
    <d v="2025-07-17T00:00:00"/>
    <s v="Customer 095"/>
    <s v="Notebook Pack"/>
    <s v="Office Supplies"/>
    <s v="North"/>
    <n v="2"/>
    <n v="0"/>
    <n v="36"/>
    <n v="13.83"/>
    <s v="Office Supplies"/>
    <s v="Jul-2025"/>
    <x v="5"/>
  </r>
  <r>
    <s v="ORD-00789"/>
    <d v="2025-09-24T00:00:00"/>
    <s v="Customer 040"/>
    <s v="Monitor 24"/>
    <s v="Technology"/>
    <s v="East"/>
    <n v="2"/>
    <n v="0.15"/>
    <n v="544"/>
    <n v="174.94"/>
    <s v="Technology"/>
    <s v="Sept-2025"/>
    <x v="10"/>
  </r>
  <r>
    <s v="ORD-00790"/>
    <d v="2025-03-23T00:00:00"/>
    <s v="Customer 033"/>
    <s v="Monitor 24"/>
    <s v="Technology"/>
    <s v="West"/>
    <n v="1"/>
    <n v="0.2"/>
    <n v="256"/>
    <n v="71.19"/>
    <s v="Technology"/>
    <s v="Mar-2025"/>
    <x v="6"/>
  </r>
  <r>
    <s v="ORD-00791"/>
    <d v="2025-11-23T00:00:00"/>
    <s v="Customer 086"/>
    <s v="Smartphone X"/>
    <s v="Technology"/>
    <s v="South"/>
    <n v="2"/>
    <n v="0.1"/>
    <n v="1530"/>
    <n v="240.39"/>
    <s v="Technology"/>
    <s v="Nov-2025"/>
    <x v="0"/>
  </r>
  <r>
    <s v="ORD-00792"/>
    <d v="2025-02-27T00:00:00"/>
    <s v="Customer 036"/>
    <s v="Desk Lamp"/>
    <s v="Furniture"/>
    <s v="North"/>
    <n v="4"/>
    <n v="0.1"/>
    <n v="198"/>
    <n v="88.12"/>
    <s v="Furniture"/>
    <s v="Feb-2025"/>
    <x v="2"/>
  </r>
  <r>
    <s v="ORD-00793"/>
    <d v="2025-07-22T00:00:00"/>
    <s v="Customer 089"/>
    <s v="Desk Lamp"/>
    <s v="Furniture"/>
    <s v="West"/>
    <n v="1"/>
    <n v="0"/>
    <n v="55"/>
    <n v="14.2"/>
    <s v="Furniture"/>
    <s v="Jul-2025"/>
    <x v="5"/>
  </r>
  <r>
    <s v="ORD-00794"/>
    <d v="2025-12-19T00:00:00"/>
    <s v="Customer 032"/>
    <s v="Desk Organizer"/>
    <s v="Office Supplies"/>
    <s v="South"/>
    <n v="2"/>
    <n v="0.1"/>
    <n v="45"/>
    <n v="8.8000000000000007"/>
    <s v="Office Supplies"/>
    <s v="Dec-2025"/>
    <x v="1"/>
  </r>
  <r>
    <s v="ORD-00795"/>
    <d v="2025-09-13T00:00:00"/>
    <s v="Customer 098"/>
    <s v="Wireless Mouse"/>
    <s v="Technology"/>
    <s v="North"/>
    <n v="5"/>
    <n v="0.1"/>
    <n v="157.5"/>
    <n v="22.49"/>
    <s v="Technology"/>
    <s v="Sept-2025"/>
    <x v="10"/>
  </r>
  <r>
    <s v="ORD-00796"/>
    <d v="2025-01-31T00:00:00"/>
    <s v="Customer 017"/>
    <s v="Keyboard"/>
    <s v="Technology"/>
    <s v="West"/>
    <n v="2"/>
    <n v="0.2"/>
    <n v="112"/>
    <n v="21.15"/>
    <s v="Technology"/>
    <s v="Jan-2025"/>
    <x v="3"/>
  </r>
  <r>
    <s v="ORD-00797"/>
    <d v="2025-04-30T00:00:00"/>
    <s v="Customer 057"/>
    <s v="Keyboard"/>
    <s v="Technology"/>
    <s v="South"/>
    <n v="5"/>
    <n v="0.1"/>
    <n v="315"/>
    <n v="58.02"/>
    <s v="Technology"/>
    <s v="Apr-2025"/>
    <x v="9"/>
  </r>
  <r>
    <s v="ORD-00798"/>
    <d v="2025-01-11T00:00:00"/>
    <s v="Customer 033"/>
    <s v="Coffee Table"/>
    <s v="Furniture"/>
    <s v="North"/>
    <n v="4"/>
    <n v="0.1"/>
    <n v="756"/>
    <n v="159.47999999999999"/>
    <s v="Furniture"/>
    <s v="Jan-2025"/>
    <x v="3"/>
  </r>
  <r>
    <s v="ORD-00799"/>
    <d v="2025-09-06T00:00:00"/>
    <s v="Customer 090"/>
    <s v="Coffee Table"/>
    <s v="Furniture"/>
    <s v="West"/>
    <n v="4"/>
    <n v="0.2"/>
    <n v="672"/>
    <n v="237.04"/>
    <s v="Furniture"/>
    <s v="Sept-2025"/>
    <x v="10"/>
  </r>
  <r>
    <s v="ORD-00800"/>
    <d v="2025-04-08T00:00:00"/>
    <s v="Customer 094"/>
    <s v="Desk Organizer"/>
    <s v="Office Supplies"/>
    <s v="West"/>
    <n v="2"/>
    <n v="0.2"/>
    <n v="40"/>
    <n v="13.41"/>
    <s v="Office Supplies"/>
    <s v="Apr-2025"/>
    <x v="9"/>
  </r>
  <r>
    <s v="ORD-00801"/>
    <d v="2025-05-21T00:00:00"/>
    <s v="Customer 020"/>
    <s v="Desk Organizer"/>
    <s v="Office Supplies"/>
    <s v="West"/>
    <n v="5"/>
    <n v="0.05"/>
    <n v="118.75"/>
    <n v="50.74"/>
    <s v="Office Supplies"/>
    <s v="May-2025"/>
    <x v="7"/>
  </r>
  <r>
    <s v="ORD-00802"/>
    <d v="2025-06-01T00:00:00"/>
    <s v="Customer 100"/>
    <s v="Smartphone X"/>
    <s v="Technology"/>
    <s v="West"/>
    <n v="5"/>
    <n v="0.1"/>
    <n v="3825"/>
    <n v="1148.0899999999999"/>
    <s v="Technology"/>
    <s v="Jun-2025"/>
    <x v="11"/>
  </r>
  <r>
    <s v="ORD-00803"/>
    <d v="2025-04-05T00:00:00"/>
    <s v="Customer 031"/>
    <s v="Laptop Pro 15"/>
    <s v="Technology"/>
    <s v="East"/>
    <n v="5"/>
    <n v="0.1"/>
    <n v="5400"/>
    <n v="1047.1400000000001"/>
    <s v="Technology"/>
    <s v="Apr-2025"/>
    <x v="9"/>
  </r>
  <r>
    <s v="ORD-00804"/>
    <d v="2025-02-02T00:00:00"/>
    <s v="Customer 088"/>
    <s v="Monitor 24"/>
    <s v="Technology"/>
    <s v="West"/>
    <n v="5"/>
    <n v="0.15"/>
    <n v="1360"/>
    <n v="526.79"/>
    <s v="Technology"/>
    <s v="Feb-2025"/>
    <x v="2"/>
  </r>
  <r>
    <s v="ORD-00805"/>
    <d v="2025-10-10T00:00:00"/>
    <s v="Customer 083"/>
    <s v="Office Chair"/>
    <s v="Furniture"/>
    <s v="East"/>
    <n v="5"/>
    <n v="0.1"/>
    <n v="1260"/>
    <n v="432.86"/>
    <s v="Furniture"/>
    <s v="Oct-2025"/>
    <x v="4"/>
  </r>
  <r>
    <s v="ORD-00806"/>
    <d v="2025-02-26T00:00:00"/>
    <s v="Customer 017"/>
    <s v="Wireless Mouse"/>
    <s v="Technology"/>
    <s v="South"/>
    <n v="5"/>
    <n v="0"/>
    <n v="175"/>
    <n v="76.22"/>
    <s v="Technology"/>
    <s v="Feb-2025"/>
    <x v="2"/>
  </r>
  <r>
    <s v="ORD-00807"/>
    <d v="2025-01-17T00:00:00"/>
    <s v="Customer 005"/>
    <s v="Desk Lamp"/>
    <s v="Furniture"/>
    <s v="West"/>
    <n v="1"/>
    <n v="0.15"/>
    <n v="46.75"/>
    <n v="18.079999999999998"/>
    <s v="Furniture"/>
    <s v="Jan-2025"/>
    <x v="3"/>
  </r>
  <r>
    <s v="ORD-00808"/>
    <d v="2025-12-03T00:00:00"/>
    <s v="Customer 033"/>
    <s v="Notebook Pack"/>
    <s v="Office Supplies"/>
    <s v="North"/>
    <n v="5"/>
    <n v="0.2"/>
    <n v="72"/>
    <n v="15.74"/>
    <s v="Office Supplies"/>
    <s v="Dec-2025"/>
    <x v="1"/>
  </r>
  <r>
    <s v="ORD-00809"/>
    <d v="2025-07-07T00:00:00"/>
    <s v="Customer 027"/>
    <s v="Desk Lamp"/>
    <s v="Furniture"/>
    <s v="West"/>
    <n v="5"/>
    <n v="0"/>
    <n v="275"/>
    <n v="122.56"/>
    <s v="Furniture"/>
    <s v="Jul-2025"/>
    <x v="5"/>
  </r>
  <r>
    <s v="ORD-00810"/>
    <d v="2025-02-10T00:00:00"/>
    <s v="Customer 054"/>
    <s v="Notebook Pack"/>
    <s v="Office Supplies"/>
    <s v="East"/>
    <n v="1"/>
    <n v="0.1"/>
    <n v="16.2"/>
    <n v="4.3099999999999996"/>
    <s v="Office Supplies"/>
    <s v="Feb-2025"/>
    <x v="2"/>
  </r>
  <r>
    <s v="ORD-00811"/>
    <d v="2025-12-29T00:00:00"/>
    <s v="Customer 094"/>
    <s v="Laptop Pro 15"/>
    <s v="Technology"/>
    <s v="North"/>
    <n v="5"/>
    <n v="0.1"/>
    <n v="5400"/>
    <n v="1487.28"/>
    <s v="Technology"/>
    <s v="Dec-2025"/>
    <x v="1"/>
  </r>
  <r>
    <s v="ORD-00812"/>
    <d v="2025-06-05T00:00:00"/>
    <s v="Customer 093"/>
    <s v="Wireless Mouse"/>
    <s v="Technology"/>
    <s v="South"/>
    <n v="2"/>
    <n v="0.2"/>
    <n v="56"/>
    <n v="23.41"/>
    <s v="Technology"/>
    <s v="Jun-2025"/>
    <x v="11"/>
  </r>
  <r>
    <s v="ORD-00813"/>
    <d v="2025-09-30T00:00:00"/>
    <s v="Customer 032"/>
    <s v="Bookshelf"/>
    <s v="Furniture"/>
    <s v="South"/>
    <n v="2"/>
    <n v="0.05"/>
    <n v="361"/>
    <n v="99.76"/>
    <s v="Furniture"/>
    <s v="Sept-2025"/>
    <x v="10"/>
  </r>
  <r>
    <s v="ORD-00814"/>
    <d v="2025-10-13T00:00:00"/>
    <s v="Customer 099"/>
    <s v="Coffee Table"/>
    <s v="Furniture"/>
    <s v="East"/>
    <n v="5"/>
    <n v="0.15"/>
    <n v="892.5"/>
    <n v="181.88"/>
    <s v="Furniture"/>
    <s v="Oct-2025"/>
    <x v="4"/>
  </r>
  <r>
    <s v="ORD-00815"/>
    <d v="2025-12-12T00:00:00"/>
    <s v="Customer 024"/>
    <s v="Notebook Pack"/>
    <s v="Office Supplies"/>
    <s v="West"/>
    <n v="4"/>
    <n v="0"/>
    <n v="72"/>
    <n v="28.44"/>
    <s v="Office Supplies"/>
    <s v="Dec-2025"/>
    <x v="1"/>
  </r>
  <r>
    <s v="ORD-00816"/>
    <d v="2025-09-16T00:00:00"/>
    <s v="Customer 057"/>
    <s v="Keyboard"/>
    <s v="Technology"/>
    <s v="East"/>
    <n v="2"/>
    <n v="0.2"/>
    <n v="112"/>
    <n v="13.5"/>
    <s v="Technology"/>
    <s v="Sept-2025"/>
    <x v="10"/>
  </r>
  <r>
    <s v="ORD-00817"/>
    <d v="2025-06-11T00:00:00"/>
    <s v="Customer 082"/>
    <s v="Printer"/>
    <s v="Office Supplies"/>
    <s v="West"/>
    <n v="3"/>
    <n v="0.1"/>
    <n v="648"/>
    <n v="203.42"/>
    <s v="Office Supplies"/>
    <s v="Jun-2025"/>
    <x v="11"/>
  </r>
  <r>
    <s v="ORD-00818"/>
    <d v="2025-06-15T00:00:00"/>
    <s v="Customer 049"/>
    <s v="Desk Organizer"/>
    <s v="Office Supplies"/>
    <s v="East"/>
    <n v="2"/>
    <n v="0.2"/>
    <n v="40"/>
    <n v="10.8"/>
    <s v="Office Supplies"/>
    <s v="Jun-2025"/>
    <x v="11"/>
  </r>
  <r>
    <s v="ORD-00819"/>
    <d v="2025-07-04T00:00:00"/>
    <s v="Customer 005"/>
    <s v="Notebook Pack"/>
    <s v="Office Supplies"/>
    <s v="East"/>
    <n v="4"/>
    <n v="0.15"/>
    <n v="61.2"/>
    <n v="27.54"/>
    <s v="Office Supplies"/>
    <s v="Jul-2025"/>
    <x v="5"/>
  </r>
  <r>
    <s v="ORD-00820"/>
    <d v="2025-11-02T00:00:00"/>
    <s v="Customer 039"/>
    <s v="Laptop Pro 15"/>
    <s v="Technology"/>
    <s v="North"/>
    <n v="5"/>
    <n v="0.05"/>
    <n v="5700"/>
    <n v="696.39"/>
    <s v="Technology"/>
    <s v="Nov-2025"/>
    <x v="0"/>
  </r>
  <r>
    <s v="ORD-00821"/>
    <d v="2025-06-03T00:00:00"/>
    <s v="Customer 089"/>
    <s v="Desk Lamp"/>
    <s v="Furniture"/>
    <s v="East"/>
    <n v="2"/>
    <n v="0.1"/>
    <n v="99"/>
    <n v="43.84"/>
    <s v="Furniture"/>
    <s v="Jun-2025"/>
    <x v="11"/>
  </r>
  <r>
    <s v="ORD-00822"/>
    <d v="2025-10-11T00:00:00"/>
    <s v="Customer 020"/>
    <s v="Printer"/>
    <s v="Office Supplies"/>
    <s v="North"/>
    <n v="5"/>
    <n v="0.2"/>
    <n v="960"/>
    <n v="138.66999999999999"/>
    <s v="Office Supplies"/>
    <s v="Oct-2025"/>
    <x v="4"/>
  </r>
  <r>
    <s v="ORD-00823"/>
    <d v="2025-01-20T00:00:00"/>
    <s v="Customer 047"/>
    <s v="Notebook Pack"/>
    <s v="Office Supplies"/>
    <s v="South"/>
    <n v="3"/>
    <n v="0.05"/>
    <n v="51.3"/>
    <n v="20.74"/>
    <s v="Office Supplies"/>
    <s v="Jan-2025"/>
    <x v="3"/>
  </r>
  <r>
    <s v="ORD-00824"/>
    <d v="2025-04-30T00:00:00"/>
    <s v="Customer 073"/>
    <s v="Smartphone X"/>
    <s v="Technology"/>
    <s v="South"/>
    <n v="3"/>
    <n v="0"/>
    <n v="2550"/>
    <n v="667.44"/>
    <s v="Technology"/>
    <s v="Apr-2025"/>
    <x v="9"/>
  </r>
  <r>
    <s v="ORD-00825"/>
    <d v="2025-02-09T00:00:00"/>
    <s v="Customer 089"/>
    <s v="Coffee Table"/>
    <s v="Furniture"/>
    <s v="North"/>
    <n v="3"/>
    <n v="0.15"/>
    <n v="535.5"/>
    <n v="210.42"/>
    <s v="Furniture"/>
    <s v="Feb-2025"/>
    <x v="2"/>
  </r>
  <r>
    <s v="ORD-00826"/>
    <d v="2025-11-01T00:00:00"/>
    <s v="Customer 074"/>
    <s v="Monitor 24"/>
    <s v="Technology"/>
    <s v="West"/>
    <n v="3"/>
    <n v="0"/>
    <n v="960"/>
    <n v="200.49"/>
    <s v="Technology"/>
    <s v="Nov-2025"/>
    <x v="0"/>
  </r>
  <r>
    <s v="ORD-00827"/>
    <d v="2025-02-10T00:00:00"/>
    <s v="Customer 056"/>
    <s v="Laptop Pro 15"/>
    <s v="Technology"/>
    <s v="West"/>
    <n v="3"/>
    <n v="0.1"/>
    <n v="3240"/>
    <n v="517.33000000000004"/>
    <s v="Technology"/>
    <s v="Feb-2025"/>
    <x v="2"/>
  </r>
  <r>
    <s v="ORD-00828"/>
    <d v="2025-03-03T00:00:00"/>
    <s v="Customer 081"/>
    <s v="Desk Lamp"/>
    <s v="Furniture"/>
    <s v="West"/>
    <n v="5"/>
    <n v="0"/>
    <n v="275"/>
    <n v="66.22"/>
    <s v="Furniture"/>
    <s v="Mar-2025"/>
    <x v="6"/>
  </r>
  <r>
    <s v="ORD-00829"/>
    <d v="2025-01-28T00:00:00"/>
    <s v="Customer 073"/>
    <s v="Smartphone X"/>
    <s v="Technology"/>
    <s v="South"/>
    <n v="5"/>
    <n v="0"/>
    <n v="4250"/>
    <n v="1464.66"/>
    <s v="Technology"/>
    <s v="Jan-2025"/>
    <x v="3"/>
  </r>
  <r>
    <s v="ORD-00830"/>
    <d v="2025-06-17T00:00:00"/>
    <s v="Customer 094"/>
    <s v="Printer"/>
    <s v="Office Supplies"/>
    <s v="West"/>
    <n v="2"/>
    <n v="0.05"/>
    <n v="456"/>
    <n v="197.6"/>
    <s v="Office Supplies"/>
    <s v="Jun-2025"/>
    <x v="11"/>
  </r>
  <r>
    <s v="ORD-00831"/>
    <d v="2025-08-17T00:00:00"/>
    <s v="Customer 056"/>
    <s v="Desk Organizer"/>
    <s v="Office Supplies"/>
    <s v="East"/>
    <n v="5"/>
    <n v="0.2"/>
    <n v="100"/>
    <n v="42.03"/>
    <s v="Office Supplies"/>
    <s v="Aug-2025"/>
    <x v="8"/>
  </r>
  <r>
    <s v="ORD-00832"/>
    <d v="2025-07-21T00:00:00"/>
    <s v="Customer 074"/>
    <s v="Office Chair"/>
    <s v="Furniture"/>
    <s v="North"/>
    <n v="2"/>
    <n v="0.1"/>
    <n v="504"/>
    <n v="213.07"/>
    <s v="Furniture"/>
    <s v="Jul-2025"/>
    <x v="5"/>
  </r>
  <r>
    <s v="ORD-00833"/>
    <d v="2025-10-08T00:00:00"/>
    <s v="Customer 056"/>
    <s v="Bookshelf"/>
    <s v="Furniture"/>
    <s v="South"/>
    <n v="3"/>
    <n v="0"/>
    <n v="570"/>
    <n v="181.54"/>
    <s v="Furniture"/>
    <s v="Oct-2025"/>
    <x v="4"/>
  </r>
  <r>
    <s v="ORD-00834"/>
    <d v="2025-03-11T00:00:00"/>
    <s v="Customer 084"/>
    <s v="Notebook Pack"/>
    <s v="Office Supplies"/>
    <s v="South"/>
    <n v="5"/>
    <n v="0.05"/>
    <n v="85.5"/>
    <n v="24.71"/>
    <s v="Office Supplies"/>
    <s v="Mar-2025"/>
    <x v="6"/>
  </r>
  <r>
    <s v="ORD-00835"/>
    <d v="2025-10-15T00:00:00"/>
    <s v="Customer 035"/>
    <s v="Desk Organizer"/>
    <s v="Office Supplies"/>
    <s v="West"/>
    <n v="5"/>
    <n v="0.05"/>
    <n v="118.75"/>
    <n v="43.94"/>
    <s v="Office Supplies"/>
    <s v="Oct-2025"/>
    <x v="4"/>
  </r>
  <r>
    <s v="ORD-00836"/>
    <d v="2025-06-15T00:00:00"/>
    <s v="Customer 053"/>
    <s v="Monitor 24"/>
    <s v="Technology"/>
    <s v="West"/>
    <n v="5"/>
    <n v="0"/>
    <n v="1600"/>
    <n v="660.58"/>
    <s v="Technology"/>
    <s v="Jun-2025"/>
    <x v="11"/>
  </r>
  <r>
    <s v="ORD-00837"/>
    <d v="2025-07-07T00:00:00"/>
    <s v="Customer 084"/>
    <s v="Keyboard"/>
    <s v="Technology"/>
    <s v="North"/>
    <n v="2"/>
    <n v="0.1"/>
    <n v="126"/>
    <n v="42.37"/>
    <s v="Technology"/>
    <s v="Jul-2025"/>
    <x v="5"/>
  </r>
  <r>
    <s v="ORD-00838"/>
    <d v="2025-06-06T00:00:00"/>
    <s v="Customer 057"/>
    <s v="Office Chair"/>
    <s v="Furniture"/>
    <s v="South"/>
    <n v="3"/>
    <n v="0.2"/>
    <n v="672"/>
    <n v="120.21"/>
    <s v="Furniture"/>
    <s v="Jun-2025"/>
    <x v="11"/>
  </r>
  <r>
    <s v="ORD-00839"/>
    <d v="2025-08-14T00:00:00"/>
    <s v="Customer 020"/>
    <s v="Laptop Pro 15"/>
    <s v="Technology"/>
    <s v="North"/>
    <n v="2"/>
    <n v="0.05"/>
    <n v="2280"/>
    <n v="510.34"/>
    <s v="Technology"/>
    <s v="Aug-2025"/>
    <x v="8"/>
  </r>
  <r>
    <s v="ORD-00840"/>
    <d v="2025-02-27T00:00:00"/>
    <s v="Customer 019"/>
    <s v="Coffee Table"/>
    <s v="Furniture"/>
    <s v="East"/>
    <n v="1"/>
    <n v="0.05"/>
    <n v="199.5"/>
    <n v="27.3"/>
    <s v="Furniture"/>
    <s v="Feb-2025"/>
    <x v="2"/>
  </r>
  <r>
    <s v="ORD-00841"/>
    <d v="2025-01-08T00:00:00"/>
    <s v="Customer 003"/>
    <s v="Keyboard"/>
    <s v="Technology"/>
    <s v="East"/>
    <n v="1"/>
    <n v="0.1"/>
    <n v="63"/>
    <n v="18.989999999999998"/>
    <s v="Technology"/>
    <s v="Jan-2025"/>
    <x v="3"/>
  </r>
  <r>
    <s v="ORD-00842"/>
    <d v="2025-04-18T00:00:00"/>
    <s v="Customer 067"/>
    <s v="Coffee Table"/>
    <s v="Furniture"/>
    <s v="East"/>
    <n v="5"/>
    <n v="0.05"/>
    <n v="997.5"/>
    <n v="381.79"/>
    <s v="Furniture"/>
    <s v="Apr-2025"/>
    <x v="9"/>
  </r>
  <r>
    <s v="ORD-00843"/>
    <d v="2025-10-08T00:00:00"/>
    <s v="Customer 086"/>
    <s v="Notebook Pack"/>
    <s v="Office Supplies"/>
    <s v="North"/>
    <n v="5"/>
    <n v="0.05"/>
    <n v="85.5"/>
    <n v="18.86"/>
    <s v="Office Supplies"/>
    <s v="Oct-2025"/>
    <x v="4"/>
  </r>
  <r>
    <s v="ORD-00844"/>
    <d v="2025-07-12T00:00:00"/>
    <s v="Customer 008"/>
    <s v="Desk Organizer"/>
    <s v="Office Supplies"/>
    <s v="East"/>
    <n v="5"/>
    <n v="0"/>
    <n v="125"/>
    <n v="45.71"/>
    <s v="Office Supplies"/>
    <s v="Jul-2025"/>
    <x v="5"/>
  </r>
  <r>
    <s v="ORD-00845"/>
    <d v="2025-04-13T00:00:00"/>
    <s v="Customer 084"/>
    <s v="Coffee Table"/>
    <s v="Furniture"/>
    <s v="North"/>
    <n v="5"/>
    <n v="0.1"/>
    <n v="945"/>
    <n v="408.7"/>
    <s v="Furniture"/>
    <s v="Apr-2025"/>
    <x v="9"/>
  </r>
  <r>
    <s v="ORD-00846"/>
    <d v="2025-02-04T00:00:00"/>
    <s v="Customer 003"/>
    <s v="Bookshelf"/>
    <s v="Furniture"/>
    <s v="East"/>
    <n v="3"/>
    <n v="0.1"/>
    <n v="513"/>
    <n v="84.54"/>
    <s v="Furniture"/>
    <s v="Feb-2025"/>
    <x v="2"/>
  </r>
  <r>
    <s v="ORD-00847"/>
    <d v="2025-11-29T00:00:00"/>
    <s v="Customer 091"/>
    <s v="Bookshelf"/>
    <s v="Furniture"/>
    <s v="North"/>
    <n v="2"/>
    <n v="0.15"/>
    <n v="323"/>
    <n v="91.14"/>
    <s v="Furniture"/>
    <s v="Nov-2025"/>
    <x v="0"/>
  </r>
  <r>
    <s v="ORD-00848"/>
    <d v="2025-06-11T00:00:00"/>
    <s v="Customer 026"/>
    <s v="Notebook Pack"/>
    <s v="Office Supplies"/>
    <s v="West"/>
    <n v="5"/>
    <n v="0.2"/>
    <n v="72"/>
    <n v="30.31"/>
    <s v="Office Supplies"/>
    <s v="Jun-2025"/>
    <x v="11"/>
  </r>
  <r>
    <s v="ORD-00849"/>
    <d v="2025-10-15T00:00:00"/>
    <s v="Customer 068"/>
    <s v="Coffee Table"/>
    <s v="Furniture"/>
    <s v="East"/>
    <n v="1"/>
    <n v="0"/>
    <n v="210"/>
    <n v="77.36"/>
    <s v="Furniture"/>
    <s v="Oct-2025"/>
    <x v="4"/>
  </r>
  <r>
    <s v="ORD-00850"/>
    <d v="2025-06-20T00:00:00"/>
    <s v="Customer 088"/>
    <s v="Notebook Pack"/>
    <s v="Office Supplies"/>
    <s v="East"/>
    <n v="4"/>
    <n v="0.05"/>
    <n v="68.400000000000006"/>
    <n v="30.37"/>
    <s v="Office Supplies"/>
    <s v="Jun-2025"/>
    <x v="11"/>
  </r>
  <r>
    <s v="ORD-00851"/>
    <d v="2025-07-01T00:00:00"/>
    <s v="Customer 065"/>
    <s v="Monitor 24"/>
    <s v="Technology"/>
    <s v="East"/>
    <n v="3"/>
    <n v="0.05"/>
    <n v="912"/>
    <n v="110.65"/>
    <s v="Technology"/>
    <s v="Jul-2025"/>
    <x v="5"/>
  </r>
  <r>
    <s v="ORD-00852"/>
    <d v="2025-02-01T00:00:00"/>
    <s v="Customer 004"/>
    <s v="Monitor 24"/>
    <s v="Technology"/>
    <s v="East"/>
    <n v="3"/>
    <n v="0.15"/>
    <n v="816"/>
    <n v="127.43"/>
    <s v="Technology"/>
    <s v="Feb-2025"/>
    <x v="2"/>
  </r>
  <r>
    <s v="ORD-00853"/>
    <d v="2025-04-26T00:00:00"/>
    <s v="Customer 012"/>
    <s v="Office Chair"/>
    <s v="Furniture"/>
    <s v="West"/>
    <n v="3"/>
    <n v="0.15"/>
    <n v="714"/>
    <n v="166.51"/>
    <s v="Furniture"/>
    <s v="Apr-2025"/>
    <x v="9"/>
  </r>
  <r>
    <s v="ORD-00854"/>
    <d v="2025-09-24T00:00:00"/>
    <s v="Customer 074"/>
    <s v="Monitor 24"/>
    <s v="Technology"/>
    <s v="South"/>
    <n v="5"/>
    <n v="0.05"/>
    <n v="1520"/>
    <n v="474.67"/>
    <s v="Technology"/>
    <s v="Sept-2025"/>
    <x v="10"/>
  </r>
  <r>
    <s v="ORD-00855"/>
    <d v="2025-08-07T00:00:00"/>
    <s v="Customer 017"/>
    <s v="Smartphone X"/>
    <s v="Technology"/>
    <s v="South"/>
    <n v="5"/>
    <n v="0.1"/>
    <n v="3825"/>
    <n v="1154.29"/>
    <s v="Technology"/>
    <s v="Aug-2025"/>
    <x v="8"/>
  </r>
  <r>
    <s v="ORD-00856"/>
    <d v="2025-12-01T00:00:00"/>
    <s v="Customer 026"/>
    <s v="Office Chair"/>
    <s v="Furniture"/>
    <s v="South"/>
    <n v="5"/>
    <n v="0.2"/>
    <n v="1120"/>
    <n v="251.18"/>
    <s v="Furniture"/>
    <s v="Dec-2025"/>
    <x v="1"/>
  </r>
  <r>
    <s v="ORD-00857"/>
    <d v="2025-06-08T00:00:00"/>
    <s v="Customer 099"/>
    <s v="Coffee Table"/>
    <s v="Furniture"/>
    <s v="South"/>
    <n v="5"/>
    <n v="0.05"/>
    <n v="997.5"/>
    <n v="307.31"/>
    <s v="Furniture"/>
    <s v="Jun-2025"/>
    <x v="11"/>
  </r>
  <r>
    <s v="ORD-00858"/>
    <d v="2025-12-02T00:00:00"/>
    <s v="Customer 069"/>
    <s v="Desk Organizer"/>
    <s v="Office Supplies"/>
    <s v="North"/>
    <n v="2"/>
    <n v="0.1"/>
    <n v="45"/>
    <n v="19.239999999999998"/>
    <s v="Office Supplies"/>
    <s v="Dec-2025"/>
    <x v="1"/>
  </r>
  <r>
    <s v="ORD-00859"/>
    <d v="2025-04-05T00:00:00"/>
    <s v="Customer 053"/>
    <s v="Keyboard"/>
    <s v="Technology"/>
    <s v="West"/>
    <n v="2"/>
    <n v="0"/>
    <n v="140"/>
    <n v="27.64"/>
    <s v="Technology"/>
    <s v="Apr-2025"/>
    <x v="9"/>
  </r>
  <r>
    <s v="ORD-00860"/>
    <d v="2025-06-05T00:00:00"/>
    <s v="Customer 014"/>
    <s v="Notebook Pack"/>
    <s v="Office Supplies"/>
    <s v="South"/>
    <n v="3"/>
    <n v="0.05"/>
    <n v="51.3"/>
    <n v="9.9"/>
    <s v="Office Supplies"/>
    <s v="Jun-2025"/>
    <x v="11"/>
  </r>
  <r>
    <s v="ORD-00861"/>
    <d v="2025-04-05T00:00:00"/>
    <s v="Customer 073"/>
    <s v="Laptop Pro 15"/>
    <s v="Technology"/>
    <s v="South"/>
    <n v="5"/>
    <n v="0.2"/>
    <n v="4800"/>
    <n v="1737.29"/>
    <s v="Technology"/>
    <s v="Apr-2025"/>
    <x v="9"/>
  </r>
  <r>
    <s v="ORD-00862"/>
    <d v="2025-11-02T00:00:00"/>
    <s v="Customer 089"/>
    <s v="Desk Lamp"/>
    <s v="Furniture"/>
    <s v="West"/>
    <n v="2"/>
    <n v="0"/>
    <n v="110"/>
    <n v="36.46"/>
    <s v="Furniture"/>
    <s v="Nov-2025"/>
    <x v="0"/>
  </r>
  <r>
    <s v="ORD-00863"/>
    <d v="2025-03-10T00:00:00"/>
    <s v="Customer 048"/>
    <s v="Printer"/>
    <s v="Office Supplies"/>
    <s v="South"/>
    <n v="5"/>
    <n v="0.15"/>
    <n v="1020"/>
    <n v="219.33"/>
    <s v="Office Supplies"/>
    <s v="Mar-2025"/>
    <x v="6"/>
  </r>
  <r>
    <s v="ORD-00864"/>
    <d v="2025-07-18T00:00:00"/>
    <s v="Customer 029"/>
    <s v="Notebook Pack"/>
    <s v="Office Supplies"/>
    <s v="North"/>
    <n v="4"/>
    <n v="0.05"/>
    <n v="68.400000000000006"/>
    <n v="27.08"/>
    <s v="Office Supplies"/>
    <s v="Jul-2025"/>
    <x v="5"/>
  </r>
  <r>
    <s v="ORD-00865"/>
    <d v="2025-07-29T00:00:00"/>
    <s v="Customer 086"/>
    <s v="Laptop Pro 15"/>
    <s v="Technology"/>
    <s v="South"/>
    <n v="3"/>
    <n v="0.15"/>
    <n v="3060"/>
    <n v="1152.26"/>
    <s v="Technology"/>
    <s v="Jul-2025"/>
    <x v="5"/>
  </r>
  <r>
    <s v="ORD-00866"/>
    <d v="2025-04-15T00:00:00"/>
    <s v="Customer 063"/>
    <s v="Wireless Mouse"/>
    <s v="Technology"/>
    <s v="East"/>
    <n v="2"/>
    <n v="0.15"/>
    <n v="59.5"/>
    <n v="9.75"/>
    <s v="Technology"/>
    <s v="Apr-2025"/>
    <x v="9"/>
  </r>
  <r>
    <s v="ORD-00867"/>
    <d v="2025-08-23T00:00:00"/>
    <s v="Customer 078"/>
    <s v="Desk Lamp"/>
    <s v="Furniture"/>
    <s v="West"/>
    <n v="4"/>
    <n v="0.15"/>
    <n v="187"/>
    <n v="36.25"/>
    <s v="Furniture"/>
    <s v="Aug-2025"/>
    <x v="8"/>
  </r>
  <r>
    <s v="ORD-00868"/>
    <d v="2025-06-10T00:00:00"/>
    <s v="Customer 068"/>
    <s v="Bookshelf"/>
    <s v="Furniture"/>
    <s v="North"/>
    <n v="5"/>
    <n v="0.2"/>
    <n v="760"/>
    <n v="193.07"/>
    <s v="Furniture"/>
    <s v="Jun-2025"/>
    <x v="11"/>
  </r>
  <r>
    <s v="ORD-00869"/>
    <d v="2025-09-24T00:00:00"/>
    <s v="Customer 006"/>
    <s v="Wireless Mouse"/>
    <s v="Technology"/>
    <s v="South"/>
    <n v="4"/>
    <n v="0.15"/>
    <n v="119"/>
    <n v="21.07"/>
    <s v="Technology"/>
    <s v="Sept-2025"/>
    <x v="10"/>
  </r>
  <r>
    <s v="ORD-00870"/>
    <d v="2025-09-23T00:00:00"/>
    <s v="Customer 067"/>
    <s v="Printer"/>
    <s v="Office Supplies"/>
    <s v="North"/>
    <n v="4"/>
    <n v="0"/>
    <n v="960"/>
    <n v="255.32"/>
    <s v="Office Supplies"/>
    <s v="Sept-2025"/>
    <x v="10"/>
  </r>
  <r>
    <s v="ORD-00871"/>
    <d v="2025-04-08T00:00:00"/>
    <s v="Customer 100"/>
    <s v="Smartphone X"/>
    <s v="Technology"/>
    <s v="East"/>
    <n v="4"/>
    <n v="0.15"/>
    <n v="2890"/>
    <n v="457.05"/>
    <s v="Technology"/>
    <s v="Apr-2025"/>
    <x v="9"/>
  </r>
  <r>
    <s v="ORD-00872"/>
    <d v="2025-08-25T00:00:00"/>
    <s v="Customer 007"/>
    <s v="Office Chair"/>
    <s v="Furniture"/>
    <s v="South"/>
    <n v="4"/>
    <n v="0.1"/>
    <n v="1008"/>
    <n v="249.65"/>
    <s v="Furniture"/>
    <s v="Aug-2025"/>
    <x v="8"/>
  </r>
  <r>
    <s v="ORD-00873"/>
    <d v="2025-08-26T00:00:00"/>
    <s v="Customer 015"/>
    <s v="Monitor 24"/>
    <s v="Technology"/>
    <s v="South"/>
    <n v="4"/>
    <n v="0"/>
    <n v="1280"/>
    <n v="270.75"/>
    <s v="Technology"/>
    <s v="Aug-2025"/>
    <x v="8"/>
  </r>
  <r>
    <s v="ORD-00874"/>
    <d v="2025-10-27T00:00:00"/>
    <s v="Customer 042"/>
    <s v="Coffee Table"/>
    <s v="Furniture"/>
    <s v="West"/>
    <n v="5"/>
    <n v="0.05"/>
    <n v="997.5"/>
    <n v="319.49"/>
    <s v="Furniture"/>
    <s v="Oct-2025"/>
    <x v="4"/>
  </r>
  <r>
    <s v="ORD-00875"/>
    <d v="2025-01-13T00:00:00"/>
    <s v="Customer 026"/>
    <s v="Office Chair"/>
    <s v="Furniture"/>
    <s v="West"/>
    <n v="4"/>
    <n v="0.2"/>
    <n v="896"/>
    <n v="138.09"/>
    <s v="Furniture"/>
    <s v="Jan-2025"/>
    <x v="3"/>
  </r>
  <r>
    <s v="ORD-00876"/>
    <d v="2025-02-16T00:00:00"/>
    <s v="Customer 016"/>
    <s v="Smartphone X"/>
    <s v="Technology"/>
    <s v="North"/>
    <n v="3"/>
    <n v="0.05"/>
    <n v="2422.5"/>
    <n v="515.84"/>
    <s v="Technology"/>
    <s v="Feb-2025"/>
    <x v="2"/>
  </r>
  <r>
    <s v="ORD-00877"/>
    <d v="2025-02-28T00:00:00"/>
    <s v="Customer 091"/>
    <s v="Coffee Table"/>
    <s v="Furniture"/>
    <s v="West"/>
    <n v="4"/>
    <n v="0.1"/>
    <n v="756"/>
    <n v="318.92"/>
    <s v="Furniture"/>
    <s v="Feb-2025"/>
    <x v="2"/>
  </r>
  <r>
    <s v="ORD-00878"/>
    <d v="2025-09-19T00:00:00"/>
    <s v="Customer 006"/>
    <s v="Desk Organizer"/>
    <s v="Office Supplies"/>
    <s v="South"/>
    <n v="2"/>
    <n v="0.15"/>
    <n v="42.5"/>
    <n v="11.41"/>
    <s v="Office Supplies"/>
    <s v="Sept-2025"/>
    <x v="10"/>
  </r>
  <r>
    <s v="ORD-00879"/>
    <d v="2025-06-21T00:00:00"/>
    <s v="Customer 023"/>
    <s v="Desk Organizer"/>
    <s v="Office Supplies"/>
    <s v="North"/>
    <n v="2"/>
    <n v="0.05"/>
    <n v="47.5"/>
    <n v="7.76"/>
    <s v="Office Supplies"/>
    <s v="Jun-2025"/>
    <x v="11"/>
  </r>
  <r>
    <s v="ORD-00880"/>
    <d v="2025-08-03T00:00:00"/>
    <s v="Customer 024"/>
    <s v="Smartphone X"/>
    <s v="Technology"/>
    <s v="North"/>
    <n v="3"/>
    <n v="0.15"/>
    <n v="2167.5"/>
    <n v="768.82"/>
    <s v="Technology"/>
    <s v="Aug-2025"/>
    <x v="8"/>
  </r>
  <r>
    <s v="ORD-00881"/>
    <d v="2025-03-09T00:00:00"/>
    <s v="Customer 002"/>
    <s v="Desk Lamp"/>
    <s v="Furniture"/>
    <s v="West"/>
    <n v="1"/>
    <n v="0.2"/>
    <n v="44"/>
    <n v="8.69"/>
    <s v="Furniture"/>
    <s v="Mar-2025"/>
    <x v="6"/>
  </r>
  <r>
    <s v="ORD-00882"/>
    <d v="2025-09-12T00:00:00"/>
    <s v="Customer 064"/>
    <s v="Notebook Pack"/>
    <s v="Office Supplies"/>
    <s v="South"/>
    <n v="5"/>
    <n v="0"/>
    <n v="90"/>
    <n v="22.44"/>
    <s v="Office Supplies"/>
    <s v="Sept-2025"/>
    <x v="10"/>
  </r>
  <r>
    <s v="ORD-00883"/>
    <d v="2025-04-22T00:00:00"/>
    <s v="Customer 011"/>
    <s v="Desk Organizer"/>
    <s v="Office Supplies"/>
    <s v="North"/>
    <n v="4"/>
    <n v="0.15"/>
    <n v="85"/>
    <n v="26.75"/>
    <s v="Office Supplies"/>
    <s v="Apr-2025"/>
    <x v="9"/>
  </r>
  <r>
    <s v="ORD-00884"/>
    <d v="2025-05-06T00:00:00"/>
    <s v="Customer 027"/>
    <s v="Printer"/>
    <s v="Office Supplies"/>
    <s v="North"/>
    <n v="3"/>
    <n v="0.2"/>
    <n v="576"/>
    <n v="139.71"/>
    <s v="Office Supplies"/>
    <s v="May-2025"/>
    <x v="7"/>
  </r>
  <r>
    <s v="ORD-00885"/>
    <d v="2025-04-05T00:00:00"/>
    <s v="Customer 005"/>
    <s v="Office Chair"/>
    <s v="Furniture"/>
    <s v="East"/>
    <n v="1"/>
    <n v="0.1"/>
    <n v="252"/>
    <n v="110.35"/>
    <s v="Furniture"/>
    <s v="Apr-2025"/>
    <x v="9"/>
  </r>
  <r>
    <s v="ORD-00886"/>
    <d v="2025-06-19T00:00:00"/>
    <s v="Customer 023"/>
    <s v="Wireless Mouse"/>
    <s v="Technology"/>
    <s v="South"/>
    <n v="1"/>
    <n v="0"/>
    <n v="35"/>
    <n v="10.93"/>
    <s v="Technology"/>
    <s v="Jun-2025"/>
    <x v="11"/>
  </r>
  <r>
    <s v="ORD-00887"/>
    <d v="2025-12-11T00:00:00"/>
    <s v="Customer 072"/>
    <s v="Smartphone X"/>
    <s v="Technology"/>
    <s v="South"/>
    <n v="5"/>
    <n v="0.2"/>
    <n v="3400"/>
    <n v="887.9"/>
    <s v="Technology"/>
    <s v="Dec-2025"/>
    <x v="1"/>
  </r>
  <r>
    <s v="ORD-00888"/>
    <d v="2025-08-22T00:00:00"/>
    <s v="Customer 012"/>
    <s v="Coffee Table"/>
    <s v="Furniture"/>
    <s v="East"/>
    <n v="5"/>
    <n v="0.1"/>
    <n v="945"/>
    <n v="134.77000000000001"/>
    <s v="Furniture"/>
    <s v="Aug-2025"/>
    <x v="8"/>
  </r>
  <r>
    <s v="ORD-00889"/>
    <d v="2025-06-15T00:00:00"/>
    <s v="Customer 071"/>
    <s v="Keyboard"/>
    <s v="Technology"/>
    <s v="North"/>
    <n v="4"/>
    <n v="0"/>
    <n v="280"/>
    <n v="55.92"/>
    <s v="Technology"/>
    <s v="Jun-2025"/>
    <x v="11"/>
  </r>
  <r>
    <s v="ORD-00890"/>
    <d v="2025-05-30T00:00:00"/>
    <s v="Customer 036"/>
    <s v="Notebook Pack"/>
    <s v="Office Supplies"/>
    <s v="East"/>
    <n v="2"/>
    <n v="0"/>
    <n v="36"/>
    <n v="7.95"/>
    <s v="Office Supplies"/>
    <s v="May-2025"/>
    <x v="7"/>
  </r>
  <r>
    <s v="ORD-00891"/>
    <d v="2025-09-27T00:00:00"/>
    <s v="Customer 079"/>
    <s v="Bookshelf"/>
    <s v="Furniture"/>
    <s v="North"/>
    <n v="5"/>
    <n v="0.05"/>
    <n v="902.5"/>
    <n v="198.89"/>
    <s v="Furniture"/>
    <s v="Sept-2025"/>
    <x v="10"/>
  </r>
  <r>
    <s v="ORD-00892"/>
    <d v="2025-02-25T00:00:00"/>
    <s v="Customer 089"/>
    <s v="Desk Organizer"/>
    <s v="Office Supplies"/>
    <s v="East"/>
    <n v="5"/>
    <n v="0"/>
    <n v="125"/>
    <n v="36.299999999999997"/>
    <s v="Office Supplies"/>
    <s v="Feb-2025"/>
    <x v="2"/>
  </r>
  <r>
    <s v="ORD-00893"/>
    <d v="2025-08-07T00:00:00"/>
    <s v="Customer 080"/>
    <s v="Desk Organizer"/>
    <s v="Office Supplies"/>
    <s v="East"/>
    <n v="3"/>
    <n v="0.1"/>
    <n v="67.5"/>
    <n v="18.670000000000002"/>
    <s v="Office Supplies"/>
    <s v="Aug-2025"/>
    <x v="8"/>
  </r>
  <r>
    <s v="ORD-00894"/>
    <d v="2025-03-08T00:00:00"/>
    <s v="Customer 081"/>
    <s v="Desk Organizer"/>
    <s v="Office Supplies"/>
    <s v="West"/>
    <n v="5"/>
    <n v="0.15"/>
    <n v="106.25"/>
    <n v="29.59"/>
    <s v="Office Supplies"/>
    <s v="Mar-2025"/>
    <x v="6"/>
  </r>
  <r>
    <s v="ORD-00895"/>
    <d v="2025-09-10T00:00:00"/>
    <s v="Customer 025"/>
    <s v="Office Chair"/>
    <s v="Furniture"/>
    <s v="North"/>
    <n v="5"/>
    <n v="0.05"/>
    <n v="1330"/>
    <n v="287.5"/>
    <s v="Furniture"/>
    <s v="Sept-2025"/>
    <x v="10"/>
  </r>
  <r>
    <s v="ORD-00896"/>
    <d v="2025-03-02T00:00:00"/>
    <s v="Customer 027"/>
    <s v="Laptop Pro 15"/>
    <s v="Technology"/>
    <s v="West"/>
    <n v="4"/>
    <n v="0"/>
    <n v="4800"/>
    <n v="991.85"/>
    <s v="Technology"/>
    <s v="Mar-2025"/>
    <x v="6"/>
  </r>
  <r>
    <s v="ORD-00897"/>
    <d v="2025-07-31T00:00:00"/>
    <s v="Customer 082"/>
    <s v="Laptop Pro 15"/>
    <s v="Technology"/>
    <s v="South"/>
    <n v="3"/>
    <n v="0.1"/>
    <n v="3240"/>
    <n v="858.8"/>
    <s v="Technology"/>
    <s v="Jul-2025"/>
    <x v="5"/>
  </r>
  <r>
    <s v="ORD-00898"/>
    <d v="2025-01-06T00:00:00"/>
    <s v="Customer 009"/>
    <s v="Monitor 24"/>
    <s v="Technology"/>
    <s v="East"/>
    <n v="2"/>
    <n v="0.1"/>
    <n v="576"/>
    <n v="210.84"/>
    <s v="Technology"/>
    <s v="Jan-2025"/>
    <x v="3"/>
  </r>
  <r>
    <s v="ORD-00899"/>
    <d v="2025-06-03T00:00:00"/>
    <s v="Customer 015"/>
    <s v="Printer"/>
    <s v="Office Supplies"/>
    <s v="East"/>
    <n v="5"/>
    <n v="0.1"/>
    <n v="1080"/>
    <n v="212.63"/>
    <s v="Office Supplies"/>
    <s v="Jun-2025"/>
    <x v="11"/>
  </r>
  <r>
    <s v="ORD-00900"/>
    <d v="2025-06-24T00:00:00"/>
    <s v="Customer 023"/>
    <s v="Bookshelf"/>
    <s v="Furniture"/>
    <s v="South"/>
    <n v="5"/>
    <n v="0.2"/>
    <n v="760"/>
    <n v="101.2"/>
    <s v="Furniture"/>
    <s v="Jun-2025"/>
    <x v="11"/>
  </r>
  <r>
    <s v="ORD-00901"/>
    <d v="2025-06-19T00:00:00"/>
    <s v="Customer 083"/>
    <s v="Keyboard"/>
    <s v="Technology"/>
    <s v="South"/>
    <n v="4"/>
    <n v="0.15"/>
    <n v="238"/>
    <n v="44.48"/>
    <s v="Technology"/>
    <s v="Jun-2025"/>
    <x v="11"/>
  </r>
  <r>
    <s v="ORD-00902"/>
    <d v="2025-09-04T00:00:00"/>
    <s v="Customer 060"/>
    <s v="Office Chair"/>
    <s v="Furniture"/>
    <s v="West"/>
    <n v="4"/>
    <n v="0.2"/>
    <n v="896"/>
    <n v="138.29"/>
    <s v="Furniture"/>
    <s v="Sept-2025"/>
    <x v="10"/>
  </r>
  <r>
    <s v="ORD-00903"/>
    <d v="2025-01-29T00:00:00"/>
    <s v="Customer 041"/>
    <s v="Printer"/>
    <s v="Office Supplies"/>
    <s v="North"/>
    <n v="3"/>
    <n v="0.2"/>
    <n v="576"/>
    <n v="121.4"/>
    <s v="Office Supplies"/>
    <s v="Jan-2025"/>
    <x v="3"/>
  </r>
  <r>
    <s v="ORD-00904"/>
    <d v="2025-04-17T00:00:00"/>
    <s v="Customer 020"/>
    <s v="Desk Organizer"/>
    <s v="Office Supplies"/>
    <s v="East"/>
    <n v="3"/>
    <n v="0.1"/>
    <n v="67.5"/>
    <n v="28.9"/>
    <s v="Office Supplies"/>
    <s v="Apr-2025"/>
    <x v="9"/>
  </r>
  <r>
    <s v="ORD-00905"/>
    <d v="2025-01-16T00:00:00"/>
    <s v="Customer 074"/>
    <s v="Keyboard"/>
    <s v="Technology"/>
    <s v="West"/>
    <n v="4"/>
    <n v="0.2"/>
    <n v="224"/>
    <n v="38.53"/>
    <s v="Technology"/>
    <s v="Jan-2025"/>
    <x v="3"/>
  </r>
  <r>
    <s v="ORD-00906"/>
    <d v="2025-04-06T00:00:00"/>
    <s v="Customer 041"/>
    <s v="Desk Organizer"/>
    <s v="Office Supplies"/>
    <s v="North"/>
    <n v="1"/>
    <n v="0.1"/>
    <n v="22.5"/>
    <n v="4.8899999999999997"/>
    <s v="Office Supplies"/>
    <s v="Apr-2025"/>
    <x v="9"/>
  </r>
  <r>
    <s v="ORD-00907"/>
    <d v="2025-05-20T00:00:00"/>
    <s v="Customer 048"/>
    <s v="Bookshelf"/>
    <s v="Furniture"/>
    <s v="West"/>
    <n v="1"/>
    <n v="0.15"/>
    <n v="161.5"/>
    <n v="25.93"/>
    <s v="Furniture"/>
    <s v="May-2025"/>
    <x v="7"/>
  </r>
  <r>
    <s v="ORD-00908"/>
    <d v="2025-06-04T00:00:00"/>
    <s v="Customer 048"/>
    <s v="Desk Lamp"/>
    <s v="Furniture"/>
    <s v="North"/>
    <n v="5"/>
    <n v="0.1"/>
    <n v="247.5"/>
    <n v="97.08"/>
    <s v="Furniture"/>
    <s v="Jun-2025"/>
    <x v="11"/>
  </r>
  <r>
    <s v="ORD-00909"/>
    <d v="2025-04-14T00:00:00"/>
    <s v="Customer 062"/>
    <s v="Wireless Mouse"/>
    <s v="Technology"/>
    <s v="South"/>
    <n v="4"/>
    <n v="0.2"/>
    <n v="112"/>
    <n v="49.48"/>
    <s v="Technology"/>
    <s v="Apr-2025"/>
    <x v="9"/>
  </r>
  <r>
    <s v="ORD-00910"/>
    <d v="2025-04-08T00:00:00"/>
    <s v="Customer 042"/>
    <s v="Keyboard"/>
    <s v="Technology"/>
    <s v="South"/>
    <n v="4"/>
    <n v="0.2"/>
    <n v="224"/>
    <n v="77.86"/>
    <s v="Technology"/>
    <s v="Apr-2025"/>
    <x v="9"/>
  </r>
  <r>
    <s v="ORD-00911"/>
    <d v="2025-02-20T00:00:00"/>
    <s v="Customer 059"/>
    <s v="Printer"/>
    <s v="Office Supplies"/>
    <s v="West"/>
    <n v="2"/>
    <n v="0.05"/>
    <n v="456"/>
    <n v="96.17"/>
    <s v="Office Supplies"/>
    <s v="Feb-2025"/>
    <x v="2"/>
  </r>
  <r>
    <s v="ORD-00912"/>
    <d v="2025-09-25T00:00:00"/>
    <s v="Customer 088"/>
    <s v="Wireless Mouse"/>
    <s v="Technology"/>
    <s v="North"/>
    <n v="1"/>
    <n v="0.1"/>
    <n v="31.5"/>
    <n v="4.4800000000000004"/>
    <s v="Technology"/>
    <s v="Sept-2025"/>
    <x v="10"/>
  </r>
  <r>
    <s v="ORD-00913"/>
    <d v="2025-06-20T00:00:00"/>
    <s v="Customer 085"/>
    <s v="Notebook Pack"/>
    <s v="Office Supplies"/>
    <s v="East"/>
    <n v="1"/>
    <n v="0"/>
    <n v="18"/>
    <n v="5.01"/>
    <s v="Office Supplies"/>
    <s v="Jun-2025"/>
    <x v="11"/>
  </r>
  <r>
    <s v="ORD-00914"/>
    <d v="2025-01-12T00:00:00"/>
    <s v="Customer 025"/>
    <s v="Desk Organizer"/>
    <s v="Office Supplies"/>
    <s v="East"/>
    <n v="3"/>
    <n v="0.05"/>
    <n v="71.25"/>
    <n v="24.52"/>
    <s v="Office Supplies"/>
    <s v="Jan-2025"/>
    <x v="3"/>
  </r>
  <r>
    <s v="ORD-00915"/>
    <d v="2025-05-22T00:00:00"/>
    <s v="Customer 035"/>
    <s v="Printer"/>
    <s v="Office Supplies"/>
    <s v="South"/>
    <n v="3"/>
    <n v="0.15"/>
    <n v="612"/>
    <n v="139.86000000000001"/>
    <s v="Office Supplies"/>
    <s v="May-2025"/>
    <x v="7"/>
  </r>
  <r>
    <s v="ORD-00916"/>
    <d v="2025-03-22T00:00:00"/>
    <s v="Customer 072"/>
    <s v="Smartphone X"/>
    <s v="Technology"/>
    <s v="North"/>
    <n v="1"/>
    <n v="0"/>
    <n v="850"/>
    <n v="113.7"/>
    <s v="Technology"/>
    <s v="Mar-2025"/>
    <x v="6"/>
  </r>
  <r>
    <s v="ORD-00917"/>
    <d v="2025-04-16T00:00:00"/>
    <s v="Customer 019"/>
    <s v="Printer"/>
    <s v="Office Supplies"/>
    <s v="East"/>
    <n v="3"/>
    <n v="0.2"/>
    <n v="576"/>
    <n v="198.66"/>
    <s v="Office Supplies"/>
    <s v="Apr-2025"/>
    <x v="9"/>
  </r>
  <r>
    <s v="ORD-00918"/>
    <d v="2025-10-21T00:00:00"/>
    <s v="Customer 044"/>
    <s v="Desk Lamp"/>
    <s v="Furniture"/>
    <s v="West"/>
    <n v="2"/>
    <n v="0"/>
    <n v="110"/>
    <n v="38.200000000000003"/>
    <s v="Furniture"/>
    <s v="Oct-2025"/>
    <x v="4"/>
  </r>
  <r>
    <s v="ORD-00919"/>
    <d v="2025-01-26T00:00:00"/>
    <s v="Customer 007"/>
    <s v="Office Chair"/>
    <s v="Furniture"/>
    <s v="North"/>
    <n v="1"/>
    <n v="0.15"/>
    <n v="238"/>
    <n v="36.159999999999997"/>
    <s v="Furniture"/>
    <s v="Jan-2025"/>
    <x v="3"/>
  </r>
  <r>
    <s v="ORD-00920"/>
    <d v="2025-07-16T00:00:00"/>
    <s v="Customer 091"/>
    <s v="Laptop Pro 15"/>
    <s v="Technology"/>
    <s v="West"/>
    <n v="1"/>
    <n v="0.15"/>
    <n v="1020"/>
    <n v="327.08"/>
    <s v="Technology"/>
    <s v="Jul-2025"/>
    <x v="5"/>
  </r>
  <r>
    <s v="ORD-00921"/>
    <d v="2025-11-12T00:00:00"/>
    <s v="Customer 092"/>
    <s v="Keyboard"/>
    <s v="Technology"/>
    <s v="North"/>
    <n v="3"/>
    <n v="0.1"/>
    <n v="189"/>
    <n v="34.07"/>
    <s v="Technology"/>
    <s v="Nov-2025"/>
    <x v="0"/>
  </r>
  <r>
    <s v="ORD-00922"/>
    <d v="2025-08-27T00:00:00"/>
    <s v="Customer 090"/>
    <s v="Desk Organizer"/>
    <s v="Office Supplies"/>
    <s v="West"/>
    <n v="2"/>
    <n v="0"/>
    <n v="50"/>
    <n v="9.09"/>
    <s v="Office Supplies"/>
    <s v="Aug-2025"/>
    <x v="8"/>
  </r>
  <r>
    <s v="ORD-00923"/>
    <d v="2025-02-19T00:00:00"/>
    <s v="Customer 029"/>
    <s v="Notebook Pack"/>
    <s v="Office Supplies"/>
    <s v="South"/>
    <n v="3"/>
    <n v="0.15"/>
    <n v="45.9"/>
    <n v="13.53"/>
    <s v="Office Supplies"/>
    <s v="Feb-2025"/>
    <x v="2"/>
  </r>
  <r>
    <s v="ORD-00924"/>
    <d v="2025-11-12T00:00:00"/>
    <s v="Customer 086"/>
    <s v="Smartphone X"/>
    <s v="Technology"/>
    <s v="East"/>
    <n v="3"/>
    <n v="0.15"/>
    <n v="2167.5"/>
    <n v="844.23"/>
    <s v="Technology"/>
    <s v="Nov-2025"/>
    <x v="0"/>
  </r>
  <r>
    <s v="ORD-00925"/>
    <d v="2025-06-16T00:00:00"/>
    <s v="Customer 015"/>
    <s v="Notebook Pack"/>
    <s v="Office Supplies"/>
    <s v="East"/>
    <n v="4"/>
    <n v="0"/>
    <n v="72"/>
    <n v="30.85"/>
    <s v="Office Supplies"/>
    <s v="Jun-2025"/>
    <x v="11"/>
  </r>
  <r>
    <s v="ORD-00926"/>
    <d v="2025-09-03T00:00:00"/>
    <s v="Customer 078"/>
    <s v="Notebook Pack"/>
    <s v="Office Supplies"/>
    <s v="South"/>
    <n v="2"/>
    <n v="0.1"/>
    <n v="32.4"/>
    <n v="6.37"/>
    <s v="Office Supplies"/>
    <s v="Sept-2025"/>
    <x v="10"/>
  </r>
  <r>
    <s v="ORD-00927"/>
    <d v="2025-09-18T00:00:00"/>
    <s v="Customer 084"/>
    <s v="Wireless Mouse"/>
    <s v="Technology"/>
    <s v="North"/>
    <n v="4"/>
    <n v="0"/>
    <n v="140"/>
    <n v="47.94"/>
    <s v="Technology"/>
    <s v="Sept-2025"/>
    <x v="10"/>
  </r>
  <r>
    <s v="ORD-00928"/>
    <d v="2025-06-04T00:00:00"/>
    <s v="Customer 031"/>
    <s v="Printer"/>
    <s v="Office Supplies"/>
    <s v="South"/>
    <n v="4"/>
    <n v="0.15"/>
    <n v="816"/>
    <n v="208.18"/>
    <s v="Office Supplies"/>
    <s v="Jun-2025"/>
    <x v="11"/>
  </r>
  <r>
    <s v="ORD-00929"/>
    <d v="2025-10-08T00:00:00"/>
    <s v="Customer 027"/>
    <s v="Office Chair"/>
    <s v="Furniture"/>
    <s v="West"/>
    <n v="4"/>
    <n v="0.15"/>
    <n v="952"/>
    <n v="407.65"/>
    <s v="Furniture"/>
    <s v="Oct-2025"/>
    <x v="4"/>
  </r>
  <r>
    <s v="ORD-00930"/>
    <d v="2025-08-11T00:00:00"/>
    <s v="Customer 023"/>
    <s v="Desk Organizer"/>
    <s v="Office Supplies"/>
    <s v="North"/>
    <n v="3"/>
    <n v="0.2"/>
    <n v="60"/>
    <n v="13.26"/>
    <s v="Office Supplies"/>
    <s v="Aug-2025"/>
    <x v="8"/>
  </r>
  <r>
    <s v="ORD-00931"/>
    <d v="2025-12-31T00:00:00"/>
    <s v="Customer 060"/>
    <s v="Desk Organizer"/>
    <s v="Office Supplies"/>
    <s v="East"/>
    <n v="4"/>
    <n v="0"/>
    <n v="100"/>
    <n v="25.46"/>
    <s v="Office Supplies"/>
    <s v="Dec-2025"/>
    <x v="1"/>
  </r>
  <r>
    <s v="ORD-00932"/>
    <d v="2025-10-12T00:00:00"/>
    <s v="Customer 052"/>
    <s v="Wireless Mouse"/>
    <s v="Technology"/>
    <s v="North"/>
    <n v="4"/>
    <n v="0.05"/>
    <n v="133"/>
    <n v="46.33"/>
    <s v="Technology"/>
    <s v="Oct-2025"/>
    <x v="4"/>
  </r>
  <r>
    <s v="ORD-00933"/>
    <d v="2025-11-03T00:00:00"/>
    <s v="Customer 083"/>
    <s v="Wireless Mouse"/>
    <s v="Technology"/>
    <s v="North"/>
    <n v="5"/>
    <n v="0.15"/>
    <n v="148.75"/>
    <n v="50.87"/>
    <s v="Technology"/>
    <s v="Nov-2025"/>
    <x v="0"/>
  </r>
  <r>
    <s v="ORD-00934"/>
    <d v="2025-02-16T00:00:00"/>
    <s v="Customer 082"/>
    <s v="Desk Lamp"/>
    <s v="Furniture"/>
    <s v="North"/>
    <n v="2"/>
    <n v="0.2"/>
    <n v="88"/>
    <n v="13.37"/>
    <s v="Furniture"/>
    <s v="Feb-2025"/>
    <x v="2"/>
  </r>
  <r>
    <s v="ORD-00935"/>
    <d v="2025-03-17T00:00:00"/>
    <s v="Customer 050"/>
    <s v="Monitor 24"/>
    <s v="Technology"/>
    <s v="West"/>
    <n v="2"/>
    <n v="0.15"/>
    <n v="544"/>
    <n v="149.43"/>
    <s v="Technology"/>
    <s v="Mar-2025"/>
    <x v="6"/>
  </r>
  <r>
    <s v="ORD-00936"/>
    <d v="2025-04-11T00:00:00"/>
    <s v="Customer 087"/>
    <s v="Desk Lamp"/>
    <s v="Furniture"/>
    <s v="East"/>
    <n v="3"/>
    <n v="0.1"/>
    <n v="148.5"/>
    <n v="38.880000000000003"/>
    <s v="Furniture"/>
    <s v="Apr-2025"/>
    <x v="9"/>
  </r>
  <r>
    <s v="ORD-00937"/>
    <d v="2025-08-11T00:00:00"/>
    <s v="Customer 079"/>
    <s v="Coffee Table"/>
    <s v="Furniture"/>
    <s v="West"/>
    <n v="3"/>
    <n v="0"/>
    <n v="630"/>
    <n v="162.35"/>
    <s v="Furniture"/>
    <s v="Aug-2025"/>
    <x v="8"/>
  </r>
  <r>
    <s v="ORD-00938"/>
    <d v="2025-03-07T00:00:00"/>
    <s v="Customer 007"/>
    <s v="Smartphone X"/>
    <s v="Technology"/>
    <s v="North"/>
    <n v="1"/>
    <n v="0.1"/>
    <n v="765"/>
    <n v="116.77"/>
    <s v="Technology"/>
    <s v="Mar-2025"/>
    <x v="6"/>
  </r>
  <r>
    <s v="ORD-00939"/>
    <d v="2025-12-27T00:00:00"/>
    <s v="Customer 004"/>
    <s v="Printer"/>
    <s v="Office Supplies"/>
    <s v="South"/>
    <n v="3"/>
    <n v="0"/>
    <n v="720"/>
    <n v="119.37"/>
    <s v="Office Supplies"/>
    <s v="Dec-2025"/>
    <x v="1"/>
  </r>
  <r>
    <s v="ORD-00940"/>
    <d v="2025-08-10T00:00:00"/>
    <s v="Customer 092"/>
    <s v="Coffee Table"/>
    <s v="Furniture"/>
    <s v="West"/>
    <n v="5"/>
    <n v="0.15"/>
    <n v="892.5"/>
    <n v="217.48"/>
    <s v="Furniture"/>
    <s v="Aug-2025"/>
    <x v="8"/>
  </r>
  <r>
    <s v="ORD-00941"/>
    <d v="2025-07-27T00:00:00"/>
    <s v="Customer 023"/>
    <s v="Bookshelf"/>
    <s v="Furniture"/>
    <s v="West"/>
    <n v="4"/>
    <n v="0.2"/>
    <n v="608"/>
    <n v="231.22"/>
    <s v="Furniture"/>
    <s v="Jul-2025"/>
    <x v="5"/>
  </r>
  <r>
    <s v="ORD-00942"/>
    <d v="2025-03-13T00:00:00"/>
    <s v="Customer 047"/>
    <s v="Desk Lamp"/>
    <s v="Furniture"/>
    <s v="West"/>
    <n v="5"/>
    <n v="0.15"/>
    <n v="233.75"/>
    <n v="40.14"/>
    <s v="Furniture"/>
    <s v="Mar-2025"/>
    <x v="6"/>
  </r>
  <r>
    <s v="ORD-00943"/>
    <d v="2025-03-20T00:00:00"/>
    <s v="Customer 083"/>
    <s v="Smartphone X"/>
    <s v="Technology"/>
    <s v="North"/>
    <n v="2"/>
    <n v="0.05"/>
    <n v="1615"/>
    <n v="720.57"/>
    <s v="Technology"/>
    <s v="Mar-2025"/>
    <x v="6"/>
  </r>
  <r>
    <s v="ORD-00944"/>
    <d v="2025-03-15T00:00:00"/>
    <s v="Customer 018"/>
    <s v="Coffee Table"/>
    <s v="Furniture"/>
    <s v="North"/>
    <n v="4"/>
    <n v="0.15"/>
    <n v="714"/>
    <n v="91.58"/>
    <s v="Furniture"/>
    <s v="Mar-2025"/>
    <x v="6"/>
  </r>
  <r>
    <s v="ORD-00945"/>
    <d v="2025-03-12T00:00:00"/>
    <s v="Customer 090"/>
    <s v="Monitor 24"/>
    <s v="Technology"/>
    <s v="West"/>
    <n v="4"/>
    <n v="0.15"/>
    <n v="1088"/>
    <n v="168.77"/>
    <s v="Technology"/>
    <s v="Mar-2025"/>
    <x v="6"/>
  </r>
  <r>
    <s v="ORD-00946"/>
    <d v="2025-11-16T00:00:00"/>
    <s v="Customer 058"/>
    <s v="Office Chair"/>
    <s v="Furniture"/>
    <s v="West"/>
    <n v="4"/>
    <n v="0.2"/>
    <n v="896"/>
    <n v="277.79000000000002"/>
    <s v="Furniture"/>
    <s v="Nov-2025"/>
    <x v="0"/>
  </r>
  <r>
    <s v="ORD-00947"/>
    <d v="2025-07-01T00:00:00"/>
    <s v="Customer 074"/>
    <s v="Desk Lamp"/>
    <s v="Furniture"/>
    <s v="West"/>
    <n v="2"/>
    <n v="0.15"/>
    <n v="93.5"/>
    <n v="23.42"/>
    <s v="Furniture"/>
    <s v="Jul-2025"/>
    <x v="5"/>
  </r>
  <r>
    <s v="ORD-00948"/>
    <d v="2025-05-02T00:00:00"/>
    <s v="Customer 070"/>
    <s v="Coffee Table"/>
    <s v="Furniture"/>
    <s v="East"/>
    <n v="5"/>
    <n v="0.1"/>
    <n v="945"/>
    <n v="297.13"/>
    <s v="Furniture"/>
    <s v="May-2025"/>
    <x v="7"/>
  </r>
  <r>
    <s v="ORD-00949"/>
    <d v="2025-01-18T00:00:00"/>
    <s v="Customer 015"/>
    <s v="Laptop Pro 15"/>
    <s v="Technology"/>
    <s v="West"/>
    <n v="5"/>
    <n v="0.15"/>
    <n v="5100"/>
    <n v="1108.68"/>
    <s v="Technology"/>
    <s v="Jan-2025"/>
    <x v="3"/>
  </r>
  <r>
    <s v="ORD-00950"/>
    <d v="2025-12-20T00:00:00"/>
    <s v="Customer 097"/>
    <s v="Wireless Mouse"/>
    <s v="Technology"/>
    <s v="East"/>
    <n v="2"/>
    <n v="0.2"/>
    <n v="56"/>
    <n v="7.02"/>
    <s v="Technology"/>
    <s v="Dec-2025"/>
    <x v="1"/>
  </r>
  <r>
    <s v="ORD-00951"/>
    <d v="2025-08-27T00:00:00"/>
    <s v="Customer 012"/>
    <s v="Printer"/>
    <s v="Office Supplies"/>
    <s v="South"/>
    <n v="1"/>
    <n v="0.2"/>
    <n v="192"/>
    <n v="30.01"/>
    <s v="Office Supplies"/>
    <s v="Aug-2025"/>
    <x v="8"/>
  </r>
  <r>
    <s v="ORD-00952"/>
    <d v="2025-08-30T00:00:00"/>
    <s v="Customer 040"/>
    <s v="Monitor 24"/>
    <s v="Technology"/>
    <s v="North"/>
    <n v="1"/>
    <n v="0.2"/>
    <n v="256"/>
    <n v="47.78"/>
    <s v="Technology"/>
    <s v="Aug-2025"/>
    <x v="8"/>
  </r>
  <r>
    <s v="ORD-00953"/>
    <d v="2025-06-25T00:00:00"/>
    <s v="Customer 061"/>
    <s v="Printer"/>
    <s v="Office Supplies"/>
    <s v="East"/>
    <n v="1"/>
    <n v="0.15"/>
    <n v="204"/>
    <n v="61.23"/>
    <s v="Office Supplies"/>
    <s v="Jun-2025"/>
    <x v="11"/>
  </r>
  <r>
    <s v="ORD-00954"/>
    <d v="2025-08-04T00:00:00"/>
    <s v="Customer 089"/>
    <s v="Keyboard"/>
    <s v="Technology"/>
    <s v="East"/>
    <n v="3"/>
    <n v="0.1"/>
    <n v="189"/>
    <n v="74.599999999999994"/>
    <s v="Technology"/>
    <s v="Aug-2025"/>
    <x v="8"/>
  </r>
  <r>
    <s v="ORD-00955"/>
    <d v="2025-10-16T00:00:00"/>
    <s v="Customer 074"/>
    <s v="Smartphone X"/>
    <s v="Technology"/>
    <s v="North"/>
    <n v="1"/>
    <n v="0.15"/>
    <n v="722.5"/>
    <n v="187.28"/>
    <s v="Technology"/>
    <s v="Oct-2025"/>
    <x v="4"/>
  </r>
  <r>
    <s v="ORD-00956"/>
    <d v="2025-12-03T00:00:00"/>
    <s v="Customer 011"/>
    <s v="Smartphone X"/>
    <s v="Technology"/>
    <s v="South"/>
    <n v="5"/>
    <n v="0"/>
    <n v="4250"/>
    <n v="1510.24"/>
    <s v="Technology"/>
    <s v="Dec-2025"/>
    <x v="1"/>
  </r>
  <r>
    <s v="ORD-00957"/>
    <d v="2025-09-16T00:00:00"/>
    <s v="Customer 036"/>
    <s v="Wireless Mouse"/>
    <s v="Technology"/>
    <s v="East"/>
    <n v="3"/>
    <n v="0.1"/>
    <n v="94.5"/>
    <n v="38.39"/>
    <s v="Technology"/>
    <s v="Sept-2025"/>
    <x v="10"/>
  </r>
  <r>
    <s v="ORD-00958"/>
    <d v="2025-05-12T00:00:00"/>
    <s v="Customer 076"/>
    <s v="Laptop Pro 15"/>
    <s v="Technology"/>
    <s v="South"/>
    <n v="1"/>
    <n v="0.2"/>
    <n v="960"/>
    <n v="376.68"/>
    <s v="Technology"/>
    <s v="May-2025"/>
    <x v="7"/>
  </r>
  <r>
    <s v="ORD-00959"/>
    <d v="2025-12-04T00:00:00"/>
    <s v="Customer 090"/>
    <s v="Notebook Pack"/>
    <s v="Office Supplies"/>
    <s v="South"/>
    <n v="3"/>
    <n v="0.05"/>
    <n v="51.3"/>
    <n v="18.66"/>
    <s v="Office Supplies"/>
    <s v="Dec-2025"/>
    <x v="1"/>
  </r>
  <r>
    <s v="ORD-00960"/>
    <d v="2025-09-06T00:00:00"/>
    <s v="Customer 011"/>
    <s v="Office Chair"/>
    <s v="Furniture"/>
    <s v="South"/>
    <n v="5"/>
    <n v="0"/>
    <n v="1400"/>
    <n v="471.6"/>
    <s v="Furniture"/>
    <s v="Sept-2025"/>
    <x v="10"/>
  </r>
  <r>
    <s v="ORD-00961"/>
    <d v="2025-11-01T00:00:00"/>
    <s v="Customer 031"/>
    <s v="Office Chair"/>
    <s v="Furniture"/>
    <s v="West"/>
    <n v="4"/>
    <n v="0.15"/>
    <n v="952"/>
    <n v="186.38"/>
    <s v="Furniture"/>
    <s v="Nov-2025"/>
    <x v="0"/>
  </r>
  <r>
    <s v="ORD-00962"/>
    <d v="2025-11-23T00:00:00"/>
    <s v="Customer 045"/>
    <s v="Office Chair"/>
    <s v="Furniture"/>
    <s v="North"/>
    <n v="2"/>
    <n v="0.2"/>
    <n v="448"/>
    <n v="93.03"/>
    <s v="Furniture"/>
    <s v="Nov-2025"/>
    <x v="0"/>
  </r>
  <r>
    <s v="ORD-00963"/>
    <d v="2025-11-25T00:00:00"/>
    <s v="Customer 052"/>
    <s v="Smartphone X"/>
    <s v="Technology"/>
    <s v="West"/>
    <n v="1"/>
    <n v="0"/>
    <n v="850"/>
    <n v="335.49"/>
    <s v="Technology"/>
    <s v="Nov-2025"/>
    <x v="0"/>
  </r>
  <r>
    <s v="ORD-00964"/>
    <d v="2025-06-04T00:00:00"/>
    <s v="Customer 091"/>
    <s v="Notebook Pack"/>
    <s v="Office Supplies"/>
    <s v="West"/>
    <n v="5"/>
    <n v="0.05"/>
    <n v="85.5"/>
    <n v="27.76"/>
    <s v="Office Supplies"/>
    <s v="Jun-2025"/>
    <x v="11"/>
  </r>
  <r>
    <s v="ORD-00965"/>
    <d v="2025-08-31T00:00:00"/>
    <s v="Customer 002"/>
    <s v="Smartphone X"/>
    <s v="Technology"/>
    <s v="East"/>
    <n v="2"/>
    <n v="0.2"/>
    <n v="1360"/>
    <n v="221.42"/>
    <s v="Technology"/>
    <s v="Aug-2025"/>
    <x v="8"/>
  </r>
  <r>
    <s v="ORD-00966"/>
    <d v="2025-08-18T00:00:00"/>
    <s v="Customer 006"/>
    <s v="Bookshelf"/>
    <s v="Furniture"/>
    <s v="North"/>
    <n v="3"/>
    <n v="0.2"/>
    <n v="456"/>
    <n v="102.44"/>
    <s v="Furniture"/>
    <s v="Aug-2025"/>
    <x v="8"/>
  </r>
  <r>
    <s v="ORD-00967"/>
    <d v="2025-09-30T00:00:00"/>
    <s v="Customer 084"/>
    <s v="Monitor 24"/>
    <s v="Technology"/>
    <s v="East"/>
    <n v="3"/>
    <n v="0.15"/>
    <n v="816"/>
    <n v="202.81"/>
    <s v="Technology"/>
    <s v="Sept-2025"/>
    <x v="10"/>
  </r>
  <r>
    <s v="ORD-00968"/>
    <d v="2025-06-21T00:00:00"/>
    <s v="Customer 075"/>
    <s v="Smartphone X"/>
    <s v="Technology"/>
    <s v="West"/>
    <n v="3"/>
    <n v="0"/>
    <n v="2550"/>
    <n v="932.63"/>
    <s v="Technology"/>
    <s v="Jun-2025"/>
    <x v="11"/>
  </r>
  <r>
    <s v="ORD-00969"/>
    <d v="2025-08-25T00:00:00"/>
    <s v="Customer 067"/>
    <s v="Monitor 24"/>
    <s v="Technology"/>
    <s v="East"/>
    <n v="2"/>
    <n v="0.2"/>
    <n v="512"/>
    <n v="100.22"/>
    <s v="Technology"/>
    <s v="Aug-2025"/>
    <x v="8"/>
  </r>
  <r>
    <s v="ORD-00970"/>
    <d v="2025-12-13T00:00:00"/>
    <s v="Customer 087"/>
    <s v="Coffee Table"/>
    <s v="Furniture"/>
    <s v="North"/>
    <n v="2"/>
    <n v="0.1"/>
    <n v="378"/>
    <n v="101.79"/>
    <s v="Furniture"/>
    <s v="Dec-2025"/>
    <x v="1"/>
  </r>
  <r>
    <s v="ORD-00971"/>
    <d v="2025-02-04T00:00:00"/>
    <s v="Customer 088"/>
    <s v="Laptop Pro 15"/>
    <s v="Technology"/>
    <s v="West"/>
    <n v="4"/>
    <n v="0"/>
    <n v="4800"/>
    <n v="1327.98"/>
    <s v="Technology"/>
    <s v="Feb-2025"/>
    <x v="2"/>
  </r>
  <r>
    <s v="ORD-00972"/>
    <d v="2025-06-29T00:00:00"/>
    <s v="Customer 004"/>
    <s v="Desk Lamp"/>
    <s v="Furniture"/>
    <s v="North"/>
    <n v="3"/>
    <n v="0.1"/>
    <n v="148.5"/>
    <n v="57.36"/>
    <s v="Furniture"/>
    <s v="Jun-2025"/>
    <x v="11"/>
  </r>
  <r>
    <s v="ORD-00973"/>
    <d v="2025-01-30T00:00:00"/>
    <s v="Customer 091"/>
    <s v="Desk Organizer"/>
    <s v="Office Supplies"/>
    <s v="North"/>
    <n v="2"/>
    <n v="0.2"/>
    <n v="40"/>
    <n v="9.58"/>
    <s v="Office Supplies"/>
    <s v="Jan-2025"/>
    <x v="3"/>
  </r>
  <r>
    <s v="ORD-00974"/>
    <d v="2025-02-14T00:00:00"/>
    <s v="Customer 083"/>
    <s v="Desk Organizer"/>
    <s v="Office Supplies"/>
    <s v="South"/>
    <n v="2"/>
    <n v="0.15"/>
    <n v="42.5"/>
    <n v="9.92"/>
    <s v="Office Supplies"/>
    <s v="Feb-2025"/>
    <x v="2"/>
  </r>
  <r>
    <s v="ORD-00975"/>
    <d v="2025-02-26T00:00:00"/>
    <s v="Customer 085"/>
    <s v="Coffee Table"/>
    <s v="Furniture"/>
    <s v="North"/>
    <n v="2"/>
    <n v="0.1"/>
    <n v="378"/>
    <n v="133.36000000000001"/>
    <s v="Furniture"/>
    <s v="Feb-2025"/>
    <x v="2"/>
  </r>
  <r>
    <s v="ORD-00976"/>
    <d v="2025-11-24T00:00:00"/>
    <s v="Customer 086"/>
    <s v="Notebook Pack"/>
    <s v="Office Supplies"/>
    <s v="East"/>
    <n v="3"/>
    <n v="0.15"/>
    <n v="45.9"/>
    <n v="10.17"/>
    <s v="Office Supplies"/>
    <s v="Nov-2025"/>
    <x v="0"/>
  </r>
  <r>
    <s v="ORD-00977"/>
    <d v="2025-05-12T00:00:00"/>
    <s v="Customer 049"/>
    <s v="Office Chair"/>
    <s v="Furniture"/>
    <s v="West"/>
    <n v="1"/>
    <n v="0.1"/>
    <n v="252"/>
    <n v="48.78"/>
    <s v="Furniture"/>
    <s v="May-2025"/>
    <x v="7"/>
  </r>
  <r>
    <s v="ORD-00978"/>
    <d v="2025-06-20T00:00:00"/>
    <s v="Customer 009"/>
    <s v="Laptop Pro 15"/>
    <s v="Technology"/>
    <s v="West"/>
    <n v="3"/>
    <n v="0.1"/>
    <n v="3240"/>
    <n v="1267.76"/>
    <s v="Technology"/>
    <s v="Jun-2025"/>
    <x v="11"/>
  </r>
  <r>
    <s v="ORD-00979"/>
    <d v="2025-04-13T00:00:00"/>
    <s v="Customer 014"/>
    <s v="Desk Organizer"/>
    <s v="Office Supplies"/>
    <s v="South"/>
    <n v="4"/>
    <n v="0.05"/>
    <n v="95"/>
    <n v="22.51"/>
    <s v="Office Supplies"/>
    <s v="Apr-2025"/>
    <x v="9"/>
  </r>
  <r>
    <s v="ORD-00980"/>
    <d v="2025-10-04T00:00:00"/>
    <s v="Customer 057"/>
    <s v="Bookshelf"/>
    <s v="Furniture"/>
    <s v="East"/>
    <n v="2"/>
    <n v="0.2"/>
    <n v="304"/>
    <n v="72.260000000000005"/>
    <s v="Furniture"/>
    <s v="Oct-2025"/>
    <x v="4"/>
  </r>
  <r>
    <s v="ORD-00981"/>
    <d v="2025-02-22T00:00:00"/>
    <s v="Customer 033"/>
    <s v="Laptop Pro 15"/>
    <s v="Technology"/>
    <s v="West"/>
    <n v="1"/>
    <n v="0"/>
    <n v="1200"/>
    <n v="313.75"/>
    <s v="Technology"/>
    <s v="Feb-2025"/>
    <x v="2"/>
  </r>
  <r>
    <s v="ORD-00982"/>
    <d v="2025-01-10T00:00:00"/>
    <s v="Customer 086"/>
    <s v="Notebook Pack"/>
    <s v="Office Supplies"/>
    <s v="West"/>
    <n v="2"/>
    <n v="0"/>
    <n v="36"/>
    <n v="5.12"/>
    <s v="Office Supplies"/>
    <s v="Jan-2025"/>
    <x v="3"/>
  </r>
  <r>
    <s v="ORD-00983"/>
    <d v="2025-05-17T00:00:00"/>
    <s v="Customer 066"/>
    <s v="Office Chair"/>
    <s v="Furniture"/>
    <s v="West"/>
    <n v="3"/>
    <n v="0.15"/>
    <n v="714"/>
    <n v="185.9"/>
    <s v="Furniture"/>
    <s v="May-2025"/>
    <x v="7"/>
  </r>
  <r>
    <s v="ORD-00984"/>
    <d v="2025-09-02T00:00:00"/>
    <s v="Customer 001"/>
    <s v="Bookshelf"/>
    <s v="Furniture"/>
    <s v="West"/>
    <n v="4"/>
    <n v="0"/>
    <n v="760"/>
    <n v="206.54"/>
    <s v="Furniture"/>
    <s v="Sept-2025"/>
    <x v="10"/>
  </r>
  <r>
    <s v="ORD-00985"/>
    <d v="2025-12-19T00:00:00"/>
    <s v="Customer 046"/>
    <s v="Notebook Pack"/>
    <s v="Office Supplies"/>
    <s v="East"/>
    <n v="1"/>
    <n v="0.2"/>
    <n v="14.4"/>
    <n v="3.94"/>
    <s v="Office Supplies"/>
    <s v="Dec-2025"/>
    <x v="1"/>
  </r>
  <r>
    <s v="ORD-00986"/>
    <d v="2025-12-16T00:00:00"/>
    <s v="Customer 083"/>
    <s v="Smartphone X"/>
    <s v="Technology"/>
    <s v="North"/>
    <n v="4"/>
    <n v="0"/>
    <n v="3400"/>
    <n v="820.59"/>
    <s v="Technology"/>
    <s v="Dec-2025"/>
    <x v="1"/>
  </r>
  <r>
    <s v="ORD-00987"/>
    <d v="2025-07-07T00:00:00"/>
    <s v="Customer 098"/>
    <s v="Printer"/>
    <s v="Office Supplies"/>
    <s v="East"/>
    <n v="3"/>
    <n v="0"/>
    <n v="720"/>
    <n v="124.14"/>
    <s v="Office Supplies"/>
    <s v="Jul-2025"/>
    <x v="5"/>
  </r>
  <r>
    <s v="ORD-00988"/>
    <d v="2025-11-28T00:00:00"/>
    <s v="Customer 050"/>
    <s v="Desk Lamp"/>
    <s v="Furniture"/>
    <s v="South"/>
    <n v="2"/>
    <n v="0.2"/>
    <n v="88"/>
    <n v="38.46"/>
    <s v="Furniture"/>
    <s v="Nov-2025"/>
    <x v="0"/>
  </r>
  <r>
    <s v="ORD-00989"/>
    <d v="2025-06-03T00:00:00"/>
    <s v="Customer 046"/>
    <s v="Coffee Table"/>
    <s v="Furniture"/>
    <s v="West"/>
    <n v="4"/>
    <n v="0"/>
    <n v="840"/>
    <n v="203.19"/>
    <s v="Furniture"/>
    <s v="Jun-2025"/>
    <x v="11"/>
  </r>
  <r>
    <s v="ORD-00990"/>
    <d v="2025-02-13T00:00:00"/>
    <s v="Customer 025"/>
    <s v="Monitor 24"/>
    <s v="Technology"/>
    <s v="North"/>
    <n v="4"/>
    <n v="0.05"/>
    <n v="1216"/>
    <n v="491.04"/>
    <s v="Technology"/>
    <s v="Feb-2025"/>
    <x v="2"/>
  </r>
  <r>
    <s v="ORD-00991"/>
    <d v="2025-10-31T00:00:00"/>
    <s v="Customer 070"/>
    <s v="Desk Lamp"/>
    <s v="Furniture"/>
    <s v="East"/>
    <n v="4"/>
    <n v="0.15"/>
    <n v="187"/>
    <n v="80.260000000000005"/>
    <s v="Furniture"/>
    <s v="Oct-2025"/>
    <x v="4"/>
  </r>
  <r>
    <s v="ORD-00992"/>
    <d v="2025-09-13T00:00:00"/>
    <s v="Customer 008"/>
    <s v="Printer"/>
    <s v="Office Supplies"/>
    <s v="East"/>
    <n v="4"/>
    <n v="0"/>
    <n v="960"/>
    <n v="420.26"/>
    <s v="Office Supplies"/>
    <s v="Sept-2025"/>
    <x v="10"/>
  </r>
  <r>
    <s v="ORD-00993"/>
    <d v="2025-01-22T00:00:00"/>
    <s v="Customer 086"/>
    <s v="Bookshelf"/>
    <s v="Furniture"/>
    <s v="West"/>
    <n v="1"/>
    <n v="0.05"/>
    <n v="180.5"/>
    <n v="33.15"/>
    <s v="Furniture"/>
    <s v="Jan-2025"/>
    <x v="3"/>
  </r>
  <r>
    <s v="ORD-00994"/>
    <d v="2025-12-14T00:00:00"/>
    <s v="Customer 010"/>
    <s v="Printer"/>
    <s v="Office Supplies"/>
    <s v="North"/>
    <n v="2"/>
    <n v="0.2"/>
    <n v="384"/>
    <n v="143.28"/>
    <s v="Office Supplies"/>
    <s v="Dec-2025"/>
    <x v="1"/>
  </r>
  <r>
    <s v="ORD-00995"/>
    <d v="2025-03-14T00:00:00"/>
    <s v="Customer 080"/>
    <s v="Notebook Pack"/>
    <s v="Office Supplies"/>
    <s v="North"/>
    <n v="1"/>
    <n v="0.15"/>
    <n v="15.3"/>
    <n v="2.2999999999999998"/>
    <s v="Office Supplies"/>
    <s v="Mar-2025"/>
    <x v="6"/>
  </r>
  <r>
    <s v="ORD-00996"/>
    <d v="2025-05-05T00:00:00"/>
    <s v="Customer 007"/>
    <s v="Coffee Table"/>
    <s v="Furniture"/>
    <s v="East"/>
    <n v="2"/>
    <n v="0"/>
    <n v="420"/>
    <n v="165.13"/>
    <s v="Furniture"/>
    <s v="May-2025"/>
    <x v="7"/>
  </r>
  <r>
    <s v="ORD-00997"/>
    <d v="2025-02-19T00:00:00"/>
    <s v="Customer 009"/>
    <s v="Notebook Pack"/>
    <s v="Office Supplies"/>
    <s v="North"/>
    <n v="5"/>
    <n v="0.05"/>
    <n v="85.5"/>
    <n v="14.91"/>
    <s v="Office Supplies"/>
    <s v="Feb-2025"/>
    <x v="2"/>
  </r>
  <r>
    <s v="ORD-00998"/>
    <d v="2025-02-28T00:00:00"/>
    <s v="Customer 026"/>
    <s v="Notebook Pack"/>
    <s v="Office Supplies"/>
    <s v="West"/>
    <n v="5"/>
    <n v="0.2"/>
    <n v="72"/>
    <n v="27.16"/>
    <s v="Office Supplies"/>
    <s v="Feb-2025"/>
    <x v="2"/>
  </r>
  <r>
    <s v="ORD-00999"/>
    <d v="2025-06-22T00:00:00"/>
    <s v="Customer 088"/>
    <s v="Coffee Table"/>
    <s v="Furniture"/>
    <s v="South"/>
    <n v="4"/>
    <n v="0.1"/>
    <n v="756"/>
    <n v="310.06"/>
    <s v="Furniture"/>
    <s v="Jun-2025"/>
    <x v="11"/>
  </r>
  <r>
    <s v="ORD-01000"/>
    <d v="2025-06-14T00:00:00"/>
    <s v="Customer 009"/>
    <s v="Desk Lamp"/>
    <s v="Furniture"/>
    <s v="North"/>
    <n v="1"/>
    <n v="0.2"/>
    <n v="44"/>
    <n v="17.28"/>
    <s v="Furniture"/>
    <s v="Jun-2025"/>
    <x v="11"/>
  </r>
  <r>
    <m/>
    <m/>
    <m/>
    <m/>
    <m/>
    <m/>
    <m/>
    <m/>
    <m/>
    <m/>
    <m/>
    <m/>
    <x v="12"/>
  </r>
  <r>
    <m/>
    <m/>
    <m/>
    <m/>
    <m/>
    <m/>
    <m/>
    <m/>
    <m/>
    <m/>
    <m/>
    <m/>
    <x v="12"/>
  </r>
  <r>
    <m/>
    <m/>
    <m/>
    <m/>
    <m/>
    <m/>
    <m/>
    <m/>
    <m/>
    <m/>
    <m/>
    <m/>
    <x v="12"/>
  </r>
  <r>
    <m/>
    <m/>
    <m/>
    <m/>
    <m/>
    <m/>
    <m/>
    <m/>
    <m/>
    <m/>
    <m/>
    <m/>
    <x v="12"/>
  </r>
  <r>
    <m/>
    <m/>
    <m/>
    <m/>
    <m/>
    <m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81721-5B40-4FBB-A659-8A5C06A288EA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32">
  <location ref="E15:G20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dataField="1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9" baseField="0" baseItem="0"/>
  </dataFields>
  <formats count="14"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DDFF7-DB11-48AC-83BE-4D20AD66D6C2}" name="PivotTable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3">
  <location ref="B77:D90" firstHeaderRow="0" firstDataRow="1" firstDataCol="1"/>
  <pivotFields count="10">
    <pivotField showAll="0"/>
    <pivotField showAll="0"/>
    <pivotField showAll="0"/>
    <pivotField axis="axisRow" showAll="0">
      <items count="14">
        <item x="11"/>
        <item x="1"/>
        <item x="2"/>
        <item x="10"/>
        <item x="7"/>
        <item x="9"/>
        <item x="5"/>
        <item x="6"/>
        <item x="3"/>
        <item x="8"/>
        <item x="4"/>
        <item x="0"/>
        <item h="1"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showDataAs="percentOfTotal" baseField="3" baseItem="0" numFmtId="10"/>
    <dataField name="Sum of Profit" fld="9" showDataAs="percentOfTotal" baseField="3" baseItem="0" numFmtId="10"/>
  </dataFields>
  <formats count="12">
    <format dxfId="2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2AA91-1402-4B75-A53B-9C77DF241153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3">
  <location ref="E41:G54" firstHeaderRow="0" firstDataRow="1" firstDataCol="1"/>
  <pivotFields count="10">
    <pivotField showAll="0"/>
    <pivotField showAll="0"/>
    <pivotField showAll="0"/>
    <pivotField axis="axisRow" showAll="0">
      <items count="14">
        <item x="11"/>
        <item x="1"/>
        <item x="2"/>
        <item x="10"/>
        <item x="7"/>
        <item x="9"/>
        <item x="5"/>
        <item x="6"/>
        <item x="3"/>
        <item x="8"/>
        <item x="4"/>
        <item x="0"/>
        <item h="1"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showDataAs="percentOfTotal" baseField="3" baseItem="0" numFmtId="10"/>
    <dataField name="Sum of Profit" fld="9" showDataAs="percentOfTotal" baseField="3" baseItem="0" numFmtId="10"/>
  </dataFields>
  <formats count="12"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D33381-0C48-43C9-9B16-BF96BD7F6D9F}" name="PivotTable4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15">
  <location ref="E24:G37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14">
        <item x="3"/>
        <item x="2"/>
        <item x="6"/>
        <item x="9"/>
        <item x="7"/>
        <item x="11"/>
        <item x="5"/>
        <item x="8"/>
        <item x="10"/>
        <item x="4"/>
        <item x="0"/>
        <item x="1"/>
        <item x="1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3">
    <field x="14"/>
    <field x="13"/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Profit" fld="9" baseField="0" baseItem="0"/>
  </dataFields>
  <formats count="18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4" type="button" dataOnly="0" labelOnly="1" outline="0" axis="axisRow" fieldPosition="0"/>
    </format>
    <format dxfId="52">
      <pivotArea dataOnly="0" labelOnly="1" fieldPosition="0">
        <references count="1">
          <reference field="14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BBEB1-9A87-4C77-9005-4A1D3BCB0A0A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26">
  <location ref="B41:C54" firstHeaderRow="1" firstDataRow="1" firstDataCol="1"/>
  <pivotFields count="20">
    <pivotField showAll="0"/>
    <pivotField showAll="0"/>
    <pivotField showAll="0"/>
    <pivotField axis="axisRow" showAll="0" sortType="descending">
      <items count="14">
        <item x="11"/>
        <item x="1"/>
        <item x="2"/>
        <item x="10"/>
        <item x="7"/>
        <item x="9"/>
        <item x="5"/>
        <item x="6"/>
        <item x="3"/>
        <item x="8"/>
        <item x="4"/>
        <item x="0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3">
    <i>
      <x v="1"/>
    </i>
    <i>
      <x v="7"/>
    </i>
    <i>
      <x v="2"/>
    </i>
    <i>
      <x v="11"/>
    </i>
    <i>
      <x v="8"/>
    </i>
    <i>
      <x v="4"/>
    </i>
    <i>
      <x v="10"/>
    </i>
    <i>
      <x/>
    </i>
    <i>
      <x v="6"/>
    </i>
    <i>
      <x v="3"/>
    </i>
    <i>
      <x v="9"/>
    </i>
    <i>
      <x v="5"/>
    </i>
    <i t="grand">
      <x/>
    </i>
  </rowItems>
  <colItems count="1">
    <i/>
  </colItems>
  <dataFields count="1">
    <dataField name="Sum of Margin Profit of Product " fld="19" baseField="0" baseItem="0" numFmtId="10"/>
  </dataFields>
  <chartFormats count="1"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05459-264A-4AE7-AB55-DF0135B771F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41">
  <location ref="B15:C1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0AF55-AC40-4935-9903-A5E3333EB3D6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 chartFormat="62">
  <location ref="B24:C37" firstHeaderRow="1" firstDataRow="1" firstDataCol="1"/>
  <pivotFields count="15">
    <pivotField showAll="0"/>
    <pivotField showAll="0"/>
    <pivotField showAll="0"/>
    <pivotField axis="axisRow" showAll="0" sortType="descending">
      <items count="14">
        <item x="11"/>
        <item x="1"/>
        <item x="2"/>
        <item x="10"/>
        <item x="7"/>
        <item x="9"/>
        <item x="5"/>
        <item x="6"/>
        <item x="3"/>
        <item x="8"/>
        <item x="4"/>
        <item x="0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3">
    <i>
      <x v="5"/>
    </i>
    <i>
      <x v="10"/>
    </i>
    <i>
      <x v="6"/>
    </i>
    <i>
      <x v="8"/>
    </i>
    <i>
      <x v="9"/>
    </i>
    <i>
      <x v="1"/>
    </i>
    <i>
      <x/>
    </i>
    <i>
      <x v="4"/>
    </i>
    <i>
      <x v="2"/>
    </i>
    <i>
      <x v="11"/>
    </i>
    <i>
      <x v="3"/>
    </i>
    <i>
      <x v="7"/>
    </i>
    <i t="grand">
      <x/>
    </i>
  </rowItems>
  <colItems count="1">
    <i/>
  </colItems>
  <dataFields count="1">
    <dataField name="Sum of Profit" fld="9" baseField="3" baseItem="5"/>
  </dataFields>
  <formats count="24">
    <format dxfId="79">
      <pivotArea dataOnly="0" labelOnly="1" outline="0" axis="axisValues" fieldPosition="0"/>
    </format>
    <format dxfId="78">
      <pivotArea dataOnly="0" labelOnly="1" outline="0" axis="axisValues" fieldPosition="0"/>
    </format>
    <format dxfId="77">
      <pivotArea dataOnly="0" labelOnly="1" outline="0" axis="axisValues" fieldPosition="0"/>
    </format>
    <format dxfId="76">
      <pivotArea dataOnly="0" labelOnly="1" outline="0" axis="axisValues" fieldPosition="0"/>
    </format>
    <format dxfId="75">
      <pivotArea dataOnly="0" labelOnly="1" outline="0" axis="axisValues" fieldPosition="0"/>
    </format>
    <format dxfId="74">
      <pivotArea dataOnly="0" labelOnly="1" outline="0" axis="axisValues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  <format dxfId="71">
      <pivotArea dataOnly="0" labelOnly="1" outline="0" axis="axisValues" fieldPosition="0"/>
    </format>
    <format dxfId="70">
      <pivotArea dataOnly="0" labelOnly="1" outline="0" axis="axisValues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dataOnly="0" labelOnly="1" outline="0" axis="axisValues" fieldPosition="0"/>
    </format>
    <format dxfId="62">
      <pivotArea dataOnly="0" labelOnly="1" outline="0" axis="axisValues" fieldPosition="0"/>
    </format>
    <format dxfId="61">
      <pivotArea dataOnly="0" labelOnly="1" outline="0" axis="axisValues" fieldPosition="0"/>
    </format>
    <format dxfId="60">
      <pivotArea dataOnly="0" labelOnly="1" outline="0" axis="axisValues" fieldPosition="0"/>
    </format>
    <format dxfId="59">
      <pivotArea dataOnly="0" labelOnly="1" outline="0" axis="axisValues" fieldPosition="0"/>
    </format>
    <format dxfId="58">
      <pivotArea dataOnly="0" labelOnly="1" outline="0" axis="axisValues" fieldPosition="0"/>
    </format>
    <format dxfId="57">
      <pivotArea dataOnly="0" labelOnly="1" outline="0" axis="axisValues" fieldPosition="0"/>
    </format>
    <format dxfId="56">
      <pivotArea dataOnly="0" labelOnly="1" outline="0" axis="axisValues" fieldPosition="0"/>
    </format>
  </formats>
  <chartFormats count="3"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15F50-EADF-4F69-B811-58106DE6F4DE}" name="Table1" displayName="Table1" ref="A1:M1001" totalsRowShown="0" headerRowDxfId="83" headerRowBorderDxfId="82">
  <autoFilter ref="A1:M1001" xr:uid="{4B3FFD45-A2A1-43F8-8C60-FC662DE08457}"/>
  <tableColumns count="13">
    <tableColumn id="1" xr3:uid="{B2A8EBE5-2A0C-4BEB-B5D2-53A0E5A2D0C7}" name="Order ID"/>
    <tableColumn id="2" xr3:uid="{10CCE4DE-C390-4CE9-A5C3-07C2CF72AF85}" name="Order Date" dataDxfId="81"/>
    <tableColumn id="3" xr3:uid="{489E6C58-52AE-41B0-9027-E123689A74E3}" name="Customer"/>
    <tableColumn id="4" xr3:uid="{A36249FC-9265-47D8-A72E-CFF879D48032}" name="Product"/>
    <tableColumn id="5" xr3:uid="{4A9F0EF4-E574-495F-9E06-E9403DB3B76C}" name="Category 1"/>
    <tableColumn id="6" xr3:uid="{DB21F57A-0081-4D24-868C-A4E2C947FF21}" name="Region"/>
    <tableColumn id="7" xr3:uid="{53761583-622A-4D42-8464-842157EBD16E}" name="Quantity"/>
    <tableColumn id="8" xr3:uid="{DC22F509-64DC-4440-974E-D248C694580D}" name="Discount"/>
    <tableColumn id="9" xr3:uid="{350BB6F4-5084-4343-9652-86D025AAA667}" name="Sales"/>
    <tableColumn id="10" xr3:uid="{7F4C0E16-07E4-4B0C-AC21-242A734E6391}" name="Profit"/>
    <tableColumn id="11" xr3:uid="{593A229B-2340-4528-8286-A2957A598D8D}" name="Category">
      <calculatedColumnFormula>TRIM(E2)</calculatedColumnFormula>
    </tableColumn>
    <tableColumn id="12" xr3:uid="{1DE58C35-E643-4490-8215-5603B6AF8050}" name="Month">
      <calculatedColumnFormula>TEXT(B2,"mmm-yyyy")</calculatedColumnFormula>
    </tableColumn>
    <tableColumn id="13" xr3:uid="{E7D23FE7-5CE3-49BE-B957-BD4D076509B2}" name="Month Sort" dataDxfId="80">
      <calculatedColumnFormula>DATE(YEAR(B2),MONTH(B2),1)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7"/>
  <sheetViews>
    <sheetView topLeftCell="A643" zoomScaleNormal="100" workbookViewId="0">
      <selection activeCell="C1005" sqref="C1005"/>
    </sheetView>
  </sheetViews>
  <sheetFormatPr defaultRowHeight="14.5" x14ac:dyDescent="0.35"/>
  <cols>
    <col min="1" max="1" width="13.54296875" bestFit="1" customWidth="1"/>
    <col min="2" max="2" width="17.81640625" bestFit="1" customWidth="1"/>
    <col min="3" max="3" width="12.36328125" bestFit="1" customWidth="1"/>
    <col min="4" max="4" width="14.1796875" bestFit="1" customWidth="1"/>
    <col min="5" max="5" width="13.17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s="2">
        <v>45985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0.1</v>
      </c>
      <c r="I2">
        <v>31.5</v>
      </c>
      <c r="J2">
        <v>11.63</v>
      </c>
    </row>
    <row r="3" spans="1:10" x14ac:dyDescent="0.35">
      <c r="A3" t="s">
        <v>15</v>
      </c>
      <c r="B3" s="2">
        <v>46004</v>
      </c>
      <c r="C3" t="s">
        <v>16</v>
      </c>
      <c r="D3" t="s">
        <v>17</v>
      </c>
      <c r="E3" t="s">
        <v>18</v>
      </c>
      <c r="F3" t="s">
        <v>14</v>
      </c>
      <c r="G3">
        <v>5</v>
      </c>
      <c r="H3">
        <v>0</v>
      </c>
      <c r="I3">
        <v>1050</v>
      </c>
      <c r="J3">
        <v>267.89</v>
      </c>
    </row>
    <row r="4" spans="1:10" x14ac:dyDescent="0.35">
      <c r="A4" t="s">
        <v>19</v>
      </c>
      <c r="B4" s="2">
        <v>45705</v>
      </c>
      <c r="C4" t="s">
        <v>20</v>
      </c>
      <c r="D4" t="s">
        <v>21</v>
      </c>
      <c r="E4" t="s">
        <v>18</v>
      </c>
      <c r="F4" t="s">
        <v>22</v>
      </c>
      <c r="G4">
        <v>2</v>
      </c>
      <c r="H4">
        <v>0.2</v>
      </c>
      <c r="I4">
        <v>88</v>
      </c>
      <c r="J4">
        <v>22.12</v>
      </c>
    </row>
    <row r="5" spans="1:10" x14ac:dyDescent="0.35">
      <c r="A5" t="s">
        <v>23</v>
      </c>
      <c r="B5" s="2">
        <v>45990</v>
      </c>
      <c r="C5" t="s">
        <v>24</v>
      </c>
      <c r="D5" t="s">
        <v>17</v>
      </c>
      <c r="E5" t="s">
        <v>18</v>
      </c>
      <c r="F5" t="s">
        <v>25</v>
      </c>
      <c r="G5">
        <v>5</v>
      </c>
      <c r="H5">
        <v>0.15</v>
      </c>
      <c r="I5">
        <v>892.5</v>
      </c>
      <c r="J5">
        <v>336.7</v>
      </c>
    </row>
    <row r="6" spans="1:10" x14ac:dyDescent="0.35">
      <c r="A6" t="s">
        <v>26</v>
      </c>
      <c r="B6" s="2">
        <v>45661</v>
      </c>
      <c r="C6" t="s">
        <v>27</v>
      </c>
      <c r="D6" t="s">
        <v>28</v>
      </c>
      <c r="E6" t="s">
        <v>18</v>
      </c>
      <c r="F6" t="s">
        <v>25</v>
      </c>
      <c r="G6">
        <v>4</v>
      </c>
      <c r="H6">
        <v>0.1</v>
      </c>
      <c r="I6">
        <v>1008</v>
      </c>
      <c r="J6">
        <v>361.17</v>
      </c>
    </row>
    <row r="7" spans="1:10" x14ac:dyDescent="0.35">
      <c r="A7" t="s">
        <v>29</v>
      </c>
      <c r="B7" s="2">
        <v>45710</v>
      </c>
      <c r="C7" t="s">
        <v>30</v>
      </c>
      <c r="D7" t="s">
        <v>12</v>
      </c>
      <c r="E7" t="s">
        <v>13</v>
      </c>
      <c r="F7" t="s">
        <v>25</v>
      </c>
      <c r="G7">
        <v>4</v>
      </c>
      <c r="H7">
        <v>0</v>
      </c>
      <c r="I7">
        <v>140</v>
      </c>
      <c r="J7">
        <v>46.42</v>
      </c>
    </row>
    <row r="8" spans="1:10" x14ac:dyDescent="0.35">
      <c r="A8" t="s">
        <v>31</v>
      </c>
      <c r="B8" s="2">
        <v>45680</v>
      </c>
      <c r="C8" t="s">
        <v>32</v>
      </c>
      <c r="D8" t="s">
        <v>17</v>
      </c>
      <c r="E8" t="s">
        <v>18</v>
      </c>
      <c r="F8" t="s">
        <v>14</v>
      </c>
      <c r="G8">
        <v>4</v>
      </c>
      <c r="H8">
        <v>0.2</v>
      </c>
      <c r="I8">
        <v>672</v>
      </c>
      <c r="J8">
        <v>274.72000000000003</v>
      </c>
    </row>
    <row r="9" spans="1:10" x14ac:dyDescent="0.35">
      <c r="A9" t="s">
        <v>33</v>
      </c>
      <c r="B9" s="2">
        <v>45940</v>
      </c>
      <c r="C9" t="s">
        <v>34</v>
      </c>
      <c r="D9" t="s">
        <v>35</v>
      </c>
      <c r="E9" t="s">
        <v>13</v>
      </c>
      <c r="F9" t="s">
        <v>14</v>
      </c>
      <c r="G9">
        <v>5</v>
      </c>
      <c r="H9">
        <v>0.1</v>
      </c>
      <c r="I9">
        <v>3825</v>
      </c>
      <c r="J9">
        <v>992.49</v>
      </c>
    </row>
    <row r="10" spans="1:10" x14ac:dyDescent="0.35">
      <c r="A10" t="s">
        <v>36</v>
      </c>
      <c r="B10" s="2">
        <v>45681</v>
      </c>
      <c r="C10" t="s">
        <v>37</v>
      </c>
      <c r="D10" t="s">
        <v>38</v>
      </c>
      <c r="E10" t="s">
        <v>13</v>
      </c>
      <c r="F10" t="s">
        <v>14</v>
      </c>
      <c r="G10">
        <v>2</v>
      </c>
      <c r="H10">
        <v>0.1</v>
      </c>
      <c r="I10">
        <v>576</v>
      </c>
      <c r="J10">
        <v>71.930000000000007</v>
      </c>
    </row>
    <row r="11" spans="1:10" x14ac:dyDescent="0.35">
      <c r="A11" t="s">
        <v>39</v>
      </c>
      <c r="B11" s="2">
        <v>45852</v>
      </c>
      <c r="C11" t="s">
        <v>40</v>
      </c>
      <c r="D11" t="s">
        <v>35</v>
      </c>
      <c r="E11" t="s">
        <v>13</v>
      </c>
      <c r="F11" t="s">
        <v>22</v>
      </c>
      <c r="G11">
        <v>4</v>
      </c>
      <c r="H11">
        <v>0.1</v>
      </c>
      <c r="I11">
        <v>3060</v>
      </c>
      <c r="J11">
        <v>1212.75</v>
      </c>
    </row>
    <row r="12" spans="1:10" x14ac:dyDescent="0.35">
      <c r="A12" t="s">
        <v>41</v>
      </c>
      <c r="B12" s="2">
        <v>46001</v>
      </c>
      <c r="C12" t="s">
        <v>42</v>
      </c>
      <c r="D12" t="s">
        <v>35</v>
      </c>
      <c r="E12" t="s">
        <v>13</v>
      </c>
      <c r="F12" t="s">
        <v>22</v>
      </c>
      <c r="G12">
        <v>1</v>
      </c>
      <c r="H12">
        <v>0.2</v>
      </c>
      <c r="I12">
        <v>680</v>
      </c>
      <c r="J12">
        <v>163.51</v>
      </c>
    </row>
    <row r="13" spans="1:10" x14ac:dyDescent="0.35">
      <c r="A13" t="s">
        <v>43</v>
      </c>
      <c r="B13" s="2">
        <v>45741</v>
      </c>
      <c r="C13" t="s">
        <v>44</v>
      </c>
      <c r="D13" t="s">
        <v>45</v>
      </c>
      <c r="E13" t="s">
        <v>46</v>
      </c>
      <c r="F13" t="s">
        <v>22</v>
      </c>
      <c r="G13">
        <v>4</v>
      </c>
      <c r="H13">
        <v>0.1</v>
      </c>
      <c r="I13">
        <v>64.8</v>
      </c>
      <c r="J13">
        <v>8</v>
      </c>
    </row>
    <row r="14" spans="1:10" x14ac:dyDescent="0.35">
      <c r="A14" t="s">
        <v>47</v>
      </c>
      <c r="B14" s="2">
        <v>46008</v>
      </c>
      <c r="C14" t="s">
        <v>48</v>
      </c>
      <c r="D14" t="s">
        <v>49</v>
      </c>
      <c r="E14" t="s">
        <v>13</v>
      </c>
      <c r="F14" t="s">
        <v>50</v>
      </c>
      <c r="G14">
        <v>1</v>
      </c>
      <c r="H14">
        <v>0.05</v>
      </c>
      <c r="I14">
        <v>66.5</v>
      </c>
      <c r="J14">
        <v>11.89</v>
      </c>
    </row>
    <row r="15" spans="1:10" x14ac:dyDescent="0.35">
      <c r="A15" t="s">
        <v>51</v>
      </c>
      <c r="B15" s="2">
        <v>45795</v>
      </c>
      <c r="C15" t="s">
        <v>48</v>
      </c>
      <c r="D15" t="s">
        <v>12</v>
      </c>
      <c r="E15" t="s">
        <v>13</v>
      </c>
      <c r="F15" t="s">
        <v>22</v>
      </c>
      <c r="G15">
        <v>2</v>
      </c>
      <c r="H15">
        <v>0.2</v>
      </c>
      <c r="I15">
        <v>56</v>
      </c>
      <c r="J15">
        <v>9</v>
      </c>
    </row>
    <row r="16" spans="1:10" x14ac:dyDescent="0.35">
      <c r="A16" t="s">
        <v>52</v>
      </c>
      <c r="B16" s="2">
        <v>45993</v>
      </c>
      <c r="C16" t="s">
        <v>11</v>
      </c>
      <c r="D16" t="s">
        <v>45</v>
      </c>
      <c r="E16" t="s">
        <v>46</v>
      </c>
      <c r="F16" t="s">
        <v>22</v>
      </c>
      <c r="G16">
        <v>4</v>
      </c>
      <c r="H16">
        <v>0.15</v>
      </c>
      <c r="I16">
        <v>61.2</v>
      </c>
      <c r="J16">
        <v>24.65</v>
      </c>
    </row>
    <row r="17" spans="1:10" x14ac:dyDescent="0.35">
      <c r="A17" t="s">
        <v>53</v>
      </c>
      <c r="B17" s="2">
        <v>45945</v>
      </c>
      <c r="C17" t="s">
        <v>54</v>
      </c>
      <c r="D17" t="s">
        <v>55</v>
      </c>
      <c r="E17" t="s">
        <v>46</v>
      </c>
      <c r="F17" t="s">
        <v>50</v>
      </c>
      <c r="G17">
        <v>3</v>
      </c>
      <c r="H17">
        <v>0.2</v>
      </c>
      <c r="I17">
        <v>576</v>
      </c>
      <c r="J17">
        <v>177.76</v>
      </c>
    </row>
    <row r="18" spans="1:10" x14ac:dyDescent="0.35">
      <c r="A18" t="s">
        <v>56</v>
      </c>
      <c r="B18" s="2">
        <v>45843</v>
      </c>
      <c r="C18" t="s">
        <v>57</v>
      </c>
      <c r="D18" t="s">
        <v>21</v>
      </c>
      <c r="E18" t="s">
        <v>18</v>
      </c>
      <c r="F18" t="s">
        <v>14</v>
      </c>
      <c r="G18">
        <v>2</v>
      </c>
      <c r="H18">
        <v>0.2</v>
      </c>
      <c r="I18">
        <v>88</v>
      </c>
      <c r="J18">
        <v>25.27</v>
      </c>
    </row>
    <row r="19" spans="1:10" x14ac:dyDescent="0.35">
      <c r="A19" t="s">
        <v>58</v>
      </c>
      <c r="B19" s="2">
        <v>45714</v>
      </c>
      <c r="C19" t="s">
        <v>59</v>
      </c>
      <c r="D19" t="s">
        <v>28</v>
      </c>
      <c r="E19" t="s">
        <v>18</v>
      </c>
      <c r="F19" t="s">
        <v>60</v>
      </c>
      <c r="G19">
        <v>2</v>
      </c>
      <c r="H19">
        <v>0.15</v>
      </c>
      <c r="I19">
        <v>476</v>
      </c>
      <c r="J19">
        <v>120.52</v>
      </c>
    </row>
    <row r="20" spans="1:10" x14ac:dyDescent="0.35">
      <c r="A20" t="s">
        <v>61</v>
      </c>
      <c r="B20" s="2">
        <v>45963</v>
      </c>
      <c r="C20" t="s">
        <v>62</v>
      </c>
      <c r="D20" t="s">
        <v>45</v>
      </c>
      <c r="E20" t="s">
        <v>46</v>
      </c>
      <c r="F20" t="s">
        <v>14</v>
      </c>
      <c r="G20">
        <v>5</v>
      </c>
      <c r="H20">
        <v>0.1</v>
      </c>
      <c r="I20">
        <v>81</v>
      </c>
      <c r="J20">
        <v>10.49</v>
      </c>
    </row>
    <row r="21" spans="1:10" x14ac:dyDescent="0.35">
      <c r="A21" t="s">
        <v>63</v>
      </c>
      <c r="B21" s="2">
        <v>46007</v>
      </c>
      <c r="C21" t="s">
        <v>64</v>
      </c>
      <c r="D21" t="s">
        <v>55</v>
      </c>
      <c r="E21" t="s">
        <v>46</v>
      </c>
      <c r="F21" t="s">
        <v>22</v>
      </c>
      <c r="G21">
        <v>3</v>
      </c>
      <c r="H21">
        <v>0.1</v>
      </c>
      <c r="I21">
        <v>648</v>
      </c>
      <c r="J21">
        <v>267.75</v>
      </c>
    </row>
    <row r="22" spans="1:10" x14ac:dyDescent="0.35">
      <c r="A22" t="s">
        <v>65</v>
      </c>
      <c r="B22" s="2">
        <v>45890</v>
      </c>
      <c r="C22" t="s">
        <v>66</v>
      </c>
      <c r="D22" t="s">
        <v>67</v>
      </c>
      <c r="E22" t="s">
        <v>13</v>
      </c>
      <c r="F22" t="s">
        <v>14</v>
      </c>
      <c r="G22">
        <v>3</v>
      </c>
      <c r="H22">
        <v>0.2</v>
      </c>
      <c r="I22">
        <v>2880</v>
      </c>
      <c r="J22">
        <v>571.83000000000004</v>
      </c>
    </row>
    <row r="23" spans="1:10" x14ac:dyDescent="0.35">
      <c r="A23" t="s">
        <v>68</v>
      </c>
      <c r="B23" s="2">
        <v>45978</v>
      </c>
      <c r="C23" t="s">
        <v>69</v>
      </c>
      <c r="D23" t="s">
        <v>35</v>
      </c>
      <c r="E23" t="s">
        <v>13</v>
      </c>
      <c r="F23" t="s">
        <v>22</v>
      </c>
      <c r="G23">
        <v>5</v>
      </c>
      <c r="H23">
        <v>0.2</v>
      </c>
      <c r="I23">
        <v>3400</v>
      </c>
      <c r="J23">
        <v>1306.82</v>
      </c>
    </row>
    <row r="24" spans="1:10" x14ac:dyDescent="0.35">
      <c r="A24" t="s">
        <v>70</v>
      </c>
      <c r="B24" s="2">
        <v>45934</v>
      </c>
      <c r="C24" t="s">
        <v>71</v>
      </c>
      <c r="D24" t="s">
        <v>55</v>
      </c>
      <c r="E24" t="s">
        <v>46</v>
      </c>
      <c r="F24" t="s">
        <v>14</v>
      </c>
      <c r="G24">
        <v>1</v>
      </c>
      <c r="H24">
        <v>0.2</v>
      </c>
      <c r="I24">
        <v>192</v>
      </c>
      <c r="J24">
        <v>65.86</v>
      </c>
    </row>
    <row r="25" spans="1:10" x14ac:dyDescent="0.35">
      <c r="A25" t="s">
        <v>72</v>
      </c>
      <c r="B25" s="2">
        <v>45843</v>
      </c>
      <c r="C25" t="s">
        <v>73</v>
      </c>
      <c r="D25" t="s">
        <v>35</v>
      </c>
      <c r="E25" t="s">
        <v>13</v>
      </c>
      <c r="F25" t="s">
        <v>14</v>
      </c>
      <c r="G25">
        <v>2</v>
      </c>
      <c r="H25">
        <v>0</v>
      </c>
      <c r="I25">
        <v>1700</v>
      </c>
      <c r="J25">
        <v>629.87</v>
      </c>
    </row>
    <row r="26" spans="1:10" x14ac:dyDescent="0.35">
      <c r="A26" t="s">
        <v>74</v>
      </c>
      <c r="B26" s="2">
        <v>45701</v>
      </c>
      <c r="C26" t="s">
        <v>42</v>
      </c>
      <c r="D26" t="s">
        <v>17</v>
      </c>
      <c r="E26" t="s">
        <v>18</v>
      </c>
      <c r="F26" t="s">
        <v>22</v>
      </c>
      <c r="G26">
        <v>4</v>
      </c>
      <c r="H26">
        <v>0</v>
      </c>
      <c r="I26">
        <v>840</v>
      </c>
      <c r="J26">
        <v>106.9</v>
      </c>
    </row>
    <row r="27" spans="1:10" x14ac:dyDescent="0.35">
      <c r="A27" t="s">
        <v>75</v>
      </c>
      <c r="B27" s="2">
        <v>45723</v>
      </c>
      <c r="C27" t="s">
        <v>76</v>
      </c>
      <c r="D27" t="s">
        <v>38</v>
      </c>
      <c r="E27" t="s">
        <v>13</v>
      </c>
      <c r="F27" t="s">
        <v>50</v>
      </c>
      <c r="G27">
        <v>4</v>
      </c>
      <c r="H27">
        <v>0.2</v>
      </c>
      <c r="I27">
        <v>1024</v>
      </c>
      <c r="J27">
        <v>405</v>
      </c>
    </row>
    <row r="28" spans="1:10" x14ac:dyDescent="0.35">
      <c r="A28" t="s">
        <v>77</v>
      </c>
      <c r="B28" s="2">
        <v>45766</v>
      </c>
      <c r="C28" t="s">
        <v>78</v>
      </c>
      <c r="D28" t="s">
        <v>55</v>
      </c>
      <c r="E28" t="s">
        <v>46</v>
      </c>
      <c r="F28" t="s">
        <v>25</v>
      </c>
      <c r="G28">
        <v>2</v>
      </c>
      <c r="H28">
        <v>0.1</v>
      </c>
      <c r="I28">
        <v>432</v>
      </c>
      <c r="J28">
        <v>137.52000000000001</v>
      </c>
    </row>
    <row r="29" spans="1:10" x14ac:dyDescent="0.35">
      <c r="A29" t="s">
        <v>79</v>
      </c>
      <c r="B29" s="2">
        <v>45882</v>
      </c>
      <c r="C29" t="s">
        <v>80</v>
      </c>
      <c r="D29" t="s">
        <v>55</v>
      </c>
      <c r="E29" t="s">
        <v>46</v>
      </c>
      <c r="F29" t="s">
        <v>25</v>
      </c>
      <c r="G29">
        <v>4</v>
      </c>
      <c r="H29">
        <v>0</v>
      </c>
      <c r="I29">
        <v>960</v>
      </c>
      <c r="J29">
        <v>353.46</v>
      </c>
    </row>
    <row r="30" spans="1:10" x14ac:dyDescent="0.35">
      <c r="A30" t="s">
        <v>81</v>
      </c>
      <c r="B30" s="2">
        <v>45668</v>
      </c>
      <c r="C30" t="s">
        <v>82</v>
      </c>
      <c r="D30" t="s">
        <v>83</v>
      </c>
      <c r="E30" t="s">
        <v>46</v>
      </c>
      <c r="F30" t="s">
        <v>14</v>
      </c>
      <c r="G30">
        <v>5</v>
      </c>
      <c r="H30">
        <v>0.05</v>
      </c>
      <c r="I30">
        <v>118.75</v>
      </c>
      <c r="J30">
        <v>30.38</v>
      </c>
    </row>
    <row r="31" spans="1:10" x14ac:dyDescent="0.35">
      <c r="A31" t="s">
        <v>84</v>
      </c>
      <c r="B31" s="2">
        <v>46020</v>
      </c>
      <c r="C31" t="s">
        <v>16</v>
      </c>
      <c r="D31" t="s">
        <v>38</v>
      </c>
      <c r="E31" t="s">
        <v>13</v>
      </c>
      <c r="F31" t="s">
        <v>25</v>
      </c>
      <c r="G31">
        <v>1</v>
      </c>
      <c r="H31">
        <v>0.05</v>
      </c>
      <c r="I31">
        <v>304</v>
      </c>
      <c r="J31">
        <v>130.04</v>
      </c>
    </row>
    <row r="32" spans="1:10" x14ac:dyDescent="0.35">
      <c r="A32" t="s">
        <v>85</v>
      </c>
      <c r="B32" s="2">
        <v>45694</v>
      </c>
      <c r="C32" t="s">
        <v>27</v>
      </c>
      <c r="D32" t="s">
        <v>55</v>
      </c>
      <c r="E32" t="s">
        <v>46</v>
      </c>
      <c r="F32" t="s">
        <v>22</v>
      </c>
      <c r="G32">
        <v>2</v>
      </c>
      <c r="H32">
        <v>0.1</v>
      </c>
      <c r="I32">
        <v>432</v>
      </c>
      <c r="J32">
        <v>99.03</v>
      </c>
    </row>
    <row r="33" spans="1:10" x14ac:dyDescent="0.35">
      <c r="A33" t="s">
        <v>86</v>
      </c>
      <c r="B33" s="2">
        <v>45950</v>
      </c>
      <c r="C33" t="s">
        <v>87</v>
      </c>
      <c r="D33" t="s">
        <v>83</v>
      </c>
      <c r="E33" t="s">
        <v>46</v>
      </c>
      <c r="F33" t="s">
        <v>22</v>
      </c>
      <c r="G33">
        <v>4</v>
      </c>
      <c r="H33">
        <v>0.05</v>
      </c>
      <c r="I33">
        <v>95</v>
      </c>
      <c r="J33">
        <v>18.149999999999999</v>
      </c>
    </row>
    <row r="34" spans="1:10" x14ac:dyDescent="0.35">
      <c r="A34" t="s">
        <v>88</v>
      </c>
      <c r="B34" s="2">
        <v>45706</v>
      </c>
      <c r="C34" t="s">
        <v>89</v>
      </c>
      <c r="D34" t="s">
        <v>12</v>
      </c>
      <c r="E34" t="s">
        <v>13</v>
      </c>
      <c r="F34" t="s">
        <v>14</v>
      </c>
      <c r="G34">
        <v>4</v>
      </c>
      <c r="H34">
        <v>0.1</v>
      </c>
      <c r="I34">
        <v>126</v>
      </c>
      <c r="J34">
        <v>39.090000000000003</v>
      </c>
    </row>
    <row r="35" spans="1:10" x14ac:dyDescent="0.35">
      <c r="A35" t="s">
        <v>90</v>
      </c>
      <c r="B35" s="2">
        <v>46002</v>
      </c>
      <c r="C35" t="s">
        <v>91</v>
      </c>
      <c r="D35" t="s">
        <v>38</v>
      </c>
      <c r="E35" t="s">
        <v>13</v>
      </c>
      <c r="F35" t="s">
        <v>14</v>
      </c>
      <c r="G35">
        <v>1</v>
      </c>
      <c r="H35">
        <v>0</v>
      </c>
      <c r="I35">
        <v>320</v>
      </c>
      <c r="J35">
        <v>101.48</v>
      </c>
    </row>
    <row r="36" spans="1:10" x14ac:dyDescent="0.35">
      <c r="A36" t="s">
        <v>92</v>
      </c>
      <c r="B36" s="2">
        <v>45785</v>
      </c>
      <c r="C36" t="s">
        <v>93</v>
      </c>
      <c r="D36" t="s">
        <v>21</v>
      </c>
      <c r="E36" t="s">
        <v>18</v>
      </c>
      <c r="F36" t="s">
        <v>22</v>
      </c>
      <c r="G36">
        <v>2</v>
      </c>
      <c r="H36">
        <v>0.2</v>
      </c>
      <c r="I36">
        <v>88</v>
      </c>
      <c r="J36">
        <v>26.57</v>
      </c>
    </row>
    <row r="37" spans="1:10" x14ac:dyDescent="0.35">
      <c r="A37" t="s">
        <v>94</v>
      </c>
      <c r="B37" s="2">
        <v>45800</v>
      </c>
      <c r="C37" t="s">
        <v>95</v>
      </c>
      <c r="D37" t="s">
        <v>45</v>
      </c>
      <c r="E37" t="s">
        <v>46</v>
      </c>
      <c r="F37" t="s">
        <v>14</v>
      </c>
      <c r="G37">
        <v>2</v>
      </c>
      <c r="H37">
        <v>0</v>
      </c>
      <c r="I37">
        <v>36</v>
      </c>
      <c r="J37">
        <v>10.94</v>
      </c>
    </row>
    <row r="38" spans="1:10" x14ac:dyDescent="0.35">
      <c r="A38" t="s">
        <v>96</v>
      </c>
      <c r="B38" s="2">
        <v>45683</v>
      </c>
      <c r="C38" t="s">
        <v>57</v>
      </c>
      <c r="D38" t="s">
        <v>38</v>
      </c>
      <c r="E38" t="s">
        <v>13</v>
      </c>
      <c r="F38" t="s">
        <v>22</v>
      </c>
      <c r="G38">
        <v>5</v>
      </c>
      <c r="H38">
        <v>0</v>
      </c>
      <c r="I38">
        <v>1600</v>
      </c>
      <c r="J38">
        <v>208.37</v>
      </c>
    </row>
    <row r="39" spans="1:10" x14ac:dyDescent="0.35">
      <c r="A39" t="s">
        <v>97</v>
      </c>
      <c r="B39" s="2">
        <v>45743</v>
      </c>
      <c r="C39" t="s">
        <v>98</v>
      </c>
      <c r="D39" t="s">
        <v>99</v>
      </c>
      <c r="E39" t="s">
        <v>18</v>
      </c>
      <c r="F39" t="s">
        <v>14</v>
      </c>
      <c r="G39">
        <v>4</v>
      </c>
      <c r="H39">
        <v>0.15</v>
      </c>
      <c r="I39">
        <v>646</v>
      </c>
      <c r="J39">
        <v>245.13</v>
      </c>
    </row>
    <row r="40" spans="1:10" x14ac:dyDescent="0.35">
      <c r="A40" t="s">
        <v>100</v>
      </c>
      <c r="B40" s="2">
        <v>45742</v>
      </c>
      <c r="C40" t="s">
        <v>101</v>
      </c>
      <c r="D40" t="s">
        <v>99</v>
      </c>
      <c r="E40" t="s">
        <v>18</v>
      </c>
      <c r="F40" t="s">
        <v>25</v>
      </c>
      <c r="G40">
        <v>1</v>
      </c>
      <c r="H40">
        <v>0.15</v>
      </c>
      <c r="I40">
        <v>161.5</v>
      </c>
      <c r="J40">
        <v>58.54</v>
      </c>
    </row>
    <row r="41" spans="1:10" x14ac:dyDescent="0.35">
      <c r="A41" t="s">
        <v>102</v>
      </c>
      <c r="B41" s="2">
        <v>45874</v>
      </c>
      <c r="C41" t="s">
        <v>103</v>
      </c>
      <c r="D41" t="s">
        <v>17</v>
      </c>
      <c r="E41" t="s">
        <v>18</v>
      </c>
      <c r="F41" t="s">
        <v>22</v>
      </c>
      <c r="G41">
        <v>5</v>
      </c>
      <c r="H41">
        <v>0.15</v>
      </c>
      <c r="I41">
        <v>892.5</v>
      </c>
      <c r="J41">
        <v>356.03</v>
      </c>
    </row>
    <row r="42" spans="1:10" x14ac:dyDescent="0.35">
      <c r="A42" t="s">
        <v>104</v>
      </c>
      <c r="B42" s="2">
        <v>45687</v>
      </c>
      <c r="C42" t="s">
        <v>105</v>
      </c>
      <c r="D42" t="s">
        <v>83</v>
      </c>
      <c r="E42" t="s">
        <v>46</v>
      </c>
      <c r="F42" t="s">
        <v>14</v>
      </c>
      <c r="G42">
        <v>5</v>
      </c>
      <c r="H42">
        <v>0</v>
      </c>
      <c r="I42">
        <v>125</v>
      </c>
      <c r="J42">
        <v>25.4</v>
      </c>
    </row>
    <row r="43" spans="1:10" x14ac:dyDescent="0.35">
      <c r="A43" t="s">
        <v>106</v>
      </c>
      <c r="B43" s="2">
        <v>45957</v>
      </c>
      <c r="C43" t="s">
        <v>107</v>
      </c>
      <c r="D43" t="s">
        <v>45</v>
      </c>
      <c r="E43" t="s">
        <v>46</v>
      </c>
      <c r="F43" t="s">
        <v>14</v>
      </c>
      <c r="G43">
        <v>5</v>
      </c>
      <c r="H43">
        <v>0.2</v>
      </c>
      <c r="I43">
        <v>72</v>
      </c>
      <c r="J43">
        <v>28.66</v>
      </c>
    </row>
    <row r="44" spans="1:10" x14ac:dyDescent="0.35">
      <c r="A44" t="s">
        <v>108</v>
      </c>
      <c r="B44" s="2">
        <v>45753</v>
      </c>
      <c r="C44" t="s">
        <v>109</v>
      </c>
      <c r="D44" t="s">
        <v>12</v>
      </c>
      <c r="E44" t="s">
        <v>13</v>
      </c>
      <c r="F44" t="s">
        <v>50</v>
      </c>
      <c r="G44">
        <v>5</v>
      </c>
      <c r="H44">
        <v>0</v>
      </c>
      <c r="I44">
        <v>175</v>
      </c>
      <c r="J44">
        <v>39.76</v>
      </c>
    </row>
    <row r="45" spans="1:10" x14ac:dyDescent="0.35">
      <c r="A45" t="s">
        <v>110</v>
      </c>
      <c r="B45" s="2">
        <v>45719</v>
      </c>
      <c r="C45" t="s">
        <v>111</v>
      </c>
      <c r="D45" t="s">
        <v>83</v>
      </c>
      <c r="E45" t="s">
        <v>46</v>
      </c>
      <c r="F45" t="s">
        <v>14</v>
      </c>
      <c r="G45">
        <v>2</v>
      </c>
      <c r="H45">
        <v>0.2</v>
      </c>
      <c r="I45">
        <v>40</v>
      </c>
      <c r="J45">
        <v>10.15</v>
      </c>
    </row>
    <row r="46" spans="1:10" x14ac:dyDescent="0.35">
      <c r="A46" t="s">
        <v>112</v>
      </c>
      <c r="B46" s="2">
        <v>45872</v>
      </c>
      <c r="C46" t="s">
        <v>113</v>
      </c>
      <c r="D46" t="s">
        <v>38</v>
      </c>
      <c r="E46" t="s">
        <v>13</v>
      </c>
      <c r="F46" t="s">
        <v>22</v>
      </c>
      <c r="G46">
        <v>5</v>
      </c>
      <c r="H46">
        <v>0.2</v>
      </c>
      <c r="I46">
        <v>1280</v>
      </c>
      <c r="J46">
        <v>355.18</v>
      </c>
    </row>
    <row r="47" spans="1:10" x14ac:dyDescent="0.35">
      <c r="A47" t="s">
        <v>114</v>
      </c>
      <c r="B47" s="2">
        <v>46000</v>
      </c>
      <c r="C47" t="s">
        <v>115</v>
      </c>
      <c r="D47" t="s">
        <v>17</v>
      </c>
      <c r="E47" t="s">
        <v>18</v>
      </c>
      <c r="F47" t="s">
        <v>25</v>
      </c>
      <c r="G47">
        <v>3</v>
      </c>
      <c r="H47">
        <v>0.05</v>
      </c>
      <c r="I47">
        <v>598.5</v>
      </c>
      <c r="J47">
        <v>216.86</v>
      </c>
    </row>
    <row r="48" spans="1:10" x14ac:dyDescent="0.35">
      <c r="A48" t="s">
        <v>116</v>
      </c>
      <c r="B48" s="2">
        <v>45892</v>
      </c>
      <c r="C48" t="s">
        <v>73</v>
      </c>
      <c r="D48" t="s">
        <v>49</v>
      </c>
      <c r="E48" t="s">
        <v>13</v>
      </c>
      <c r="F48" t="s">
        <v>14</v>
      </c>
      <c r="G48">
        <v>1</v>
      </c>
      <c r="H48">
        <v>0</v>
      </c>
      <c r="I48">
        <v>70</v>
      </c>
      <c r="J48">
        <v>20.91</v>
      </c>
    </row>
    <row r="49" spans="1:10" x14ac:dyDescent="0.35">
      <c r="A49" t="s">
        <v>117</v>
      </c>
      <c r="B49" s="2">
        <v>45695</v>
      </c>
      <c r="C49" t="s">
        <v>30</v>
      </c>
      <c r="D49" t="s">
        <v>55</v>
      </c>
      <c r="E49" t="s">
        <v>46</v>
      </c>
      <c r="F49" t="s">
        <v>14</v>
      </c>
      <c r="G49">
        <v>2</v>
      </c>
      <c r="H49">
        <v>0.2</v>
      </c>
      <c r="I49">
        <v>384</v>
      </c>
      <c r="J49">
        <v>139.19</v>
      </c>
    </row>
    <row r="50" spans="1:10" x14ac:dyDescent="0.35">
      <c r="A50" t="s">
        <v>118</v>
      </c>
      <c r="B50" s="2">
        <v>45783</v>
      </c>
      <c r="C50" t="s">
        <v>119</v>
      </c>
      <c r="D50" t="s">
        <v>49</v>
      </c>
      <c r="E50" t="s">
        <v>13</v>
      </c>
      <c r="F50" t="s">
        <v>25</v>
      </c>
      <c r="G50">
        <v>3</v>
      </c>
      <c r="H50">
        <v>0.05</v>
      </c>
      <c r="I50">
        <v>199.5</v>
      </c>
      <c r="J50">
        <v>60.93</v>
      </c>
    </row>
    <row r="51" spans="1:10" x14ac:dyDescent="0.35">
      <c r="A51" t="s">
        <v>120</v>
      </c>
      <c r="B51" s="2">
        <v>45971</v>
      </c>
      <c r="C51" t="s">
        <v>95</v>
      </c>
      <c r="D51" t="s">
        <v>38</v>
      </c>
      <c r="E51" t="s">
        <v>13</v>
      </c>
      <c r="F51" t="s">
        <v>25</v>
      </c>
      <c r="G51">
        <v>5</v>
      </c>
      <c r="H51">
        <v>0</v>
      </c>
      <c r="I51">
        <v>1600</v>
      </c>
      <c r="J51">
        <v>367.37</v>
      </c>
    </row>
    <row r="52" spans="1:10" x14ac:dyDescent="0.35">
      <c r="A52" t="s">
        <v>121</v>
      </c>
      <c r="B52" s="2">
        <v>45997</v>
      </c>
      <c r="C52" t="s">
        <v>122</v>
      </c>
      <c r="D52" t="s">
        <v>12</v>
      </c>
      <c r="E52" t="s">
        <v>13</v>
      </c>
      <c r="F52" t="s">
        <v>22</v>
      </c>
      <c r="G52">
        <v>2</v>
      </c>
      <c r="H52">
        <v>0.1</v>
      </c>
      <c r="I52">
        <v>63</v>
      </c>
      <c r="J52">
        <v>25.95</v>
      </c>
    </row>
    <row r="53" spans="1:10" x14ac:dyDescent="0.35">
      <c r="A53" t="s">
        <v>123</v>
      </c>
      <c r="B53" s="2">
        <v>45797</v>
      </c>
      <c r="C53" t="s">
        <v>124</v>
      </c>
      <c r="D53" t="s">
        <v>35</v>
      </c>
      <c r="E53" t="s">
        <v>13</v>
      </c>
      <c r="F53" t="s">
        <v>25</v>
      </c>
      <c r="G53">
        <v>5</v>
      </c>
      <c r="H53">
        <v>0.05</v>
      </c>
      <c r="I53">
        <v>4037.5</v>
      </c>
      <c r="J53">
        <v>860.75</v>
      </c>
    </row>
    <row r="54" spans="1:10" x14ac:dyDescent="0.35">
      <c r="A54" t="s">
        <v>125</v>
      </c>
      <c r="B54" s="2">
        <v>45916</v>
      </c>
      <c r="C54" t="s">
        <v>93</v>
      </c>
      <c r="D54" t="s">
        <v>45</v>
      </c>
      <c r="E54" t="s">
        <v>46</v>
      </c>
      <c r="F54" t="s">
        <v>25</v>
      </c>
      <c r="G54">
        <v>3</v>
      </c>
      <c r="H54">
        <v>0</v>
      </c>
      <c r="I54">
        <v>54</v>
      </c>
      <c r="J54">
        <v>22.66</v>
      </c>
    </row>
    <row r="55" spans="1:10" x14ac:dyDescent="0.35">
      <c r="A55" t="s">
        <v>126</v>
      </c>
      <c r="B55" s="2">
        <v>45680</v>
      </c>
      <c r="C55" t="s">
        <v>113</v>
      </c>
      <c r="D55" t="s">
        <v>67</v>
      </c>
      <c r="E55" t="s">
        <v>13</v>
      </c>
      <c r="F55" t="s">
        <v>22</v>
      </c>
      <c r="G55">
        <v>3</v>
      </c>
      <c r="H55">
        <v>0.05</v>
      </c>
      <c r="I55">
        <v>3420</v>
      </c>
      <c r="J55">
        <v>819.95</v>
      </c>
    </row>
    <row r="56" spans="1:10" x14ac:dyDescent="0.35">
      <c r="A56" t="s">
        <v>127</v>
      </c>
      <c r="B56" s="2">
        <v>45884</v>
      </c>
      <c r="C56" t="s">
        <v>128</v>
      </c>
      <c r="D56" t="s">
        <v>55</v>
      </c>
      <c r="E56" t="s">
        <v>46</v>
      </c>
      <c r="F56" t="s">
        <v>22</v>
      </c>
      <c r="G56">
        <v>4</v>
      </c>
      <c r="H56">
        <v>0.2</v>
      </c>
      <c r="I56">
        <v>768</v>
      </c>
      <c r="J56">
        <v>343.15</v>
      </c>
    </row>
    <row r="57" spans="1:10" x14ac:dyDescent="0.35">
      <c r="A57" t="s">
        <v>129</v>
      </c>
      <c r="B57" s="2">
        <v>45937</v>
      </c>
      <c r="C57" t="s">
        <v>64</v>
      </c>
      <c r="D57" t="s">
        <v>67</v>
      </c>
      <c r="E57" t="s">
        <v>13</v>
      </c>
      <c r="F57" t="s">
        <v>22</v>
      </c>
      <c r="G57">
        <v>3</v>
      </c>
      <c r="H57">
        <v>0.2</v>
      </c>
      <c r="I57">
        <v>2880</v>
      </c>
      <c r="J57">
        <v>770.88</v>
      </c>
    </row>
    <row r="58" spans="1:10" x14ac:dyDescent="0.35">
      <c r="A58" t="s">
        <v>130</v>
      </c>
      <c r="B58" s="2">
        <v>45679</v>
      </c>
      <c r="C58" t="s">
        <v>124</v>
      </c>
      <c r="D58" t="s">
        <v>35</v>
      </c>
      <c r="E58" t="s">
        <v>13</v>
      </c>
      <c r="F58" t="s">
        <v>22</v>
      </c>
      <c r="G58">
        <v>3</v>
      </c>
      <c r="H58">
        <v>0</v>
      </c>
      <c r="I58">
        <v>2550</v>
      </c>
      <c r="J58">
        <v>391.05</v>
      </c>
    </row>
    <row r="59" spans="1:10" x14ac:dyDescent="0.35">
      <c r="A59" t="s">
        <v>131</v>
      </c>
      <c r="B59" s="2">
        <v>45999</v>
      </c>
      <c r="C59" t="s">
        <v>87</v>
      </c>
      <c r="D59" t="s">
        <v>12</v>
      </c>
      <c r="E59" t="s">
        <v>13</v>
      </c>
      <c r="F59" t="s">
        <v>22</v>
      </c>
      <c r="G59">
        <v>3</v>
      </c>
      <c r="H59">
        <v>0.2</v>
      </c>
      <c r="I59">
        <v>84</v>
      </c>
      <c r="J59">
        <v>13.29</v>
      </c>
    </row>
    <row r="60" spans="1:10" x14ac:dyDescent="0.35">
      <c r="A60" t="s">
        <v>132</v>
      </c>
      <c r="B60" s="2">
        <v>45779</v>
      </c>
      <c r="C60" t="s">
        <v>133</v>
      </c>
      <c r="D60" t="s">
        <v>28</v>
      </c>
      <c r="E60" t="s">
        <v>18</v>
      </c>
      <c r="F60" t="s">
        <v>25</v>
      </c>
      <c r="G60">
        <v>2</v>
      </c>
      <c r="H60">
        <v>0.15</v>
      </c>
      <c r="I60">
        <v>476</v>
      </c>
      <c r="J60">
        <v>210.31</v>
      </c>
    </row>
    <row r="61" spans="1:10" x14ac:dyDescent="0.35">
      <c r="A61" t="s">
        <v>134</v>
      </c>
      <c r="B61" s="2">
        <v>45868</v>
      </c>
      <c r="C61" t="s">
        <v>135</v>
      </c>
      <c r="D61" t="s">
        <v>38</v>
      </c>
      <c r="E61" t="s">
        <v>13</v>
      </c>
      <c r="F61" t="s">
        <v>14</v>
      </c>
      <c r="G61">
        <v>2</v>
      </c>
      <c r="H61">
        <v>0.1</v>
      </c>
      <c r="I61">
        <v>576</v>
      </c>
      <c r="J61">
        <v>228.94</v>
      </c>
    </row>
    <row r="62" spans="1:10" x14ac:dyDescent="0.35">
      <c r="A62" t="s">
        <v>136</v>
      </c>
      <c r="B62" s="2">
        <v>45853</v>
      </c>
      <c r="C62" t="s">
        <v>101</v>
      </c>
      <c r="D62" t="s">
        <v>67</v>
      </c>
      <c r="E62" t="s">
        <v>13</v>
      </c>
      <c r="F62" t="s">
        <v>25</v>
      </c>
      <c r="G62">
        <v>4</v>
      </c>
      <c r="H62">
        <v>0.05</v>
      </c>
      <c r="I62">
        <v>4560</v>
      </c>
      <c r="J62">
        <v>1751.68</v>
      </c>
    </row>
    <row r="63" spans="1:10" x14ac:dyDescent="0.35">
      <c r="A63" t="s">
        <v>137</v>
      </c>
      <c r="B63" s="2">
        <v>45814</v>
      </c>
      <c r="C63" t="s">
        <v>98</v>
      </c>
      <c r="D63" t="s">
        <v>21</v>
      </c>
      <c r="E63" t="s">
        <v>18</v>
      </c>
      <c r="F63" t="s">
        <v>25</v>
      </c>
      <c r="G63">
        <v>2</v>
      </c>
      <c r="H63">
        <v>0</v>
      </c>
      <c r="I63">
        <v>110</v>
      </c>
      <c r="J63">
        <v>25.54</v>
      </c>
    </row>
    <row r="64" spans="1:10" x14ac:dyDescent="0.35">
      <c r="A64" t="s">
        <v>138</v>
      </c>
      <c r="B64" s="2">
        <v>45800</v>
      </c>
      <c r="C64" t="s">
        <v>98</v>
      </c>
      <c r="D64" t="s">
        <v>12</v>
      </c>
      <c r="E64" t="s">
        <v>13</v>
      </c>
      <c r="F64" t="s">
        <v>25</v>
      </c>
      <c r="G64">
        <v>3</v>
      </c>
      <c r="H64">
        <v>0.1</v>
      </c>
      <c r="I64">
        <v>94.5</v>
      </c>
      <c r="J64">
        <v>22.52</v>
      </c>
    </row>
    <row r="65" spans="1:10" x14ac:dyDescent="0.35">
      <c r="A65" t="s">
        <v>139</v>
      </c>
      <c r="B65" s="2">
        <v>45672</v>
      </c>
      <c r="C65" t="s">
        <v>113</v>
      </c>
      <c r="D65" t="s">
        <v>12</v>
      </c>
      <c r="E65" t="s">
        <v>13</v>
      </c>
      <c r="F65" t="s">
        <v>14</v>
      </c>
      <c r="G65">
        <v>3</v>
      </c>
      <c r="H65">
        <v>0.05</v>
      </c>
      <c r="I65">
        <v>99.75</v>
      </c>
      <c r="J65">
        <v>25.78</v>
      </c>
    </row>
    <row r="66" spans="1:10" x14ac:dyDescent="0.35">
      <c r="A66" t="s">
        <v>140</v>
      </c>
      <c r="B66" s="2">
        <v>45713</v>
      </c>
      <c r="C66" t="s">
        <v>48</v>
      </c>
      <c r="D66" t="s">
        <v>83</v>
      </c>
      <c r="E66" t="s">
        <v>46</v>
      </c>
      <c r="F66" t="s">
        <v>50</v>
      </c>
      <c r="G66">
        <v>4</v>
      </c>
      <c r="H66">
        <v>0.1</v>
      </c>
      <c r="I66">
        <v>90</v>
      </c>
      <c r="J66">
        <v>18.86</v>
      </c>
    </row>
    <row r="67" spans="1:10" x14ac:dyDescent="0.35">
      <c r="A67" t="s">
        <v>141</v>
      </c>
      <c r="B67" s="2">
        <v>45968</v>
      </c>
      <c r="C67" t="s">
        <v>142</v>
      </c>
      <c r="D67" t="s">
        <v>55</v>
      </c>
      <c r="E67" t="s">
        <v>46</v>
      </c>
      <c r="F67" t="s">
        <v>25</v>
      </c>
      <c r="G67">
        <v>1</v>
      </c>
      <c r="H67">
        <v>0.15</v>
      </c>
      <c r="I67">
        <v>204</v>
      </c>
      <c r="J67">
        <v>31.25</v>
      </c>
    </row>
    <row r="68" spans="1:10" x14ac:dyDescent="0.35">
      <c r="A68" t="s">
        <v>143</v>
      </c>
      <c r="B68" s="2">
        <v>45680</v>
      </c>
      <c r="C68" t="s">
        <v>42</v>
      </c>
      <c r="D68" t="s">
        <v>17</v>
      </c>
      <c r="E68" t="s">
        <v>18</v>
      </c>
      <c r="F68" t="s">
        <v>22</v>
      </c>
      <c r="G68">
        <v>4</v>
      </c>
      <c r="H68">
        <v>0</v>
      </c>
      <c r="I68">
        <v>840</v>
      </c>
      <c r="J68">
        <v>233.88</v>
      </c>
    </row>
    <row r="69" spans="1:10" x14ac:dyDescent="0.35">
      <c r="A69" t="s">
        <v>144</v>
      </c>
      <c r="B69" s="2">
        <v>45844</v>
      </c>
      <c r="C69" t="s">
        <v>145</v>
      </c>
      <c r="D69" t="s">
        <v>99</v>
      </c>
      <c r="E69" t="s">
        <v>18</v>
      </c>
      <c r="F69" t="s">
        <v>14</v>
      </c>
      <c r="G69">
        <v>1</v>
      </c>
      <c r="H69">
        <v>0.1</v>
      </c>
      <c r="I69">
        <v>171</v>
      </c>
      <c r="J69">
        <v>41.79</v>
      </c>
    </row>
    <row r="70" spans="1:10" x14ac:dyDescent="0.35">
      <c r="A70" t="s">
        <v>146</v>
      </c>
      <c r="B70" s="2">
        <v>45811</v>
      </c>
      <c r="C70" t="s">
        <v>135</v>
      </c>
      <c r="D70" t="s">
        <v>55</v>
      </c>
      <c r="E70" t="s">
        <v>46</v>
      </c>
      <c r="F70" t="s">
        <v>25</v>
      </c>
      <c r="G70">
        <v>3</v>
      </c>
      <c r="H70">
        <v>0.15</v>
      </c>
      <c r="I70">
        <v>612</v>
      </c>
      <c r="J70">
        <v>209.52</v>
      </c>
    </row>
    <row r="71" spans="1:10" x14ac:dyDescent="0.35">
      <c r="A71" t="s">
        <v>147</v>
      </c>
      <c r="B71" s="2">
        <v>45941</v>
      </c>
      <c r="C71" t="s">
        <v>32</v>
      </c>
      <c r="D71" t="s">
        <v>28</v>
      </c>
      <c r="E71" t="s">
        <v>18</v>
      </c>
      <c r="F71" t="s">
        <v>22</v>
      </c>
      <c r="G71">
        <v>2</v>
      </c>
      <c r="H71">
        <v>0.15</v>
      </c>
      <c r="I71">
        <v>476</v>
      </c>
      <c r="J71">
        <v>109.75</v>
      </c>
    </row>
    <row r="72" spans="1:10" x14ac:dyDescent="0.35">
      <c r="A72" t="s">
        <v>148</v>
      </c>
      <c r="B72" s="2">
        <v>45973</v>
      </c>
      <c r="C72" t="s">
        <v>82</v>
      </c>
      <c r="D72" t="s">
        <v>83</v>
      </c>
      <c r="E72" t="s">
        <v>46</v>
      </c>
      <c r="F72" t="s">
        <v>25</v>
      </c>
      <c r="G72">
        <v>3</v>
      </c>
      <c r="H72">
        <v>0.15</v>
      </c>
      <c r="I72">
        <v>63.75</v>
      </c>
      <c r="J72">
        <v>17.16</v>
      </c>
    </row>
    <row r="73" spans="1:10" x14ac:dyDescent="0.35">
      <c r="A73" t="s">
        <v>149</v>
      </c>
      <c r="B73" s="2">
        <v>45804</v>
      </c>
      <c r="C73" t="s">
        <v>150</v>
      </c>
      <c r="D73" t="s">
        <v>21</v>
      </c>
      <c r="E73" t="s">
        <v>18</v>
      </c>
      <c r="F73" t="s">
        <v>50</v>
      </c>
      <c r="G73">
        <v>4</v>
      </c>
      <c r="H73">
        <v>0.2</v>
      </c>
      <c r="I73">
        <v>176</v>
      </c>
      <c r="J73">
        <v>43.97</v>
      </c>
    </row>
    <row r="74" spans="1:10" x14ac:dyDescent="0.35">
      <c r="A74" t="s">
        <v>151</v>
      </c>
      <c r="B74" s="2">
        <v>45884</v>
      </c>
      <c r="C74" t="s">
        <v>133</v>
      </c>
      <c r="D74" t="s">
        <v>45</v>
      </c>
      <c r="E74" t="s">
        <v>46</v>
      </c>
      <c r="F74" t="s">
        <v>22</v>
      </c>
      <c r="G74">
        <v>2</v>
      </c>
      <c r="H74">
        <v>0.2</v>
      </c>
      <c r="I74">
        <v>28.8</v>
      </c>
      <c r="J74">
        <v>8.4600000000000009</v>
      </c>
    </row>
    <row r="75" spans="1:10" x14ac:dyDescent="0.35">
      <c r="A75" t="s">
        <v>152</v>
      </c>
      <c r="B75" s="2">
        <v>45995</v>
      </c>
      <c r="C75" t="s">
        <v>111</v>
      </c>
      <c r="D75" t="s">
        <v>12</v>
      </c>
      <c r="E75" t="s">
        <v>13</v>
      </c>
      <c r="F75" t="s">
        <v>25</v>
      </c>
      <c r="G75">
        <v>3</v>
      </c>
      <c r="H75">
        <v>0.2</v>
      </c>
      <c r="I75">
        <v>84</v>
      </c>
      <c r="J75">
        <v>19.399999999999999</v>
      </c>
    </row>
    <row r="76" spans="1:10" x14ac:dyDescent="0.35">
      <c r="A76" t="s">
        <v>153</v>
      </c>
      <c r="B76" s="2">
        <v>45705</v>
      </c>
      <c r="C76" t="s">
        <v>154</v>
      </c>
      <c r="D76" t="s">
        <v>21</v>
      </c>
      <c r="E76" t="s">
        <v>18</v>
      </c>
      <c r="F76" t="s">
        <v>14</v>
      </c>
      <c r="G76">
        <v>3</v>
      </c>
      <c r="H76">
        <v>0.05</v>
      </c>
      <c r="I76">
        <v>156.75</v>
      </c>
      <c r="J76">
        <v>28.82</v>
      </c>
    </row>
    <row r="77" spans="1:10" x14ac:dyDescent="0.35">
      <c r="A77" t="s">
        <v>155</v>
      </c>
      <c r="B77" s="2">
        <v>45681</v>
      </c>
      <c r="C77" t="s">
        <v>128</v>
      </c>
      <c r="D77" t="s">
        <v>21</v>
      </c>
      <c r="E77" t="s">
        <v>18</v>
      </c>
      <c r="F77" t="s">
        <v>50</v>
      </c>
      <c r="G77">
        <v>4</v>
      </c>
      <c r="H77">
        <v>0.2</v>
      </c>
      <c r="I77">
        <v>176</v>
      </c>
      <c r="J77">
        <v>29.85</v>
      </c>
    </row>
    <row r="78" spans="1:10" x14ac:dyDescent="0.35">
      <c r="A78" t="s">
        <v>156</v>
      </c>
      <c r="B78" s="2">
        <v>45870</v>
      </c>
      <c r="C78" t="s">
        <v>59</v>
      </c>
      <c r="D78" t="s">
        <v>38</v>
      </c>
      <c r="E78" t="s">
        <v>13</v>
      </c>
      <c r="F78" t="s">
        <v>50</v>
      </c>
      <c r="G78">
        <v>5</v>
      </c>
      <c r="H78">
        <v>0.05</v>
      </c>
      <c r="I78">
        <v>1520</v>
      </c>
      <c r="J78">
        <v>323.68</v>
      </c>
    </row>
    <row r="79" spans="1:10" x14ac:dyDescent="0.35">
      <c r="A79" t="s">
        <v>157</v>
      </c>
      <c r="B79" s="2">
        <v>45862</v>
      </c>
      <c r="C79" t="s">
        <v>158</v>
      </c>
      <c r="D79" t="s">
        <v>21</v>
      </c>
      <c r="E79" t="s">
        <v>18</v>
      </c>
      <c r="F79" t="s">
        <v>14</v>
      </c>
      <c r="G79">
        <v>2</v>
      </c>
      <c r="H79">
        <v>0</v>
      </c>
      <c r="I79">
        <v>110</v>
      </c>
      <c r="J79">
        <v>17.100000000000001</v>
      </c>
    </row>
    <row r="80" spans="1:10" x14ac:dyDescent="0.35">
      <c r="A80" t="s">
        <v>159</v>
      </c>
      <c r="B80" s="2">
        <v>45875</v>
      </c>
      <c r="C80" t="s">
        <v>20</v>
      </c>
      <c r="D80" t="s">
        <v>21</v>
      </c>
      <c r="E80" t="s">
        <v>18</v>
      </c>
      <c r="F80" t="s">
        <v>22</v>
      </c>
      <c r="G80">
        <v>2</v>
      </c>
      <c r="H80">
        <v>0.2</v>
      </c>
      <c r="I80">
        <v>88</v>
      </c>
      <c r="J80">
        <v>26.11</v>
      </c>
    </row>
    <row r="81" spans="1:10" x14ac:dyDescent="0.35">
      <c r="A81" t="s">
        <v>160</v>
      </c>
      <c r="B81" s="2">
        <v>45720</v>
      </c>
      <c r="C81" t="s">
        <v>20</v>
      </c>
      <c r="D81" t="s">
        <v>45</v>
      </c>
      <c r="E81" t="s">
        <v>46</v>
      </c>
      <c r="F81" t="s">
        <v>25</v>
      </c>
      <c r="G81">
        <v>2</v>
      </c>
      <c r="H81">
        <v>0.15</v>
      </c>
      <c r="I81">
        <v>30.6</v>
      </c>
      <c r="J81">
        <v>7.03</v>
      </c>
    </row>
    <row r="82" spans="1:10" x14ac:dyDescent="0.35">
      <c r="A82" t="s">
        <v>161</v>
      </c>
      <c r="B82" s="2">
        <v>45884</v>
      </c>
      <c r="C82" t="s">
        <v>95</v>
      </c>
      <c r="D82" t="s">
        <v>83</v>
      </c>
      <c r="E82" t="s">
        <v>46</v>
      </c>
      <c r="F82" t="s">
        <v>50</v>
      </c>
      <c r="G82">
        <v>5</v>
      </c>
      <c r="H82">
        <v>0.15</v>
      </c>
      <c r="I82">
        <v>106.25</v>
      </c>
      <c r="J82">
        <v>18.690000000000001</v>
      </c>
    </row>
    <row r="83" spans="1:10" x14ac:dyDescent="0.35">
      <c r="A83" t="s">
        <v>162</v>
      </c>
      <c r="B83" s="2">
        <v>45739</v>
      </c>
      <c r="C83" t="s">
        <v>163</v>
      </c>
      <c r="D83" t="s">
        <v>17</v>
      </c>
      <c r="E83" t="s">
        <v>18</v>
      </c>
      <c r="F83" t="s">
        <v>25</v>
      </c>
      <c r="G83">
        <v>4</v>
      </c>
      <c r="H83">
        <v>0.15</v>
      </c>
      <c r="I83">
        <v>714</v>
      </c>
      <c r="J83">
        <v>260.23</v>
      </c>
    </row>
    <row r="84" spans="1:10" x14ac:dyDescent="0.35">
      <c r="A84" t="s">
        <v>164</v>
      </c>
      <c r="B84" s="2">
        <v>45924</v>
      </c>
      <c r="C84" t="s">
        <v>165</v>
      </c>
      <c r="D84" t="s">
        <v>45</v>
      </c>
      <c r="E84" t="s">
        <v>46</v>
      </c>
      <c r="F84" t="s">
        <v>25</v>
      </c>
      <c r="G84">
        <v>2</v>
      </c>
      <c r="H84">
        <v>0.1</v>
      </c>
      <c r="I84">
        <v>32.4</v>
      </c>
      <c r="J84">
        <v>9.8800000000000008</v>
      </c>
    </row>
    <row r="85" spans="1:10" x14ac:dyDescent="0.35">
      <c r="A85" t="s">
        <v>166</v>
      </c>
      <c r="B85" s="2">
        <v>45778</v>
      </c>
      <c r="C85" t="s">
        <v>167</v>
      </c>
      <c r="D85" t="s">
        <v>35</v>
      </c>
      <c r="E85" t="s">
        <v>13</v>
      </c>
      <c r="F85" t="s">
        <v>22</v>
      </c>
      <c r="G85">
        <v>3</v>
      </c>
      <c r="H85">
        <v>0.1</v>
      </c>
      <c r="I85">
        <v>2295</v>
      </c>
      <c r="J85">
        <v>356.42</v>
      </c>
    </row>
    <row r="86" spans="1:10" x14ac:dyDescent="0.35">
      <c r="A86" t="s">
        <v>168</v>
      </c>
      <c r="B86" s="2">
        <v>45735</v>
      </c>
      <c r="C86" t="s">
        <v>80</v>
      </c>
      <c r="D86" t="s">
        <v>21</v>
      </c>
      <c r="E86" t="s">
        <v>18</v>
      </c>
      <c r="F86" t="s">
        <v>50</v>
      </c>
      <c r="G86">
        <v>4</v>
      </c>
      <c r="H86">
        <v>0.05</v>
      </c>
      <c r="I86">
        <v>209</v>
      </c>
      <c r="J86">
        <v>45.33</v>
      </c>
    </row>
    <row r="87" spans="1:10" x14ac:dyDescent="0.35">
      <c r="A87" t="s">
        <v>169</v>
      </c>
      <c r="B87" s="2">
        <v>45866</v>
      </c>
      <c r="C87" t="s">
        <v>124</v>
      </c>
      <c r="D87" t="s">
        <v>49</v>
      </c>
      <c r="E87" t="s">
        <v>13</v>
      </c>
      <c r="F87" t="s">
        <v>50</v>
      </c>
      <c r="G87">
        <v>5</v>
      </c>
      <c r="H87">
        <v>0.15</v>
      </c>
      <c r="I87">
        <v>297.5</v>
      </c>
      <c r="J87">
        <v>93.06</v>
      </c>
    </row>
    <row r="88" spans="1:10" x14ac:dyDescent="0.35">
      <c r="A88" t="s">
        <v>170</v>
      </c>
      <c r="B88" s="2">
        <v>45857</v>
      </c>
      <c r="C88" t="s">
        <v>82</v>
      </c>
      <c r="D88" t="s">
        <v>83</v>
      </c>
      <c r="E88" t="s">
        <v>46</v>
      </c>
      <c r="F88" t="s">
        <v>25</v>
      </c>
      <c r="G88">
        <v>1</v>
      </c>
      <c r="H88">
        <v>0.2</v>
      </c>
      <c r="I88">
        <v>20</v>
      </c>
      <c r="J88">
        <v>6.49</v>
      </c>
    </row>
    <row r="89" spans="1:10" x14ac:dyDescent="0.35">
      <c r="A89" t="s">
        <v>171</v>
      </c>
      <c r="B89" s="2">
        <v>45810</v>
      </c>
      <c r="C89" t="s">
        <v>119</v>
      </c>
      <c r="D89" t="s">
        <v>99</v>
      </c>
      <c r="E89" t="s">
        <v>18</v>
      </c>
      <c r="F89" t="s">
        <v>22</v>
      </c>
      <c r="G89">
        <v>4</v>
      </c>
      <c r="H89">
        <v>0.2</v>
      </c>
      <c r="I89">
        <v>608</v>
      </c>
      <c r="J89">
        <v>123.62</v>
      </c>
    </row>
    <row r="90" spans="1:10" x14ac:dyDescent="0.35">
      <c r="A90" t="s">
        <v>172</v>
      </c>
      <c r="B90" s="2">
        <v>45907</v>
      </c>
      <c r="C90" t="s">
        <v>59</v>
      </c>
      <c r="D90" t="s">
        <v>21</v>
      </c>
      <c r="E90" t="s">
        <v>173</v>
      </c>
      <c r="F90" t="s">
        <v>25</v>
      </c>
      <c r="G90">
        <v>3</v>
      </c>
      <c r="H90">
        <v>0.15</v>
      </c>
      <c r="I90">
        <v>140.25</v>
      </c>
      <c r="J90">
        <v>40.64</v>
      </c>
    </row>
    <row r="91" spans="1:10" x14ac:dyDescent="0.35">
      <c r="A91" t="s">
        <v>174</v>
      </c>
      <c r="B91" s="2">
        <v>46000</v>
      </c>
      <c r="C91" t="s">
        <v>115</v>
      </c>
      <c r="D91" t="s">
        <v>38</v>
      </c>
      <c r="E91" t="s">
        <v>13</v>
      </c>
      <c r="F91" t="s">
        <v>14</v>
      </c>
      <c r="G91">
        <v>4</v>
      </c>
      <c r="H91">
        <v>0.05</v>
      </c>
      <c r="I91">
        <v>1216</v>
      </c>
      <c r="J91">
        <v>209.92</v>
      </c>
    </row>
    <row r="92" spans="1:10" x14ac:dyDescent="0.35">
      <c r="A92" t="s">
        <v>175</v>
      </c>
      <c r="B92" s="2">
        <v>45859</v>
      </c>
      <c r="C92" t="s">
        <v>93</v>
      </c>
      <c r="D92" t="s">
        <v>83</v>
      </c>
      <c r="E92" t="s">
        <v>46</v>
      </c>
      <c r="F92" t="s">
        <v>22</v>
      </c>
      <c r="G92">
        <v>5</v>
      </c>
      <c r="H92">
        <v>0</v>
      </c>
      <c r="I92">
        <v>125</v>
      </c>
      <c r="J92">
        <v>52.79</v>
      </c>
    </row>
    <row r="93" spans="1:10" x14ac:dyDescent="0.35">
      <c r="A93" t="s">
        <v>176</v>
      </c>
      <c r="B93" s="2">
        <v>45894</v>
      </c>
      <c r="C93" t="s">
        <v>27</v>
      </c>
      <c r="D93" t="s">
        <v>28</v>
      </c>
      <c r="E93" t="s">
        <v>18</v>
      </c>
      <c r="F93" t="s">
        <v>50</v>
      </c>
      <c r="G93">
        <v>1</v>
      </c>
      <c r="H93">
        <v>0.1</v>
      </c>
      <c r="I93">
        <v>252</v>
      </c>
      <c r="J93">
        <v>81.87</v>
      </c>
    </row>
    <row r="94" spans="1:10" x14ac:dyDescent="0.35">
      <c r="A94" t="s">
        <v>177</v>
      </c>
      <c r="B94" s="2">
        <v>45825</v>
      </c>
      <c r="C94" t="s">
        <v>178</v>
      </c>
      <c r="D94" t="s">
        <v>49</v>
      </c>
      <c r="E94" t="s">
        <v>13</v>
      </c>
      <c r="F94" t="s">
        <v>25</v>
      </c>
      <c r="G94">
        <v>4</v>
      </c>
      <c r="H94">
        <v>0.1</v>
      </c>
      <c r="I94">
        <v>252</v>
      </c>
      <c r="J94">
        <v>50.86</v>
      </c>
    </row>
    <row r="95" spans="1:10" x14ac:dyDescent="0.35">
      <c r="A95" t="s">
        <v>179</v>
      </c>
      <c r="B95" s="2">
        <v>45699</v>
      </c>
      <c r="C95" t="s">
        <v>30</v>
      </c>
      <c r="D95" t="s">
        <v>45</v>
      </c>
      <c r="E95" t="s">
        <v>46</v>
      </c>
      <c r="F95" t="s">
        <v>22</v>
      </c>
      <c r="G95">
        <v>1</v>
      </c>
      <c r="H95">
        <v>0.2</v>
      </c>
      <c r="I95">
        <v>14.4</v>
      </c>
      <c r="J95">
        <v>6.23</v>
      </c>
    </row>
    <row r="96" spans="1:10" x14ac:dyDescent="0.35">
      <c r="A96" t="s">
        <v>180</v>
      </c>
      <c r="B96" s="2">
        <v>45990</v>
      </c>
      <c r="C96" t="s">
        <v>181</v>
      </c>
      <c r="D96" t="s">
        <v>12</v>
      </c>
      <c r="E96" t="s">
        <v>13</v>
      </c>
      <c r="F96" t="s">
        <v>14</v>
      </c>
      <c r="G96">
        <v>1</v>
      </c>
      <c r="H96">
        <v>0</v>
      </c>
      <c r="I96">
        <v>35</v>
      </c>
      <c r="J96">
        <v>4.78</v>
      </c>
    </row>
    <row r="97" spans="1:10" x14ac:dyDescent="0.35">
      <c r="A97" t="s">
        <v>182</v>
      </c>
      <c r="B97" s="2">
        <v>45976</v>
      </c>
      <c r="C97" t="s">
        <v>183</v>
      </c>
      <c r="D97" t="s">
        <v>28</v>
      </c>
      <c r="E97" t="s">
        <v>18</v>
      </c>
      <c r="F97" t="s">
        <v>22</v>
      </c>
      <c r="G97">
        <v>2</v>
      </c>
      <c r="H97">
        <v>0.05</v>
      </c>
      <c r="I97">
        <v>532</v>
      </c>
      <c r="J97">
        <v>156.26</v>
      </c>
    </row>
    <row r="98" spans="1:10" x14ac:dyDescent="0.35">
      <c r="A98" t="s">
        <v>184</v>
      </c>
      <c r="B98" s="2">
        <v>45896</v>
      </c>
      <c r="C98" t="s">
        <v>185</v>
      </c>
      <c r="D98" t="s">
        <v>17</v>
      </c>
      <c r="E98" t="s">
        <v>18</v>
      </c>
      <c r="F98" t="s">
        <v>14</v>
      </c>
      <c r="G98">
        <v>3</v>
      </c>
      <c r="H98">
        <v>0.1</v>
      </c>
      <c r="I98">
        <v>567</v>
      </c>
      <c r="J98">
        <v>223.75</v>
      </c>
    </row>
    <row r="99" spans="1:10" x14ac:dyDescent="0.35">
      <c r="A99" t="s">
        <v>186</v>
      </c>
      <c r="B99" s="2">
        <v>45741</v>
      </c>
      <c r="C99" t="s">
        <v>187</v>
      </c>
      <c r="D99" t="s">
        <v>35</v>
      </c>
      <c r="E99" t="s">
        <v>13</v>
      </c>
      <c r="F99" t="s">
        <v>50</v>
      </c>
      <c r="G99">
        <v>1</v>
      </c>
      <c r="H99">
        <v>0.2</v>
      </c>
      <c r="I99">
        <v>680</v>
      </c>
      <c r="J99">
        <v>300.24</v>
      </c>
    </row>
    <row r="100" spans="1:10" x14ac:dyDescent="0.35">
      <c r="A100" t="s">
        <v>188</v>
      </c>
      <c r="B100" s="2">
        <v>45861</v>
      </c>
      <c r="C100" t="s">
        <v>189</v>
      </c>
      <c r="D100" t="s">
        <v>17</v>
      </c>
      <c r="E100" t="s">
        <v>18</v>
      </c>
      <c r="F100" t="s">
        <v>22</v>
      </c>
      <c r="G100">
        <v>2</v>
      </c>
      <c r="H100">
        <v>0</v>
      </c>
      <c r="I100">
        <v>420</v>
      </c>
      <c r="J100">
        <v>106.94</v>
      </c>
    </row>
    <row r="101" spans="1:10" x14ac:dyDescent="0.35">
      <c r="A101" t="s">
        <v>190</v>
      </c>
      <c r="B101" s="2">
        <v>45710</v>
      </c>
      <c r="C101" t="s">
        <v>73</v>
      </c>
      <c r="D101" t="s">
        <v>17</v>
      </c>
      <c r="E101" t="s">
        <v>18</v>
      </c>
      <c r="F101" t="s">
        <v>14</v>
      </c>
      <c r="G101">
        <v>3</v>
      </c>
      <c r="H101">
        <v>0.2</v>
      </c>
      <c r="I101">
        <v>504</v>
      </c>
      <c r="J101">
        <v>92.82</v>
      </c>
    </row>
    <row r="102" spans="1:10" x14ac:dyDescent="0.35">
      <c r="A102" t="s">
        <v>191</v>
      </c>
      <c r="B102" s="2">
        <v>45835</v>
      </c>
      <c r="C102" t="s">
        <v>192</v>
      </c>
      <c r="D102" t="s">
        <v>55</v>
      </c>
      <c r="E102" t="s">
        <v>46</v>
      </c>
      <c r="F102" t="s">
        <v>25</v>
      </c>
      <c r="G102">
        <v>4</v>
      </c>
      <c r="H102">
        <v>0.1</v>
      </c>
      <c r="I102">
        <v>864</v>
      </c>
      <c r="J102">
        <v>369.14</v>
      </c>
    </row>
    <row r="103" spans="1:10" x14ac:dyDescent="0.35">
      <c r="A103" t="s">
        <v>193</v>
      </c>
      <c r="B103" s="2">
        <v>45664</v>
      </c>
      <c r="C103" t="s">
        <v>194</v>
      </c>
      <c r="D103" t="s">
        <v>99</v>
      </c>
      <c r="E103" t="s">
        <v>18</v>
      </c>
      <c r="F103" t="s">
        <v>50</v>
      </c>
      <c r="G103">
        <v>4</v>
      </c>
      <c r="H103">
        <v>0</v>
      </c>
      <c r="I103">
        <v>760</v>
      </c>
      <c r="J103">
        <v>233.27</v>
      </c>
    </row>
    <row r="104" spans="1:10" x14ac:dyDescent="0.35">
      <c r="A104" t="s">
        <v>195</v>
      </c>
      <c r="B104" s="2">
        <v>46020</v>
      </c>
      <c r="C104" t="s">
        <v>196</v>
      </c>
      <c r="D104" t="s">
        <v>28</v>
      </c>
      <c r="E104" t="s">
        <v>18</v>
      </c>
      <c r="F104" t="s">
        <v>25</v>
      </c>
      <c r="G104">
        <v>4</v>
      </c>
      <c r="H104">
        <v>0.05</v>
      </c>
      <c r="I104">
        <v>1064</v>
      </c>
      <c r="J104">
        <v>221.15</v>
      </c>
    </row>
    <row r="105" spans="1:10" x14ac:dyDescent="0.35">
      <c r="A105" t="s">
        <v>197</v>
      </c>
      <c r="B105" s="2">
        <v>45973</v>
      </c>
      <c r="C105" t="s">
        <v>198</v>
      </c>
      <c r="D105" t="s">
        <v>55</v>
      </c>
      <c r="E105" t="s">
        <v>46</v>
      </c>
      <c r="F105" t="s">
        <v>25</v>
      </c>
      <c r="G105">
        <v>4</v>
      </c>
      <c r="H105">
        <v>0.15</v>
      </c>
      <c r="I105">
        <v>816</v>
      </c>
      <c r="J105">
        <v>249.91</v>
      </c>
    </row>
    <row r="106" spans="1:10" x14ac:dyDescent="0.35">
      <c r="A106" t="s">
        <v>199</v>
      </c>
      <c r="B106" s="2">
        <v>45823</v>
      </c>
      <c r="C106" t="s">
        <v>163</v>
      </c>
      <c r="D106" t="s">
        <v>21</v>
      </c>
      <c r="E106" t="s">
        <v>18</v>
      </c>
      <c r="F106" t="s">
        <v>50</v>
      </c>
      <c r="G106">
        <v>1</v>
      </c>
      <c r="H106">
        <v>0.1</v>
      </c>
      <c r="I106">
        <v>49.5</v>
      </c>
      <c r="J106">
        <v>7.87</v>
      </c>
    </row>
    <row r="107" spans="1:10" x14ac:dyDescent="0.35">
      <c r="A107" t="s">
        <v>200</v>
      </c>
      <c r="B107" s="2">
        <v>45949</v>
      </c>
      <c r="C107" t="s">
        <v>150</v>
      </c>
      <c r="D107" t="s">
        <v>83</v>
      </c>
      <c r="E107" t="s">
        <v>46</v>
      </c>
      <c r="F107" t="s">
        <v>22</v>
      </c>
      <c r="G107">
        <v>4</v>
      </c>
      <c r="H107">
        <v>0.1</v>
      </c>
      <c r="I107">
        <v>90</v>
      </c>
      <c r="J107">
        <v>39.65</v>
      </c>
    </row>
    <row r="108" spans="1:10" x14ac:dyDescent="0.35">
      <c r="A108" t="s">
        <v>201</v>
      </c>
      <c r="B108" s="2">
        <v>45907</v>
      </c>
      <c r="C108" t="s">
        <v>202</v>
      </c>
      <c r="D108" t="s">
        <v>21</v>
      </c>
      <c r="E108" t="s">
        <v>18</v>
      </c>
      <c r="F108" t="s">
        <v>25</v>
      </c>
      <c r="G108">
        <v>3</v>
      </c>
      <c r="H108">
        <v>0.1</v>
      </c>
      <c r="I108">
        <v>148.5</v>
      </c>
      <c r="J108">
        <v>50.15</v>
      </c>
    </row>
    <row r="109" spans="1:10" x14ac:dyDescent="0.35">
      <c r="A109" t="s">
        <v>203</v>
      </c>
      <c r="B109" s="2">
        <v>45942</v>
      </c>
      <c r="C109" t="s">
        <v>204</v>
      </c>
      <c r="D109" t="s">
        <v>67</v>
      </c>
      <c r="E109" t="s">
        <v>13</v>
      </c>
      <c r="F109" t="s">
        <v>50</v>
      </c>
      <c r="G109">
        <v>5</v>
      </c>
      <c r="H109">
        <v>0.05</v>
      </c>
      <c r="I109">
        <v>5700</v>
      </c>
      <c r="J109">
        <v>2403.96</v>
      </c>
    </row>
    <row r="110" spans="1:10" x14ac:dyDescent="0.35">
      <c r="A110" t="s">
        <v>205</v>
      </c>
      <c r="B110" s="2">
        <v>45908</v>
      </c>
      <c r="C110" t="s">
        <v>206</v>
      </c>
      <c r="D110" t="s">
        <v>55</v>
      </c>
      <c r="E110" t="s">
        <v>46</v>
      </c>
      <c r="F110" t="s">
        <v>50</v>
      </c>
      <c r="G110">
        <v>2</v>
      </c>
      <c r="H110">
        <v>0.15</v>
      </c>
      <c r="I110">
        <v>408</v>
      </c>
      <c r="J110">
        <v>96.64</v>
      </c>
    </row>
    <row r="111" spans="1:10" x14ac:dyDescent="0.35">
      <c r="A111" t="s">
        <v>207</v>
      </c>
      <c r="B111" s="2">
        <v>45666</v>
      </c>
      <c r="C111" t="s">
        <v>163</v>
      </c>
      <c r="D111" t="s">
        <v>12</v>
      </c>
      <c r="E111" t="s">
        <v>13</v>
      </c>
      <c r="F111" t="s">
        <v>25</v>
      </c>
      <c r="G111">
        <v>3</v>
      </c>
      <c r="H111">
        <v>0.05</v>
      </c>
      <c r="I111">
        <v>99.75</v>
      </c>
      <c r="J111">
        <v>31.58</v>
      </c>
    </row>
    <row r="112" spans="1:10" x14ac:dyDescent="0.35">
      <c r="A112" t="s">
        <v>208</v>
      </c>
      <c r="B112" s="2">
        <v>45997</v>
      </c>
      <c r="C112" t="s">
        <v>30</v>
      </c>
      <c r="D112" t="s">
        <v>83</v>
      </c>
      <c r="E112" t="s">
        <v>46</v>
      </c>
      <c r="F112" t="s">
        <v>50</v>
      </c>
      <c r="G112">
        <v>3</v>
      </c>
      <c r="H112">
        <v>0.15</v>
      </c>
      <c r="I112">
        <v>63.75</v>
      </c>
      <c r="J112">
        <v>17.04</v>
      </c>
    </row>
    <row r="113" spans="1:10" x14ac:dyDescent="0.35">
      <c r="A113" t="s">
        <v>209</v>
      </c>
      <c r="B113" s="2">
        <v>45939</v>
      </c>
      <c r="C113" t="s">
        <v>210</v>
      </c>
      <c r="D113" t="s">
        <v>49</v>
      </c>
      <c r="E113" t="s">
        <v>13</v>
      </c>
      <c r="F113" t="s">
        <v>22</v>
      </c>
      <c r="G113">
        <v>3</v>
      </c>
      <c r="H113">
        <v>0.15</v>
      </c>
      <c r="I113">
        <v>178.5</v>
      </c>
      <c r="J113">
        <v>64.37</v>
      </c>
    </row>
    <row r="114" spans="1:10" x14ac:dyDescent="0.35">
      <c r="A114" t="s">
        <v>211</v>
      </c>
      <c r="B114" s="2">
        <v>45719</v>
      </c>
      <c r="C114" t="s">
        <v>42</v>
      </c>
      <c r="D114" t="s">
        <v>17</v>
      </c>
      <c r="E114" t="s">
        <v>18</v>
      </c>
      <c r="F114" t="s">
        <v>22</v>
      </c>
      <c r="G114">
        <v>2</v>
      </c>
      <c r="H114">
        <v>0.1</v>
      </c>
      <c r="I114">
        <v>378</v>
      </c>
      <c r="J114">
        <v>155.19</v>
      </c>
    </row>
    <row r="115" spans="1:10" x14ac:dyDescent="0.35">
      <c r="A115" t="s">
        <v>212</v>
      </c>
      <c r="B115" s="2">
        <v>45756</v>
      </c>
      <c r="C115" t="s">
        <v>213</v>
      </c>
      <c r="D115" t="s">
        <v>21</v>
      </c>
      <c r="E115" t="s">
        <v>18</v>
      </c>
      <c r="F115" t="s">
        <v>25</v>
      </c>
      <c r="G115">
        <v>4</v>
      </c>
      <c r="H115">
        <v>0.1</v>
      </c>
      <c r="I115">
        <v>198</v>
      </c>
      <c r="J115">
        <v>41.76</v>
      </c>
    </row>
    <row r="116" spans="1:10" x14ac:dyDescent="0.35">
      <c r="A116" t="s">
        <v>214</v>
      </c>
      <c r="B116" s="2">
        <v>45709</v>
      </c>
      <c r="C116" t="s">
        <v>215</v>
      </c>
      <c r="D116" t="s">
        <v>21</v>
      </c>
      <c r="E116" t="s">
        <v>18</v>
      </c>
      <c r="F116" t="s">
        <v>14</v>
      </c>
      <c r="G116">
        <v>3</v>
      </c>
      <c r="H116">
        <v>0.05</v>
      </c>
      <c r="I116">
        <v>156.75</v>
      </c>
      <c r="J116">
        <v>51.87</v>
      </c>
    </row>
    <row r="117" spans="1:10" x14ac:dyDescent="0.35">
      <c r="A117" t="s">
        <v>216</v>
      </c>
      <c r="B117" s="2">
        <v>46020</v>
      </c>
      <c r="C117" t="s">
        <v>217</v>
      </c>
      <c r="D117" t="s">
        <v>55</v>
      </c>
      <c r="E117" t="s">
        <v>46</v>
      </c>
      <c r="F117" t="s">
        <v>25</v>
      </c>
      <c r="G117">
        <v>2</v>
      </c>
      <c r="H117">
        <v>0.1</v>
      </c>
      <c r="I117">
        <v>432</v>
      </c>
      <c r="J117">
        <v>187.91</v>
      </c>
    </row>
    <row r="118" spans="1:10" x14ac:dyDescent="0.35">
      <c r="A118" t="s">
        <v>218</v>
      </c>
      <c r="B118" s="2">
        <v>46015</v>
      </c>
      <c r="C118" t="s">
        <v>219</v>
      </c>
      <c r="D118" t="s">
        <v>28</v>
      </c>
      <c r="E118" t="s">
        <v>18</v>
      </c>
      <c r="F118" t="s">
        <v>25</v>
      </c>
      <c r="G118">
        <v>4</v>
      </c>
      <c r="H118">
        <v>0</v>
      </c>
      <c r="I118">
        <v>1120</v>
      </c>
      <c r="J118">
        <v>181.44</v>
      </c>
    </row>
    <row r="119" spans="1:10" x14ac:dyDescent="0.35">
      <c r="A119" t="s">
        <v>220</v>
      </c>
      <c r="B119" s="2">
        <v>45898</v>
      </c>
      <c r="C119" t="s">
        <v>217</v>
      </c>
      <c r="D119" t="s">
        <v>45</v>
      </c>
      <c r="E119" t="s">
        <v>46</v>
      </c>
      <c r="F119" t="s">
        <v>25</v>
      </c>
      <c r="G119">
        <v>4</v>
      </c>
      <c r="H119">
        <v>0.1</v>
      </c>
      <c r="I119">
        <v>64.8</v>
      </c>
      <c r="J119">
        <v>25.22</v>
      </c>
    </row>
    <row r="120" spans="1:10" x14ac:dyDescent="0.35">
      <c r="A120" t="s">
        <v>221</v>
      </c>
      <c r="B120" s="2">
        <v>45902</v>
      </c>
      <c r="C120" t="s">
        <v>219</v>
      </c>
      <c r="D120" t="s">
        <v>12</v>
      </c>
      <c r="E120" t="s">
        <v>13</v>
      </c>
      <c r="F120" t="s">
        <v>14</v>
      </c>
      <c r="G120">
        <v>1</v>
      </c>
      <c r="H120">
        <v>0.15</v>
      </c>
      <c r="I120">
        <v>29.75</v>
      </c>
      <c r="J120">
        <v>8.56</v>
      </c>
    </row>
    <row r="121" spans="1:10" x14ac:dyDescent="0.35">
      <c r="A121" t="s">
        <v>222</v>
      </c>
      <c r="B121" s="2">
        <v>45735</v>
      </c>
      <c r="C121" t="s">
        <v>163</v>
      </c>
      <c r="D121" t="s">
        <v>28</v>
      </c>
      <c r="E121" t="s">
        <v>18</v>
      </c>
      <c r="F121" t="s">
        <v>14</v>
      </c>
      <c r="G121">
        <v>5</v>
      </c>
      <c r="H121">
        <v>0.1</v>
      </c>
      <c r="I121">
        <v>1260</v>
      </c>
      <c r="J121">
        <v>531.58000000000004</v>
      </c>
    </row>
    <row r="122" spans="1:10" x14ac:dyDescent="0.35">
      <c r="A122" t="s">
        <v>223</v>
      </c>
      <c r="B122" s="2">
        <v>45943</v>
      </c>
      <c r="C122" t="s">
        <v>224</v>
      </c>
      <c r="D122" t="s">
        <v>99</v>
      </c>
      <c r="E122" t="s">
        <v>18</v>
      </c>
      <c r="F122" t="s">
        <v>50</v>
      </c>
      <c r="G122">
        <v>5</v>
      </c>
      <c r="H122">
        <v>0.2</v>
      </c>
      <c r="I122">
        <v>760</v>
      </c>
      <c r="J122">
        <v>143.68</v>
      </c>
    </row>
    <row r="123" spans="1:10" x14ac:dyDescent="0.35">
      <c r="A123" t="s">
        <v>225</v>
      </c>
      <c r="B123" s="2">
        <v>45888</v>
      </c>
      <c r="C123" t="s">
        <v>187</v>
      </c>
      <c r="D123" t="s">
        <v>45</v>
      </c>
      <c r="E123" t="s">
        <v>46</v>
      </c>
      <c r="F123" t="s">
        <v>14</v>
      </c>
      <c r="G123">
        <v>3</v>
      </c>
      <c r="H123">
        <v>0.2</v>
      </c>
      <c r="I123">
        <v>43.2</v>
      </c>
      <c r="J123">
        <v>5.33</v>
      </c>
    </row>
    <row r="124" spans="1:10" x14ac:dyDescent="0.35">
      <c r="A124" t="s">
        <v>226</v>
      </c>
      <c r="B124" s="2">
        <v>45970</v>
      </c>
      <c r="C124" t="s">
        <v>113</v>
      </c>
      <c r="D124" t="s">
        <v>17</v>
      </c>
      <c r="E124" t="s">
        <v>18</v>
      </c>
      <c r="F124" t="s">
        <v>14</v>
      </c>
      <c r="G124">
        <v>1</v>
      </c>
      <c r="H124">
        <v>0.05</v>
      </c>
      <c r="I124">
        <v>199.5</v>
      </c>
      <c r="J124">
        <v>48.59</v>
      </c>
    </row>
    <row r="125" spans="1:10" x14ac:dyDescent="0.35">
      <c r="A125" t="s">
        <v>227</v>
      </c>
      <c r="B125" s="2">
        <v>45738</v>
      </c>
      <c r="C125" t="s">
        <v>82</v>
      </c>
      <c r="D125" t="s">
        <v>21</v>
      </c>
      <c r="E125" t="s">
        <v>18</v>
      </c>
      <c r="F125" t="s">
        <v>50</v>
      </c>
      <c r="G125">
        <v>2</v>
      </c>
      <c r="H125">
        <v>0.2</v>
      </c>
      <c r="I125">
        <v>88</v>
      </c>
      <c r="J125">
        <v>37.42</v>
      </c>
    </row>
    <row r="126" spans="1:10" x14ac:dyDescent="0.35">
      <c r="A126" t="s">
        <v>228</v>
      </c>
      <c r="B126" s="2">
        <v>45888</v>
      </c>
      <c r="C126" t="s">
        <v>37</v>
      </c>
      <c r="D126" t="s">
        <v>17</v>
      </c>
      <c r="E126" t="s">
        <v>18</v>
      </c>
      <c r="F126" t="s">
        <v>25</v>
      </c>
      <c r="G126">
        <v>5</v>
      </c>
      <c r="H126">
        <v>0.15</v>
      </c>
      <c r="I126">
        <v>892.5</v>
      </c>
      <c r="J126">
        <v>315.83999999999997</v>
      </c>
    </row>
    <row r="127" spans="1:10" x14ac:dyDescent="0.35">
      <c r="A127" t="s">
        <v>229</v>
      </c>
      <c r="B127" s="2">
        <v>46019</v>
      </c>
      <c r="C127" t="s">
        <v>113</v>
      </c>
      <c r="D127" t="s">
        <v>35</v>
      </c>
      <c r="E127" t="s">
        <v>13</v>
      </c>
      <c r="F127" t="s">
        <v>22</v>
      </c>
      <c r="G127">
        <v>4</v>
      </c>
      <c r="H127">
        <v>0</v>
      </c>
      <c r="I127">
        <v>3400</v>
      </c>
      <c r="J127">
        <v>758.75</v>
      </c>
    </row>
    <row r="128" spans="1:10" x14ac:dyDescent="0.35">
      <c r="A128" t="s">
        <v>230</v>
      </c>
      <c r="B128" s="2">
        <v>45875</v>
      </c>
      <c r="C128" t="s">
        <v>231</v>
      </c>
      <c r="D128" t="s">
        <v>12</v>
      </c>
      <c r="E128" t="s">
        <v>13</v>
      </c>
      <c r="F128" t="s">
        <v>22</v>
      </c>
      <c r="G128">
        <v>5</v>
      </c>
      <c r="H128">
        <v>0.05</v>
      </c>
      <c r="I128">
        <v>166.25</v>
      </c>
      <c r="J128">
        <v>39.28</v>
      </c>
    </row>
    <row r="129" spans="1:10" x14ac:dyDescent="0.35">
      <c r="A129" t="s">
        <v>232</v>
      </c>
      <c r="B129" s="2">
        <v>45694</v>
      </c>
      <c r="C129" t="s">
        <v>73</v>
      </c>
      <c r="D129" t="s">
        <v>67</v>
      </c>
      <c r="E129" t="s">
        <v>13</v>
      </c>
      <c r="F129" t="s">
        <v>25</v>
      </c>
      <c r="G129">
        <v>2</v>
      </c>
      <c r="H129">
        <v>0.1</v>
      </c>
      <c r="I129">
        <v>2160</v>
      </c>
      <c r="J129">
        <v>547.85</v>
      </c>
    </row>
    <row r="130" spans="1:10" x14ac:dyDescent="0.35">
      <c r="A130" t="s">
        <v>233</v>
      </c>
      <c r="B130" s="2">
        <v>45882</v>
      </c>
      <c r="C130" t="s">
        <v>231</v>
      </c>
      <c r="D130" t="s">
        <v>12</v>
      </c>
      <c r="E130" t="s">
        <v>13</v>
      </c>
      <c r="F130" t="s">
        <v>50</v>
      </c>
      <c r="G130">
        <v>4</v>
      </c>
      <c r="H130">
        <v>0.1</v>
      </c>
      <c r="I130">
        <v>126</v>
      </c>
      <c r="J130">
        <v>27.61</v>
      </c>
    </row>
    <row r="131" spans="1:10" x14ac:dyDescent="0.35">
      <c r="A131" t="s">
        <v>234</v>
      </c>
      <c r="B131" s="2">
        <v>45882</v>
      </c>
      <c r="C131" t="s">
        <v>133</v>
      </c>
      <c r="D131" t="s">
        <v>12</v>
      </c>
      <c r="E131" t="s">
        <v>13</v>
      </c>
      <c r="F131" t="s">
        <v>25</v>
      </c>
      <c r="G131">
        <v>5</v>
      </c>
      <c r="H131">
        <v>0</v>
      </c>
      <c r="I131">
        <v>175</v>
      </c>
      <c r="J131">
        <v>27.39</v>
      </c>
    </row>
    <row r="132" spans="1:10" x14ac:dyDescent="0.35">
      <c r="A132" t="s">
        <v>235</v>
      </c>
      <c r="B132" s="2">
        <v>45967</v>
      </c>
      <c r="C132" t="s">
        <v>236</v>
      </c>
      <c r="D132" t="s">
        <v>35</v>
      </c>
      <c r="E132" t="s">
        <v>13</v>
      </c>
      <c r="F132" t="s">
        <v>14</v>
      </c>
      <c r="G132">
        <v>1</v>
      </c>
      <c r="H132">
        <v>0</v>
      </c>
      <c r="I132">
        <v>850</v>
      </c>
      <c r="J132">
        <v>318.29000000000002</v>
      </c>
    </row>
    <row r="133" spans="1:10" x14ac:dyDescent="0.35">
      <c r="A133" t="s">
        <v>237</v>
      </c>
      <c r="B133" s="2">
        <v>46002</v>
      </c>
      <c r="C133" t="s">
        <v>238</v>
      </c>
      <c r="D133" t="s">
        <v>35</v>
      </c>
      <c r="E133" t="s">
        <v>13</v>
      </c>
      <c r="F133" t="s">
        <v>50</v>
      </c>
      <c r="G133">
        <v>5</v>
      </c>
      <c r="H133">
        <v>0</v>
      </c>
      <c r="I133">
        <v>4250</v>
      </c>
      <c r="J133">
        <v>842.24</v>
      </c>
    </row>
    <row r="134" spans="1:10" x14ac:dyDescent="0.35">
      <c r="A134" t="s">
        <v>239</v>
      </c>
      <c r="B134" s="2">
        <v>45923</v>
      </c>
      <c r="C134" t="s">
        <v>54</v>
      </c>
      <c r="D134" t="s">
        <v>38</v>
      </c>
      <c r="E134" t="s">
        <v>13</v>
      </c>
      <c r="F134" t="s">
        <v>50</v>
      </c>
      <c r="G134">
        <v>4</v>
      </c>
      <c r="H134">
        <v>0.1</v>
      </c>
      <c r="I134">
        <v>1152</v>
      </c>
      <c r="J134">
        <v>449.41</v>
      </c>
    </row>
    <row r="135" spans="1:10" x14ac:dyDescent="0.35">
      <c r="A135" t="s">
        <v>240</v>
      </c>
      <c r="B135" s="2">
        <v>45983</v>
      </c>
      <c r="C135" t="s">
        <v>241</v>
      </c>
      <c r="D135" t="s">
        <v>45</v>
      </c>
      <c r="E135" t="s">
        <v>46</v>
      </c>
      <c r="F135" t="s">
        <v>25</v>
      </c>
      <c r="G135">
        <v>1</v>
      </c>
      <c r="H135">
        <v>0.15</v>
      </c>
      <c r="I135">
        <v>15.3</v>
      </c>
      <c r="J135">
        <v>5.13</v>
      </c>
    </row>
    <row r="136" spans="1:10" x14ac:dyDescent="0.35">
      <c r="A136" t="s">
        <v>242</v>
      </c>
      <c r="B136" s="2">
        <v>46001</v>
      </c>
      <c r="C136" t="s">
        <v>243</v>
      </c>
      <c r="D136" t="s">
        <v>12</v>
      </c>
      <c r="E136" t="s">
        <v>13</v>
      </c>
      <c r="F136" t="s">
        <v>25</v>
      </c>
      <c r="G136">
        <v>2</v>
      </c>
      <c r="H136">
        <v>0.1</v>
      </c>
      <c r="I136">
        <v>63</v>
      </c>
      <c r="J136">
        <v>19.79</v>
      </c>
    </row>
    <row r="137" spans="1:10" x14ac:dyDescent="0.35">
      <c r="A137" t="s">
        <v>244</v>
      </c>
      <c r="B137" s="2">
        <v>45997</v>
      </c>
      <c r="C137" t="s">
        <v>48</v>
      </c>
      <c r="D137" t="s">
        <v>99</v>
      </c>
      <c r="E137" t="s">
        <v>18</v>
      </c>
      <c r="F137" t="s">
        <v>25</v>
      </c>
      <c r="G137">
        <v>5</v>
      </c>
      <c r="H137">
        <v>0</v>
      </c>
      <c r="I137">
        <v>950</v>
      </c>
      <c r="J137">
        <v>284.91000000000003</v>
      </c>
    </row>
    <row r="138" spans="1:10" x14ac:dyDescent="0.35">
      <c r="A138" t="s">
        <v>245</v>
      </c>
      <c r="B138" s="2">
        <v>45823</v>
      </c>
      <c r="C138" t="s">
        <v>82</v>
      </c>
      <c r="D138" t="s">
        <v>12</v>
      </c>
      <c r="E138" t="s">
        <v>13</v>
      </c>
      <c r="F138" t="s">
        <v>50</v>
      </c>
      <c r="G138">
        <v>4</v>
      </c>
      <c r="H138">
        <v>0.2</v>
      </c>
      <c r="I138">
        <v>112</v>
      </c>
      <c r="J138">
        <v>19.91</v>
      </c>
    </row>
    <row r="139" spans="1:10" x14ac:dyDescent="0.35">
      <c r="A139" t="s">
        <v>246</v>
      </c>
      <c r="B139" s="2">
        <v>45869</v>
      </c>
      <c r="C139" t="s">
        <v>57</v>
      </c>
      <c r="D139" t="s">
        <v>67</v>
      </c>
      <c r="E139" t="s">
        <v>13</v>
      </c>
      <c r="F139" t="s">
        <v>50</v>
      </c>
      <c r="G139">
        <v>2</v>
      </c>
      <c r="H139">
        <v>0.2</v>
      </c>
      <c r="I139">
        <v>1920</v>
      </c>
      <c r="J139">
        <v>634.78</v>
      </c>
    </row>
    <row r="140" spans="1:10" x14ac:dyDescent="0.35">
      <c r="A140" t="s">
        <v>247</v>
      </c>
      <c r="B140" s="2">
        <v>45978</v>
      </c>
      <c r="C140" t="s">
        <v>115</v>
      </c>
      <c r="D140" t="s">
        <v>45</v>
      </c>
      <c r="E140" t="s">
        <v>46</v>
      </c>
      <c r="F140" t="s">
        <v>25</v>
      </c>
      <c r="G140">
        <v>1</v>
      </c>
      <c r="H140">
        <v>0.05</v>
      </c>
      <c r="I140">
        <v>17.100000000000001</v>
      </c>
      <c r="J140">
        <v>6.19</v>
      </c>
    </row>
    <row r="141" spans="1:10" x14ac:dyDescent="0.35">
      <c r="A141" t="s">
        <v>248</v>
      </c>
      <c r="B141" s="2">
        <v>45882</v>
      </c>
      <c r="C141" t="s">
        <v>189</v>
      </c>
      <c r="D141" t="s">
        <v>17</v>
      </c>
      <c r="E141" t="s">
        <v>18</v>
      </c>
      <c r="F141" t="s">
        <v>22</v>
      </c>
      <c r="G141">
        <v>4</v>
      </c>
      <c r="H141">
        <v>0</v>
      </c>
      <c r="I141">
        <v>840</v>
      </c>
      <c r="J141">
        <v>370</v>
      </c>
    </row>
    <row r="142" spans="1:10" x14ac:dyDescent="0.35">
      <c r="A142" t="s">
        <v>249</v>
      </c>
      <c r="B142" s="2">
        <v>46021</v>
      </c>
      <c r="C142" t="s">
        <v>87</v>
      </c>
      <c r="D142" t="s">
        <v>28</v>
      </c>
      <c r="E142" t="s">
        <v>18</v>
      </c>
      <c r="F142" t="s">
        <v>14</v>
      </c>
      <c r="G142">
        <v>3</v>
      </c>
      <c r="H142">
        <v>0.2</v>
      </c>
      <c r="I142">
        <v>672</v>
      </c>
      <c r="J142">
        <v>299.37</v>
      </c>
    </row>
    <row r="143" spans="1:10" x14ac:dyDescent="0.35">
      <c r="A143" t="s">
        <v>250</v>
      </c>
      <c r="B143" s="2">
        <v>45773</v>
      </c>
      <c r="C143" t="s">
        <v>251</v>
      </c>
      <c r="D143" t="s">
        <v>12</v>
      </c>
      <c r="E143" t="s">
        <v>13</v>
      </c>
      <c r="F143" t="s">
        <v>50</v>
      </c>
      <c r="G143">
        <v>4</v>
      </c>
      <c r="H143">
        <v>0</v>
      </c>
      <c r="I143">
        <v>140</v>
      </c>
      <c r="J143">
        <v>33.08</v>
      </c>
    </row>
    <row r="144" spans="1:10" x14ac:dyDescent="0.35">
      <c r="A144" t="s">
        <v>252</v>
      </c>
      <c r="B144" s="2">
        <v>45807</v>
      </c>
      <c r="C144" t="s">
        <v>253</v>
      </c>
      <c r="D144" t="s">
        <v>55</v>
      </c>
      <c r="E144" t="s">
        <v>46</v>
      </c>
      <c r="F144" t="s">
        <v>22</v>
      </c>
      <c r="G144">
        <v>3</v>
      </c>
      <c r="H144">
        <v>0.15</v>
      </c>
      <c r="I144">
        <v>612</v>
      </c>
      <c r="J144">
        <v>106.82</v>
      </c>
    </row>
    <row r="145" spans="1:10" x14ac:dyDescent="0.35">
      <c r="A145" t="s">
        <v>254</v>
      </c>
      <c r="B145" s="2">
        <v>45891</v>
      </c>
      <c r="C145" t="s">
        <v>202</v>
      </c>
      <c r="D145" t="s">
        <v>55</v>
      </c>
      <c r="E145" t="s">
        <v>46</v>
      </c>
      <c r="F145" t="s">
        <v>22</v>
      </c>
      <c r="G145">
        <v>2</v>
      </c>
      <c r="H145">
        <v>0.15</v>
      </c>
      <c r="I145">
        <v>408</v>
      </c>
      <c r="J145">
        <v>157.94</v>
      </c>
    </row>
    <row r="146" spans="1:10" x14ac:dyDescent="0.35">
      <c r="A146" t="s">
        <v>255</v>
      </c>
      <c r="B146" s="2">
        <v>45693</v>
      </c>
      <c r="C146" t="s">
        <v>66</v>
      </c>
      <c r="D146" t="s">
        <v>35</v>
      </c>
      <c r="E146" t="s">
        <v>13</v>
      </c>
      <c r="F146" t="s">
        <v>25</v>
      </c>
      <c r="G146">
        <v>4</v>
      </c>
      <c r="H146">
        <v>0.1</v>
      </c>
      <c r="I146">
        <v>3060</v>
      </c>
      <c r="J146">
        <v>433.6</v>
      </c>
    </row>
    <row r="147" spans="1:10" x14ac:dyDescent="0.35">
      <c r="A147" t="s">
        <v>256</v>
      </c>
      <c r="B147" s="2">
        <v>45659</v>
      </c>
      <c r="C147" t="s">
        <v>145</v>
      </c>
      <c r="D147" t="s">
        <v>35</v>
      </c>
      <c r="E147" t="s">
        <v>13</v>
      </c>
      <c r="F147" t="s">
        <v>50</v>
      </c>
      <c r="G147">
        <v>3</v>
      </c>
      <c r="H147">
        <v>0.2</v>
      </c>
      <c r="I147">
        <v>2040</v>
      </c>
      <c r="J147">
        <v>527.6</v>
      </c>
    </row>
    <row r="148" spans="1:10" x14ac:dyDescent="0.35">
      <c r="A148" t="s">
        <v>257</v>
      </c>
      <c r="B148" s="2">
        <v>45734</v>
      </c>
      <c r="C148" t="s">
        <v>95</v>
      </c>
      <c r="D148" t="s">
        <v>45</v>
      </c>
      <c r="E148" t="s">
        <v>46</v>
      </c>
      <c r="F148" t="s">
        <v>50</v>
      </c>
      <c r="G148">
        <v>5</v>
      </c>
      <c r="H148">
        <v>0.15</v>
      </c>
      <c r="I148">
        <v>76.5</v>
      </c>
      <c r="J148">
        <v>25.71</v>
      </c>
    </row>
    <row r="149" spans="1:10" x14ac:dyDescent="0.35">
      <c r="A149" t="s">
        <v>258</v>
      </c>
      <c r="B149" s="2">
        <v>45891</v>
      </c>
      <c r="C149" t="s">
        <v>37</v>
      </c>
      <c r="D149" t="s">
        <v>49</v>
      </c>
      <c r="E149" t="s">
        <v>13</v>
      </c>
      <c r="F149" t="s">
        <v>50</v>
      </c>
      <c r="G149">
        <v>2</v>
      </c>
      <c r="H149">
        <v>0.05</v>
      </c>
      <c r="I149">
        <v>133</v>
      </c>
      <c r="J149">
        <v>34.75</v>
      </c>
    </row>
    <row r="150" spans="1:10" x14ac:dyDescent="0.35">
      <c r="A150" t="s">
        <v>259</v>
      </c>
      <c r="B150" s="2">
        <v>45680</v>
      </c>
      <c r="C150" t="s">
        <v>145</v>
      </c>
      <c r="D150" t="s">
        <v>49</v>
      </c>
      <c r="E150" t="s">
        <v>13</v>
      </c>
      <c r="F150" t="s">
        <v>22</v>
      </c>
      <c r="G150">
        <v>4</v>
      </c>
      <c r="H150">
        <v>0.15</v>
      </c>
      <c r="I150">
        <v>238</v>
      </c>
      <c r="J150">
        <v>76.78</v>
      </c>
    </row>
    <row r="151" spans="1:10" x14ac:dyDescent="0.35">
      <c r="A151" t="s">
        <v>260</v>
      </c>
      <c r="B151" s="2">
        <v>45911</v>
      </c>
      <c r="C151" t="s">
        <v>241</v>
      </c>
      <c r="D151" t="s">
        <v>67</v>
      </c>
      <c r="E151" t="s">
        <v>13</v>
      </c>
      <c r="F151" t="s">
        <v>14</v>
      </c>
      <c r="G151">
        <v>2</v>
      </c>
      <c r="H151">
        <v>0.2</v>
      </c>
      <c r="I151">
        <v>1920</v>
      </c>
      <c r="J151">
        <v>252.35</v>
      </c>
    </row>
    <row r="152" spans="1:10" x14ac:dyDescent="0.35">
      <c r="A152" t="s">
        <v>261</v>
      </c>
      <c r="B152" s="2">
        <v>45883</v>
      </c>
      <c r="C152" t="s">
        <v>154</v>
      </c>
      <c r="D152" t="s">
        <v>12</v>
      </c>
      <c r="E152" t="s">
        <v>13</v>
      </c>
      <c r="F152" t="s">
        <v>50</v>
      </c>
      <c r="G152">
        <v>5</v>
      </c>
      <c r="H152">
        <v>0.15</v>
      </c>
      <c r="I152">
        <v>148.75</v>
      </c>
      <c r="J152">
        <v>66.180000000000007</v>
      </c>
    </row>
    <row r="153" spans="1:10" x14ac:dyDescent="0.35">
      <c r="A153" t="s">
        <v>262</v>
      </c>
      <c r="B153" s="2">
        <v>45993</v>
      </c>
      <c r="C153" t="s">
        <v>113</v>
      </c>
      <c r="D153" t="s">
        <v>28</v>
      </c>
      <c r="E153" t="s">
        <v>18</v>
      </c>
      <c r="F153" t="s">
        <v>25</v>
      </c>
      <c r="G153">
        <v>1</v>
      </c>
      <c r="H153">
        <v>0.15</v>
      </c>
      <c r="I153">
        <v>238</v>
      </c>
      <c r="J153">
        <v>45.72</v>
      </c>
    </row>
    <row r="154" spans="1:10" x14ac:dyDescent="0.35">
      <c r="A154" t="s">
        <v>263</v>
      </c>
      <c r="B154" s="2">
        <v>45977</v>
      </c>
      <c r="C154" t="s">
        <v>236</v>
      </c>
      <c r="D154" t="s">
        <v>17</v>
      </c>
      <c r="E154" t="s">
        <v>18</v>
      </c>
      <c r="F154" t="s">
        <v>50</v>
      </c>
      <c r="G154">
        <v>4</v>
      </c>
      <c r="H154">
        <v>0</v>
      </c>
      <c r="I154">
        <v>840</v>
      </c>
      <c r="J154">
        <v>141.88999999999999</v>
      </c>
    </row>
    <row r="155" spans="1:10" x14ac:dyDescent="0.35">
      <c r="A155" t="s">
        <v>264</v>
      </c>
      <c r="B155" s="2">
        <v>45820</v>
      </c>
      <c r="C155" t="s">
        <v>80</v>
      </c>
      <c r="D155" t="s">
        <v>38</v>
      </c>
      <c r="E155" t="s">
        <v>13</v>
      </c>
      <c r="F155" t="s">
        <v>22</v>
      </c>
      <c r="G155">
        <v>4</v>
      </c>
      <c r="H155">
        <v>0.2</v>
      </c>
      <c r="I155">
        <v>1024</v>
      </c>
      <c r="J155">
        <v>448.67</v>
      </c>
    </row>
    <row r="156" spans="1:10" x14ac:dyDescent="0.35">
      <c r="A156" t="s">
        <v>265</v>
      </c>
      <c r="B156" s="2">
        <v>45981</v>
      </c>
      <c r="C156" t="s">
        <v>64</v>
      </c>
      <c r="D156" t="s">
        <v>38</v>
      </c>
      <c r="E156" t="s">
        <v>13</v>
      </c>
      <c r="F156" t="s">
        <v>14</v>
      </c>
      <c r="G156">
        <v>3</v>
      </c>
      <c r="H156">
        <v>0.05</v>
      </c>
      <c r="I156">
        <v>912</v>
      </c>
      <c r="J156">
        <v>185.65</v>
      </c>
    </row>
    <row r="157" spans="1:10" x14ac:dyDescent="0.35">
      <c r="A157" t="s">
        <v>266</v>
      </c>
      <c r="B157" s="2">
        <v>45982</v>
      </c>
      <c r="C157" t="s">
        <v>215</v>
      </c>
      <c r="D157" t="s">
        <v>17</v>
      </c>
      <c r="E157" t="s">
        <v>18</v>
      </c>
      <c r="F157" t="s">
        <v>14</v>
      </c>
      <c r="G157">
        <v>1</v>
      </c>
      <c r="H157">
        <v>0.15</v>
      </c>
      <c r="I157">
        <v>178.5</v>
      </c>
      <c r="J157">
        <v>70.53</v>
      </c>
    </row>
    <row r="158" spans="1:10" x14ac:dyDescent="0.35">
      <c r="A158" t="s">
        <v>267</v>
      </c>
      <c r="B158" s="2">
        <v>45681</v>
      </c>
      <c r="C158" t="s">
        <v>64</v>
      </c>
      <c r="D158" t="s">
        <v>49</v>
      </c>
      <c r="E158" t="s">
        <v>13</v>
      </c>
      <c r="F158" t="s">
        <v>22</v>
      </c>
      <c r="G158">
        <v>1</v>
      </c>
      <c r="H158">
        <v>0.1</v>
      </c>
      <c r="I158">
        <v>63</v>
      </c>
      <c r="J158">
        <v>20.9</v>
      </c>
    </row>
    <row r="159" spans="1:10" x14ac:dyDescent="0.35">
      <c r="A159" t="s">
        <v>268</v>
      </c>
      <c r="B159" s="2">
        <v>45783</v>
      </c>
      <c r="C159" t="s">
        <v>269</v>
      </c>
      <c r="D159" t="s">
        <v>55</v>
      </c>
      <c r="E159" t="s">
        <v>46</v>
      </c>
      <c r="F159" t="s">
        <v>22</v>
      </c>
      <c r="G159">
        <v>4</v>
      </c>
      <c r="H159">
        <v>0.2</v>
      </c>
      <c r="I159">
        <v>768</v>
      </c>
      <c r="J159">
        <v>172.8</v>
      </c>
    </row>
    <row r="160" spans="1:10" x14ac:dyDescent="0.35">
      <c r="A160" t="s">
        <v>270</v>
      </c>
      <c r="B160" s="2">
        <v>45747</v>
      </c>
      <c r="C160" t="s">
        <v>109</v>
      </c>
      <c r="D160" t="s">
        <v>12</v>
      </c>
      <c r="E160" t="s">
        <v>13</v>
      </c>
      <c r="F160" t="s">
        <v>50</v>
      </c>
      <c r="G160">
        <v>5</v>
      </c>
      <c r="H160">
        <v>0.15</v>
      </c>
      <c r="I160">
        <v>148.75</v>
      </c>
      <c r="J160">
        <v>36.520000000000003</v>
      </c>
    </row>
    <row r="161" spans="1:10" x14ac:dyDescent="0.35">
      <c r="A161" t="s">
        <v>271</v>
      </c>
      <c r="B161" s="2">
        <v>45956</v>
      </c>
      <c r="C161" t="s">
        <v>101</v>
      </c>
      <c r="D161" t="s">
        <v>28</v>
      </c>
      <c r="E161" t="s">
        <v>18</v>
      </c>
      <c r="F161" t="s">
        <v>25</v>
      </c>
      <c r="G161">
        <v>2</v>
      </c>
      <c r="H161">
        <v>0.15</v>
      </c>
      <c r="I161">
        <v>476</v>
      </c>
      <c r="J161">
        <v>114</v>
      </c>
    </row>
    <row r="162" spans="1:10" x14ac:dyDescent="0.35">
      <c r="A162" t="s">
        <v>272</v>
      </c>
      <c r="B162" s="2">
        <v>45999</v>
      </c>
      <c r="C162" t="s">
        <v>273</v>
      </c>
      <c r="D162" t="s">
        <v>67</v>
      </c>
      <c r="E162" t="s">
        <v>13</v>
      </c>
      <c r="F162" t="s">
        <v>14</v>
      </c>
      <c r="G162">
        <v>4</v>
      </c>
      <c r="H162">
        <v>0.1</v>
      </c>
      <c r="I162">
        <v>4320</v>
      </c>
      <c r="J162">
        <v>978</v>
      </c>
    </row>
    <row r="163" spans="1:10" x14ac:dyDescent="0.35">
      <c r="A163" t="s">
        <v>274</v>
      </c>
      <c r="B163" s="2">
        <v>45884</v>
      </c>
      <c r="C163" t="s">
        <v>93</v>
      </c>
      <c r="D163" t="s">
        <v>49</v>
      </c>
      <c r="E163" t="s">
        <v>13</v>
      </c>
      <c r="F163" t="s">
        <v>25</v>
      </c>
      <c r="G163">
        <v>5</v>
      </c>
      <c r="H163">
        <v>0.1</v>
      </c>
      <c r="I163">
        <v>315</v>
      </c>
      <c r="J163">
        <v>75.33</v>
      </c>
    </row>
    <row r="164" spans="1:10" x14ac:dyDescent="0.35">
      <c r="A164" t="s">
        <v>275</v>
      </c>
      <c r="B164" s="2">
        <v>45891</v>
      </c>
      <c r="C164" t="s">
        <v>122</v>
      </c>
      <c r="D164" t="s">
        <v>35</v>
      </c>
      <c r="E164" t="s">
        <v>13</v>
      </c>
      <c r="F164" t="s">
        <v>22</v>
      </c>
      <c r="G164">
        <v>2</v>
      </c>
      <c r="H164">
        <v>0.15</v>
      </c>
      <c r="I164">
        <v>1445</v>
      </c>
      <c r="J164">
        <v>243.34</v>
      </c>
    </row>
    <row r="165" spans="1:10" x14ac:dyDescent="0.35">
      <c r="A165" t="s">
        <v>276</v>
      </c>
      <c r="B165" s="2">
        <v>45853</v>
      </c>
      <c r="C165" t="s">
        <v>135</v>
      </c>
      <c r="D165" t="s">
        <v>83</v>
      </c>
      <c r="E165" t="s">
        <v>46</v>
      </c>
      <c r="F165" t="s">
        <v>25</v>
      </c>
      <c r="G165">
        <v>3</v>
      </c>
      <c r="H165">
        <v>0.2</v>
      </c>
      <c r="I165">
        <v>60</v>
      </c>
      <c r="J165">
        <v>21.14</v>
      </c>
    </row>
    <row r="166" spans="1:10" x14ac:dyDescent="0.35">
      <c r="A166" t="s">
        <v>277</v>
      </c>
      <c r="B166" s="2">
        <v>45669</v>
      </c>
      <c r="C166" t="s">
        <v>278</v>
      </c>
      <c r="D166" t="s">
        <v>38</v>
      </c>
      <c r="E166" t="s">
        <v>13</v>
      </c>
      <c r="F166" t="s">
        <v>14</v>
      </c>
      <c r="G166">
        <v>4</v>
      </c>
      <c r="H166">
        <v>0.1</v>
      </c>
      <c r="I166">
        <v>1152</v>
      </c>
      <c r="J166">
        <v>515.32000000000005</v>
      </c>
    </row>
    <row r="167" spans="1:10" x14ac:dyDescent="0.35">
      <c r="A167" t="s">
        <v>279</v>
      </c>
      <c r="B167" s="2">
        <v>45968</v>
      </c>
      <c r="C167" t="s">
        <v>37</v>
      </c>
      <c r="D167" t="s">
        <v>17</v>
      </c>
      <c r="E167" t="s">
        <v>18</v>
      </c>
      <c r="F167" t="s">
        <v>25</v>
      </c>
      <c r="G167">
        <v>4</v>
      </c>
      <c r="H167">
        <v>0.1</v>
      </c>
      <c r="I167">
        <v>756</v>
      </c>
      <c r="J167">
        <v>146.66999999999999</v>
      </c>
    </row>
    <row r="168" spans="1:10" x14ac:dyDescent="0.35">
      <c r="A168" t="s">
        <v>280</v>
      </c>
      <c r="B168" s="2">
        <v>45770</v>
      </c>
      <c r="C168" t="s">
        <v>57</v>
      </c>
      <c r="D168" t="s">
        <v>38</v>
      </c>
      <c r="E168" t="s">
        <v>13</v>
      </c>
      <c r="F168" t="s">
        <v>22</v>
      </c>
      <c r="G168">
        <v>2</v>
      </c>
      <c r="H168">
        <v>0.2</v>
      </c>
      <c r="I168">
        <v>512</v>
      </c>
      <c r="J168">
        <v>188.05</v>
      </c>
    </row>
    <row r="169" spans="1:10" x14ac:dyDescent="0.35">
      <c r="A169" t="s">
        <v>281</v>
      </c>
      <c r="B169" s="2">
        <v>45979</v>
      </c>
      <c r="C169" t="s">
        <v>16</v>
      </c>
      <c r="D169" t="s">
        <v>12</v>
      </c>
      <c r="E169" t="s">
        <v>13</v>
      </c>
      <c r="F169" t="s">
        <v>25</v>
      </c>
      <c r="G169">
        <v>1</v>
      </c>
      <c r="H169">
        <v>0.1</v>
      </c>
      <c r="I169">
        <v>31.5</v>
      </c>
      <c r="J169">
        <v>5.98</v>
      </c>
    </row>
    <row r="170" spans="1:10" x14ac:dyDescent="0.35">
      <c r="A170" t="s">
        <v>282</v>
      </c>
      <c r="B170" s="2">
        <v>45725</v>
      </c>
      <c r="C170" t="s">
        <v>238</v>
      </c>
      <c r="D170" t="s">
        <v>12</v>
      </c>
      <c r="E170" t="s">
        <v>13</v>
      </c>
      <c r="F170" t="s">
        <v>22</v>
      </c>
      <c r="G170">
        <v>3</v>
      </c>
      <c r="H170">
        <v>0.1</v>
      </c>
      <c r="I170">
        <v>94.5</v>
      </c>
      <c r="J170">
        <v>19.21</v>
      </c>
    </row>
    <row r="171" spans="1:10" x14ac:dyDescent="0.35">
      <c r="A171" t="s">
        <v>283</v>
      </c>
      <c r="B171" s="2">
        <v>45725</v>
      </c>
      <c r="C171" t="s">
        <v>231</v>
      </c>
      <c r="D171" t="s">
        <v>55</v>
      </c>
      <c r="E171" t="s">
        <v>46</v>
      </c>
      <c r="F171" t="s">
        <v>22</v>
      </c>
      <c r="G171">
        <v>3</v>
      </c>
      <c r="H171">
        <v>0.2</v>
      </c>
      <c r="I171">
        <v>576</v>
      </c>
      <c r="J171">
        <v>163.82</v>
      </c>
    </row>
    <row r="172" spans="1:10" x14ac:dyDescent="0.35">
      <c r="A172" t="s">
        <v>284</v>
      </c>
      <c r="B172" s="2">
        <v>45789</v>
      </c>
      <c r="C172" t="s">
        <v>89</v>
      </c>
      <c r="D172" t="s">
        <v>45</v>
      </c>
      <c r="E172" t="s">
        <v>46</v>
      </c>
      <c r="F172" t="s">
        <v>14</v>
      </c>
      <c r="G172">
        <v>3</v>
      </c>
      <c r="H172">
        <v>0.1</v>
      </c>
      <c r="I172">
        <v>48.6</v>
      </c>
      <c r="J172">
        <v>8.9700000000000006</v>
      </c>
    </row>
    <row r="173" spans="1:10" x14ac:dyDescent="0.35">
      <c r="A173" t="s">
        <v>285</v>
      </c>
      <c r="B173" s="2">
        <v>45730</v>
      </c>
      <c r="C173" t="s">
        <v>286</v>
      </c>
      <c r="D173" t="s">
        <v>21</v>
      </c>
      <c r="E173" t="s">
        <v>18</v>
      </c>
      <c r="F173" t="s">
        <v>14</v>
      </c>
      <c r="G173">
        <v>4</v>
      </c>
      <c r="H173">
        <v>0.2</v>
      </c>
      <c r="I173">
        <v>176</v>
      </c>
      <c r="J173">
        <v>57.96</v>
      </c>
    </row>
    <row r="174" spans="1:10" x14ac:dyDescent="0.35">
      <c r="A174" t="s">
        <v>287</v>
      </c>
      <c r="B174" s="2">
        <v>45793</v>
      </c>
      <c r="C174" t="s">
        <v>288</v>
      </c>
      <c r="D174" t="s">
        <v>55</v>
      </c>
      <c r="E174" t="s">
        <v>46</v>
      </c>
      <c r="F174" t="s">
        <v>25</v>
      </c>
      <c r="G174">
        <v>1</v>
      </c>
      <c r="H174">
        <v>0.15</v>
      </c>
      <c r="I174">
        <v>204</v>
      </c>
      <c r="J174">
        <v>66.989999999999995</v>
      </c>
    </row>
    <row r="175" spans="1:10" x14ac:dyDescent="0.35">
      <c r="A175" t="s">
        <v>289</v>
      </c>
      <c r="B175" s="2">
        <v>45957</v>
      </c>
      <c r="C175" t="s">
        <v>253</v>
      </c>
      <c r="D175" t="s">
        <v>99</v>
      </c>
      <c r="E175" t="s">
        <v>18</v>
      </c>
      <c r="F175" t="s">
        <v>14</v>
      </c>
      <c r="G175">
        <v>3</v>
      </c>
      <c r="H175">
        <v>0</v>
      </c>
      <c r="I175">
        <v>570</v>
      </c>
      <c r="J175">
        <v>129.56</v>
      </c>
    </row>
    <row r="176" spans="1:10" x14ac:dyDescent="0.35">
      <c r="A176" t="s">
        <v>290</v>
      </c>
      <c r="B176" s="2">
        <v>45975</v>
      </c>
      <c r="C176" t="s">
        <v>80</v>
      </c>
      <c r="D176" t="s">
        <v>55</v>
      </c>
      <c r="E176" t="s">
        <v>46</v>
      </c>
      <c r="F176" t="s">
        <v>50</v>
      </c>
      <c r="G176">
        <v>3</v>
      </c>
      <c r="H176">
        <v>0.2</v>
      </c>
      <c r="I176">
        <v>576</v>
      </c>
      <c r="J176">
        <v>217.12</v>
      </c>
    </row>
    <row r="177" spans="1:10" x14ac:dyDescent="0.35">
      <c r="A177" t="s">
        <v>291</v>
      </c>
      <c r="B177" s="2">
        <v>46016</v>
      </c>
      <c r="C177" t="s">
        <v>16</v>
      </c>
      <c r="D177" t="s">
        <v>35</v>
      </c>
      <c r="E177" t="s">
        <v>13</v>
      </c>
      <c r="F177" t="s">
        <v>25</v>
      </c>
      <c r="G177">
        <v>4</v>
      </c>
      <c r="H177">
        <v>0</v>
      </c>
      <c r="I177">
        <v>3400</v>
      </c>
      <c r="J177">
        <v>1373.17</v>
      </c>
    </row>
    <row r="178" spans="1:10" x14ac:dyDescent="0.35">
      <c r="A178" t="s">
        <v>292</v>
      </c>
      <c r="B178" s="2">
        <v>45910</v>
      </c>
      <c r="C178" t="s">
        <v>11</v>
      </c>
      <c r="D178" t="s">
        <v>12</v>
      </c>
      <c r="E178" t="s">
        <v>13</v>
      </c>
      <c r="F178" t="s">
        <v>50</v>
      </c>
      <c r="G178">
        <v>1</v>
      </c>
      <c r="H178">
        <v>0.05</v>
      </c>
      <c r="I178">
        <v>33.25</v>
      </c>
      <c r="J178">
        <v>5.23</v>
      </c>
    </row>
    <row r="179" spans="1:10" x14ac:dyDescent="0.35">
      <c r="A179" t="s">
        <v>293</v>
      </c>
      <c r="B179" s="2">
        <v>45890</v>
      </c>
      <c r="C179" t="s">
        <v>198</v>
      </c>
      <c r="D179" t="s">
        <v>49</v>
      </c>
      <c r="E179" t="s">
        <v>13</v>
      </c>
      <c r="F179" t="s">
        <v>22</v>
      </c>
      <c r="G179">
        <v>5</v>
      </c>
      <c r="H179">
        <v>0.15</v>
      </c>
      <c r="I179">
        <v>297.5</v>
      </c>
      <c r="J179">
        <v>76.209999999999994</v>
      </c>
    </row>
    <row r="180" spans="1:10" x14ac:dyDescent="0.35">
      <c r="A180" t="s">
        <v>294</v>
      </c>
      <c r="B180" s="2">
        <v>45870</v>
      </c>
      <c r="C180" t="s">
        <v>295</v>
      </c>
      <c r="D180" t="s">
        <v>38</v>
      </c>
      <c r="E180" t="s">
        <v>13</v>
      </c>
      <c r="F180" t="s">
        <v>14</v>
      </c>
      <c r="G180">
        <v>1</v>
      </c>
      <c r="H180">
        <v>0.15</v>
      </c>
      <c r="I180">
        <v>272</v>
      </c>
      <c r="J180">
        <v>67.14</v>
      </c>
    </row>
    <row r="181" spans="1:10" x14ac:dyDescent="0.35">
      <c r="A181" t="s">
        <v>296</v>
      </c>
      <c r="B181" s="2">
        <v>46011</v>
      </c>
      <c r="C181" t="s">
        <v>109</v>
      </c>
      <c r="D181" t="s">
        <v>49</v>
      </c>
      <c r="E181" t="s">
        <v>13</v>
      </c>
      <c r="F181" t="s">
        <v>25</v>
      </c>
      <c r="G181">
        <v>2</v>
      </c>
      <c r="H181">
        <v>0.15</v>
      </c>
      <c r="I181">
        <v>119</v>
      </c>
      <c r="J181">
        <v>36.090000000000003</v>
      </c>
    </row>
    <row r="182" spans="1:10" x14ac:dyDescent="0.35">
      <c r="A182" t="s">
        <v>297</v>
      </c>
      <c r="B182" s="2">
        <v>45708</v>
      </c>
      <c r="C182" t="s">
        <v>192</v>
      </c>
      <c r="D182" t="s">
        <v>38</v>
      </c>
      <c r="E182" t="s">
        <v>13</v>
      </c>
      <c r="F182" t="s">
        <v>25</v>
      </c>
      <c r="G182">
        <v>3</v>
      </c>
      <c r="H182">
        <v>0.2</v>
      </c>
      <c r="I182">
        <v>768</v>
      </c>
      <c r="J182">
        <v>117.07</v>
      </c>
    </row>
    <row r="183" spans="1:10" x14ac:dyDescent="0.35">
      <c r="A183" t="s">
        <v>298</v>
      </c>
      <c r="B183" s="2">
        <v>45689</v>
      </c>
      <c r="C183" t="s">
        <v>101</v>
      </c>
      <c r="D183" t="s">
        <v>99</v>
      </c>
      <c r="E183" t="s">
        <v>18</v>
      </c>
      <c r="F183" t="s">
        <v>14</v>
      </c>
      <c r="G183">
        <v>3</v>
      </c>
      <c r="H183">
        <v>0.05</v>
      </c>
      <c r="I183">
        <v>541.5</v>
      </c>
      <c r="J183">
        <v>70.66</v>
      </c>
    </row>
    <row r="184" spans="1:10" x14ac:dyDescent="0.35">
      <c r="A184" t="s">
        <v>299</v>
      </c>
      <c r="B184" s="2">
        <v>45997</v>
      </c>
      <c r="C184" t="s">
        <v>241</v>
      </c>
      <c r="D184" t="s">
        <v>21</v>
      </c>
      <c r="E184" t="s">
        <v>18</v>
      </c>
      <c r="F184" t="s">
        <v>22</v>
      </c>
      <c r="G184">
        <v>5</v>
      </c>
      <c r="H184">
        <v>0</v>
      </c>
      <c r="I184">
        <v>275</v>
      </c>
      <c r="J184">
        <v>119.16</v>
      </c>
    </row>
    <row r="185" spans="1:10" x14ac:dyDescent="0.35">
      <c r="A185" t="s">
        <v>300</v>
      </c>
      <c r="B185" s="2">
        <v>45722</v>
      </c>
      <c r="C185" t="s">
        <v>95</v>
      </c>
      <c r="D185" t="s">
        <v>83</v>
      </c>
      <c r="E185" t="s">
        <v>46</v>
      </c>
      <c r="F185" t="s">
        <v>22</v>
      </c>
      <c r="G185">
        <v>2</v>
      </c>
      <c r="H185">
        <v>0</v>
      </c>
      <c r="I185">
        <v>50</v>
      </c>
      <c r="J185">
        <v>8.81</v>
      </c>
    </row>
    <row r="186" spans="1:10" x14ac:dyDescent="0.35">
      <c r="A186" t="s">
        <v>301</v>
      </c>
      <c r="B186" s="2">
        <v>45958</v>
      </c>
      <c r="C186" t="s">
        <v>202</v>
      </c>
      <c r="D186" t="s">
        <v>21</v>
      </c>
      <c r="E186" t="s">
        <v>18</v>
      </c>
      <c r="F186" t="s">
        <v>14</v>
      </c>
      <c r="G186">
        <v>2</v>
      </c>
      <c r="H186">
        <v>0.1</v>
      </c>
      <c r="I186">
        <v>99</v>
      </c>
      <c r="J186">
        <v>19.25</v>
      </c>
    </row>
    <row r="187" spans="1:10" x14ac:dyDescent="0.35">
      <c r="A187" t="s">
        <v>302</v>
      </c>
      <c r="B187" s="2">
        <v>45799</v>
      </c>
      <c r="C187" t="s">
        <v>238</v>
      </c>
      <c r="D187" t="s">
        <v>28</v>
      </c>
      <c r="E187" t="s">
        <v>18</v>
      </c>
      <c r="F187" t="s">
        <v>14</v>
      </c>
      <c r="G187">
        <v>2</v>
      </c>
      <c r="H187">
        <v>0.2</v>
      </c>
      <c r="I187">
        <v>448</v>
      </c>
      <c r="J187">
        <v>164.54</v>
      </c>
    </row>
    <row r="188" spans="1:10" x14ac:dyDescent="0.35">
      <c r="A188" t="s">
        <v>303</v>
      </c>
      <c r="B188" s="2">
        <v>45996</v>
      </c>
      <c r="C188" t="s">
        <v>109</v>
      </c>
      <c r="D188" t="s">
        <v>67</v>
      </c>
      <c r="E188" t="s">
        <v>13</v>
      </c>
      <c r="F188" t="s">
        <v>25</v>
      </c>
      <c r="G188">
        <v>2</v>
      </c>
      <c r="H188">
        <v>0</v>
      </c>
      <c r="I188">
        <v>2400</v>
      </c>
      <c r="J188">
        <v>796.27</v>
      </c>
    </row>
    <row r="189" spans="1:10" x14ac:dyDescent="0.35">
      <c r="A189" t="s">
        <v>304</v>
      </c>
      <c r="B189" s="2">
        <v>45666</v>
      </c>
      <c r="C189" t="s">
        <v>178</v>
      </c>
      <c r="D189" t="s">
        <v>28</v>
      </c>
      <c r="E189" t="s">
        <v>18</v>
      </c>
      <c r="F189" t="s">
        <v>14</v>
      </c>
      <c r="G189">
        <v>3</v>
      </c>
      <c r="H189">
        <v>0</v>
      </c>
      <c r="I189">
        <v>840</v>
      </c>
      <c r="J189">
        <v>342.86</v>
      </c>
    </row>
    <row r="190" spans="1:10" x14ac:dyDescent="0.35">
      <c r="A190" t="s">
        <v>305</v>
      </c>
      <c r="B190" s="2">
        <v>45690</v>
      </c>
      <c r="C190" t="s">
        <v>122</v>
      </c>
      <c r="D190" t="s">
        <v>45</v>
      </c>
      <c r="E190" t="s">
        <v>46</v>
      </c>
      <c r="F190" t="s">
        <v>50</v>
      </c>
      <c r="G190">
        <v>4</v>
      </c>
      <c r="H190">
        <v>0.1</v>
      </c>
      <c r="I190">
        <v>64.8</v>
      </c>
      <c r="J190">
        <v>18.18</v>
      </c>
    </row>
    <row r="191" spans="1:10" x14ac:dyDescent="0.35">
      <c r="A191" t="s">
        <v>306</v>
      </c>
      <c r="B191" s="2">
        <v>45915</v>
      </c>
      <c r="C191" t="s">
        <v>145</v>
      </c>
      <c r="D191" t="s">
        <v>21</v>
      </c>
      <c r="E191" t="s">
        <v>18</v>
      </c>
      <c r="F191" t="s">
        <v>25</v>
      </c>
      <c r="G191">
        <v>5</v>
      </c>
      <c r="H191">
        <v>0</v>
      </c>
      <c r="I191">
        <v>275</v>
      </c>
      <c r="J191">
        <v>57.75</v>
      </c>
    </row>
    <row r="192" spans="1:10" x14ac:dyDescent="0.35">
      <c r="A192" t="s">
        <v>307</v>
      </c>
      <c r="B192" s="2">
        <v>45892</v>
      </c>
      <c r="C192" t="s">
        <v>98</v>
      </c>
      <c r="D192" t="s">
        <v>38</v>
      </c>
      <c r="E192" t="s">
        <v>13</v>
      </c>
      <c r="F192" t="s">
        <v>50</v>
      </c>
      <c r="G192">
        <v>1</v>
      </c>
      <c r="H192">
        <v>0</v>
      </c>
      <c r="I192">
        <v>320</v>
      </c>
      <c r="J192">
        <v>38.549999999999997</v>
      </c>
    </row>
    <row r="193" spans="1:10" x14ac:dyDescent="0.35">
      <c r="A193" t="s">
        <v>308</v>
      </c>
      <c r="B193" s="2">
        <v>46009</v>
      </c>
      <c r="C193" t="s">
        <v>167</v>
      </c>
      <c r="D193" t="s">
        <v>12</v>
      </c>
      <c r="E193" t="s">
        <v>13</v>
      </c>
      <c r="F193" t="s">
        <v>25</v>
      </c>
      <c r="G193">
        <v>4</v>
      </c>
      <c r="H193">
        <v>0.15</v>
      </c>
      <c r="I193">
        <v>119</v>
      </c>
      <c r="J193">
        <v>50.66</v>
      </c>
    </row>
    <row r="194" spans="1:10" x14ac:dyDescent="0.35">
      <c r="A194" t="s">
        <v>309</v>
      </c>
      <c r="B194" s="2">
        <v>45969</v>
      </c>
      <c r="C194" t="s">
        <v>44</v>
      </c>
      <c r="D194" t="s">
        <v>28</v>
      </c>
      <c r="E194" t="s">
        <v>18</v>
      </c>
      <c r="F194" t="s">
        <v>25</v>
      </c>
      <c r="G194">
        <v>1</v>
      </c>
      <c r="H194">
        <v>0.05</v>
      </c>
      <c r="I194">
        <v>266</v>
      </c>
      <c r="J194">
        <v>95.56</v>
      </c>
    </row>
    <row r="195" spans="1:10" x14ac:dyDescent="0.35">
      <c r="A195" t="s">
        <v>310</v>
      </c>
      <c r="B195" s="2">
        <v>45853</v>
      </c>
      <c r="C195" t="s">
        <v>185</v>
      </c>
      <c r="D195" t="s">
        <v>83</v>
      </c>
      <c r="E195" t="s">
        <v>46</v>
      </c>
      <c r="F195" t="s">
        <v>50</v>
      </c>
      <c r="G195">
        <v>5</v>
      </c>
      <c r="H195">
        <v>0.1</v>
      </c>
      <c r="I195">
        <v>112.5</v>
      </c>
      <c r="J195">
        <v>33.78</v>
      </c>
    </row>
    <row r="196" spans="1:10" x14ac:dyDescent="0.35">
      <c r="A196" t="s">
        <v>311</v>
      </c>
      <c r="B196" s="2">
        <v>45708</v>
      </c>
      <c r="C196" t="s">
        <v>27</v>
      </c>
      <c r="D196" t="s">
        <v>17</v>
      </c>
      <c r="E196" t="s">
        <v>18</v>
      </c>
      <c r="F196" t="s">
        <v>50</v>
      </c>
      <c r="G196">
        <v>1</v>
      </c>
      <c r="H196">
        <v>0.2</v>
      </c>
      <c r="I196">
        <v>168</v>
      </c>
      <c r="J196">
        <v>35.64</v>
      </c>
    </row>
    <row r="197" spans="1:10" x14ac:dyDescent="0.35">
      <c r="A197" t="s">
        <v>312</v>
      </c>
      <c r="B197" s="2">
        <v>45889</v>
      </c>
      <c r="C197" t="s">
        <v>98</v>
      </c>
      <c r="D197" t="s">
        <v>21</v>
      </c>
      <c r="E197" t="s">
        <v>18</v>
      </c>
      <c r="F197" t="s">
        <v>50</v>
      </c>
      <c r="G197">
        <v>4</v>
      </c>
      <c r="H197">
        <v>0.1</v>
      </c>
      <c r="I197">
        <v>198</v>
      </c>
      <c r="J197">
        <v>35.04</v>
      </c>
    </row>
    <row r="198" spans="1:10" x14ac:dyDescent="0.35">
      <c r="A198" t="s">
        <v>313</v>
      </c>
      <c r="B198" s="2">
        <v>45706</v>
      </c>
      <c r="C198" t="s">
        <v>69</v>
      </c>
      <c r="D198" t="s">
        <v>49</v>
      </c>
      <c r="E198" t="s">
        <v>13</v>
      </c>
      <c r="F198" t="s">
        <v>22</v>
      </c>
      <c r="G198">
        <v>4</v>
      </c>
      <c r="H198">
        <v>0.1</v>
      </c>
      <c r="I198">
        <v>252</v>
      </c>
      <c r="J198">
        <v>58.09</v>
      </c>
    </row>
    <row r="199" spans="1:10" x14ac:dyDescent="0.35">
      <c r="A199" t="s">
        <v>314</v>
      </c>
      <c r="B199" s="2">
        <v>46009</v>
      </c>
      <c r="C199" t="s">
        <v>315</v>
      </c>
      <c r="D199" t="s">
        <v>45</v>
      </c>
      <c r="E199" t="s">
        <v>46</v>
      </c>
      <c r="F199" t="s">
        <v>50</v>
      </c>
      <c r="G199">
        <v>1</v>
      </c>
      <c r="H199">
        <v>0</v>
      </c>
      <c r="I199">
        <v>18</v>
      </c>
      <c r="J199">
        <v>3.16</v>
      </c>
    </row>
    <row r="200" spans="1:10" x14ac:dyDescent="0.35">
      <c r="A200" t="s">
        <v>316</v>
      </c>
      <c r="B200" s="2">
        <v>45707</v>
      </c>
      <c r="C200" t="s">
        <v>24</v>
      </c>
      <c r="D200" t="s">
        <v>17</v>
      </c>
      <c r="E200" t="s">
        <v>18</v>
      </c>
      <c r="F200" t="s">
        <v>25</v>
      </c>
      <c r="G200">
        <v>3</v>
      </c>
      <c r="H200">
        <v>0.05</v>
      </c>
      <c r="I200">
        <v>598.5</v>
      </c>
      <c r="J200">
        <v>159.44</v>
      </c>
    </row>
    <row r="201" spans="1:10" x14ac:dyDescent="0.35">
      <c r="A201" t="s">
        <v>317</v>
      </c>
      <c r="B201" s="2">
        <v>46001</v>
      </c>
      <c r="C201" t="s">
        <v>57</v>
      </c>
      <c r="D201" t="s">
        <v>12</v>
      </c>
      <c r="E201" t="s">
        <v>13</v>
      </c>
      <c r="F201" t="s">
        <v>50</v>
      </c>
      <c r="G201">
        <v>4</v>
      </c>
      <c r="H201">
        <v>0.1</v>
      </c>
      <c r="I201">
        <v>126</v>
      </c>
      <c r="J201">
        <v>20.38</v>
      </c>
    </row>
    <row r="202" spans="1:10" x14ac:dyDescent="0.35">
      <c r="A202" t="s">
        <v>318</v>
      </c>
      <c r="B202" s="2">
        <v>45684</v>
      </c>
      <c r="C202" t="s">
        <v>219</v>
      </c>
      <c r="D202" t="s">
        <v>35</v>
      </c>
      <c r="E202" t="s">
        <v>13</v>
      </c>
      <c r="F202" t="s">
        <v>22</v>
      </c>
      <c r="G202">
        <v>5</v>
      </c>
      <c r="H202">
        <v>0.1</v>
      </c>
      <c r="I202">
        <v>3825</v>
      </c>
      <c r="J202">
        <v>1277.3800000000001</v>
      </c>
    </row>
    <row r="203" spans="1:10" x14ac:dyDescent="0.35">
      <c r="A203" t="s">
        <v>319</v>
      </c>
      <c r="B203" s="2">
        <v>45737</v>
      </c>
      <c r="C203" t="s">
        <v>30</v>
      </c>
      <c r="D203" t="s">
        <v>38</v>
      </c>
      <c r="E203" t="s">
        <v>13</v>
      </c>
      <c r="F203" t="s">
        <v>25</v>
      </c>
      <c r="G203">
        <v>4</v>
      </c>
      <c r="H203">
        <v>0.05</v>
      </c>
      <c r="I203">
        <v>1216</v>
      </c>
      <c r="J203">
        <v>207.21</v>
      </c>
    </row>
    <row r="204" spans="1:10" x14ac:dyDescent="0.35">
      <c r="A204" t="s">
        <v>320</v>
      </c>
      <c r="B204" s="2">
        <v>45716</v>
      </c>
      <c r="C204" t="s">
        <v>20</v>
      </c>
      <c r="D204" t="s">
        <v>35</v>
      </c>
      <c r="E204" t="s">
        <v>13</v>
      </c>
      <c r="F204" t="s">
        <v>14</v>
      </c>
      <c r="G204">
        <v>5</v>
      </c>
      <c r="H204">
        <v>0.05</v>
      </c>
      <c r="I204">
        <v>4037.5</v>
      </c>
      <c r="J204">
        <v>741.35</v>
      </c>
    </row>
    <row r="205" spans="1:10" x14ac:dyDescent="0.35">
      <c r="A205" t="s">
        <v>321</v>
      </c>
      <c r="B205" s="2">
        <v>45969</v>
      </c>
      <c r="C205" t="s">
        <v>135</v>
      </c>
      <c r="D205" t="s">
        <v>38</v>
      </c>
      <c r="E205" t="s">
        <v>13</v>
      </c>
      <c r="F205" t="s">
        <v>25</v>
      </c>
      <c r="G205">
        <v>3</v>
      </c>
      <c r="H205">
        <v>0</v>
      </c>
      <c r="I205">
        <v>960</v>
      </c>
      <c r="J205">
        <v>374.84</v>
      </c>
    </row>
    <row r="206" spans="1:10" x14ac:dyDescent="0.35">
      <c r="A206" t="s">
        <v>322</v>
      </c>
      <c r="B206" s="2">
        <v>45831</v>
      </c>
      <c r="C206" t="s">
        <v>73</v>
      </c>
      <c r="D206" t="s">
        <v>49</v>
      </c>
      <c r="E206" t="s">
        <v>13</v>
      </c>
      <c r="F206" t="s">
        <v>50</v>
      </c>
      <c r="G206">
        <v>1</v>
      </c>
      <c r="H206">
        <v>0.05</v>
      </c>
      <c r="I206">
        <v>66.5</v>
      </c>
      <c r="J206">
        <v>10.84</v>
      </c>
    </row>
    <row r="207" spans="1:10" x14ac:dyDescent="0.35">
      <c r="A207" t="s">
        <v>323</v>
      </c>
      <c r="B207" s="2">
        <v>45693</v>
      </c>
      <c r="C207" t="s">
        <v>27</v>
      </c>
      <c r="D207" t="s">
        <v>28</v>
      </c>
      <c r="E207" t="s">
        <v>18</v>
      </c>
      <c r="F207" t="s">
        <v>50</v>
      </c>
      <c r="G207">
        <v>1</v>
      </c>
      <c r="H207">
        <v>0</v>
      </c>
      <c r="I207">
        <v>280</v>
      </c>
      <c r="J207">
        <v>57.06</v>
      </c>
    </row>
    <row r="208" spans="1:10" x14ac:dyDescent="0.35">
      <c r="A208" t="s">
        <v>324</v>
      </c>
      <c r="B208" s="2">
        <v>45872</v>
      </c>
      <c r="C208" t="s">
        <v>204</v>
      </c>
      <c r="D208" t="s">
        <v>45</v>
      </c>
      <c r="E208" t="s">
        <v>46</v>
      </c>
      <c r="F208" t="s">
        <v>25</v>
      </c>
      <c r="G208">
        <v>3</v>
      </c>
      <c r="H208">
        <v>0.05</v>
      </c>
      <c r="I208">
        <v>51.3</v>
      </c>
      <c r="J208">
        <v>16.82</v>
      </c>
    </row>
    <row r="209" spans="1:10" x14ac:dyDescent="0.35">
      <c r="A209" t="s">
        <v>325</v>
      </c>
      <c r="B209" s="2">
        <v>45948</v>
      </c>
      <c r="C209" t="s">
        <v>57</v>
      </c>
      <c r="D209" t="s">
        <v>83</v>
      </c>
      <c r="E209" t="s">
        <v>46</v>
      </c>
      <c r="F209" t="s">
        <v>14</v>
      </c>
      <c r="G209">
        <v>1</v>
      </c>
      <c r="H209">
        <v>0</v>
      </c>
      <c r="I209">
        <v>25</v>
      </c>
      <c r="J209">
        <v>9.9700000000000006</v>
      </c>
    </row>
    <row r="210" spans="1:10" x14ac:dyDescent="0.35">
      <c r="A210" t="s">
        <v>326</v>
      </c>
      <c r="B210" s="2">
        <v>46003</v>
      </c>
      <c r="C210" t="s">
        <v>206</v>
      </c>
      <c r="D210" t="s">
        <v>12</v>
      </c>
      <c r="E210" t="s">
        <v>13</v>
      </c>
      <c r="F210" t="s">
        <v>50</v>
      </c>
      <c r="G210">
        <v>3</v>
      </c>
      <c r="H210">
        <v>0.15</v>
      </c>
      <c r="I210">
        <v>89.25</v>
      </c>
      <c r="J210">
        <v>20.67</v>
      </c>
    </row>
    <row r="211" spans="1:10" x14ac:dyDescent="0.35">
      <c r="A211" t="s">
        <v>327</v>
      </c>
      <c r="B211" s="2">
        <v>45870</v>
      </c>
      <c r="C211" t="s">
        <v>64</v>
      </c>
      <c r="D211" t="s">
        <v>35</v>
      </c>
      <c r="E211" t="s">
        <v>13</v>
      </c>
      <c r="F211" t="s">
        <v>14</v>
      </c>
      <c r="G211">
        <v>2</v>
      </c>
      <c r="H211">
        <v>0.2</v>
      </c>
      <c r="I211">
        <v>1360</v>
      </c>
      <c r="J211">
        <v>560.91999999999996</v>
      </c>
    </row>
    <row r="212" spans="1:10" x14ac:dyDescent="0.35">
      <c r="A212" t="s">
        <v>328</v>
      </c>
      <c r="B212" s="2">
        <v>45803</v>
      </c>
      <c r="C212" t="s">
        <v>187</v>
      </c>
      <c r="D212" t="s">
        <v>38</v>
      </c>
      <c r="E212" t="s">
        <v>13</v>
      </c>
      <c r="F212" t="s">
        <v>14</v>
      </c>
      <c r="G212">
        <v>5</v>
      </c>
      <c r="H212">
        <v>0.15</v>
      </c>
      <c r="I212">
        <v>1360</v>
      </c>
      <c r="J212">
        <v>375.51</v>
      </c>
    </row>
    <row r="213" spans="1:10" x14ac:dyDescent="0.35">
      <c r="A213" t="s">
        <v>329</v>
      </c>
      <c r="B213" s="2">
        <v>45770</v>
      </c>
      <c r="C213" t="s">
        <v>215</v>
      </c>
      <c r="D213" t="s">
        <v>99</v>
      </c>
      <c r="E213" t="s">
        <v>18</v>
      </c>
      <c r="F213" t="s">
        <v>22</v>
      </c>
      <c r="G213">
        <v>5</v>
      </c>
      <c r="H213">
        <v>0</v>
      </c>
      <c r="I213">
        <v>950</v>
      </c>
      <c r="J213">
        <v>425.09</v>
      </c>
    </row>
    <row r="214" spans="1:10" x14ac:dyDescent="0.35">
      <c r="A214" t="s">
        <v>330</v>
      </c>
      <c r="B214" s="2">
        <v>45728</v>
      </c>
      <c r="C214" t="s">
        <v>243</v>
      </c>
      <c r="D214" t="s">
        <v>35</v>
      </c>
      <c r="E214" t="s">
        <v>13</v>
      </c>
      <c r="F214" t="s">
        <v>50</v>
      </c>
      <c r="G214">
        <v>3</v>
      </c>
      <c r="H214">
        <v>0.1</v>
      </c>
      <c r="I214">
        <v>2295</v>
      </c>
      <c r="J214">
        <v>941.88</v>
      </c>
    </row>
    <row r="215" spans="1:10" x14ac:dyDescent="0.35">
      <c r="A215" t="s">
        <v>331</v>
      </c>
      <c r="B215" s="2">
        <v>45747</v>
      </c>
      <c r="C215" t="s">
        <v>66</v>
      </c>
      <c r="D215" t="s">
        <v>28</v>
      </c>
      <c r="E215" t="s">
        <v>18</v>
      </c>
      <c r="F215" t="s">
        <v>25</v>
      </c>
      <c r="G215">
        <v>4</v>
      </c>
      <c r="H215">
        <v>0.2</v>
      </c>
      <c r="I215">
        <v>896</v>
      </c>
      <c r="J215">
        <v>195.14</v>
      </c>
    </row>
    <row r="216" spans="1:10" x14ac:dyDescent="0.35">
      <c r="A216" t="s">
        <v>332</v>
      </c>
      <c r="B216" s="2">
        <v>45694</v>
      </c>
      <c r="C216" t="s">
        <v>128</v>
      </c>
      <c r="D216" t="s">
        <v>99</v>
      </c>
      <c r="E216" t="s">
        <v>18</v>
      </c>
      <c r="F216" t="s">
        <v>25</v>
      </c>
      <c r="G216">
        <v>1</v>
      </c>
      <c r="H216">
        <v>0.15</v>
      </c>
      <c r="I216">
        <v>161.5</v>
      </c>
      <c r="J216">
        <v>71.680000000000007</v>
      </c>
    </row>
    <row r="217" spans="1:10" x14ac:dyDescent="0.35">
      <c r="A217" t="s">
        <v>333</v>
      </c>
      <c r="B217" s="2">
        <v>45952</v>
      </c>
      <c r="C217" t="s">
        <v>178</v>
      </c>
      <c r="D217" t="s">
        <v>99</v>
      </c>
      <c r="E217" t="s">
        <v>18</v>
      </c>
      <c r="F217" t="s">
        <v>25</v>
      </c>
      <c r="G217">
        <v>5</v>
      </c>
      <c r="H217">
        <v>0.15</v>
      </c>
      <c r="I217">
        <v>807.5</v>
      </c>
      <c r="J217">
        <v>174.31</v>
      </c>
    </row>
    <row r="218" spans="1:10" x14ac:dyDescent="0.35">
      <c r="A218" t="s">
        <v>334</v>
      </c>
      <c r="B218" s="2">
        <v>45716</v>
      </c>
      <c r="C218" t="s">
        <v>111</v>
      </c>
      <c r="D218" t="s">
        <v>99</v>
      </c>
      <c r="E218" t="s">
        <v>18</v>
      </c>
      <c r="F218" t="s">
        <v>50</v>
      </c>
      <c r="G218">
        <v>1</v>
      </c>
      <c r="H218">
        <v>0.1</v>
      </c>
      <c r="I218">
        <v>171</v>
      </c>
      <c r="J218">
        <v>67.25</v>
      </c>
    </row>
    <row r="219" spans="1:10" x14ac:dyDescent="0.35">
      <c r="A219" t="s">
        <v>335</v>
      </c>
      <c r="B219" s="2">
        <v>46011</v>
      </c>
      <c r="C219" t="s">
        <v>163</v>
      </c>
      <c r="D219" t="s">
        <v>49</v>
      </c>
      <c r="E219" t="s">
        <v>13</v>
      </c>
      <c r="F219" t="s">
        <v>50</v>
      </c>
      <c r="G219">
        <v>1</v>
      </c>
      <c r="H219">
        <v>0.15</v>
      </c>
      <c r="I219">
        <v>59.5</v>
      </c>
      <c r="J219">
        <v>10.19</v>
      </c>
    </row>
    <row r="220" spans="1:10" x14ac:dyDescent="0.35">
      <c r="A220" t="s">
        <v>336</v>
      </c>
      <c r="B220" s="2">
        <v>45959</v>
      </c>
      <c r="C220" t="s">
        <v>187</v>
      </c>
      <c r="D220" t="s">
        <v>99</v>
      </c>
      <c r="E220" t="s">
        <v>18</v>
      </c>
      <c r="F220" t="s">
        <v>25</v>
      </c>
      <c r="G220">
        <v>5</v>
      </c>
      <c r="H220">
        <v>0</v>
      </c>
      <c r="I220">
        <v>950</v>
      </c>
      <c r="J220">
        <v>303.43</v>
      </c>
    </row>
    <row r="221" spans="1:10" x14ac:dyDescent="0.35">
      <c r="A221" t="s">
        <v>337</v>
      </c>
      <c r="B221" s="2">
        <v>45771</v>
      </c>
      <c r="C221" t="s">
        <v>183</v>
      </c>
      <c r="D221" t="s">
        <v>49</v>
      </c>
      <c r="E221" t="s">
        <v>13</v>
      </c>
      <c r="F221" t="s">
        <v>22</v>
      </c>
      <c r="G221">
        <v>2</v>
      </c>
      <c r="H221">
        <v>0</v>
      </c>
      <c r="I221">
        <v>140</v>
      </c>
      <c r="J221">
        <v>39.42</v>
      </c>
    </row>
    <row r="222" spans="1:10" x14ac:dyDescent="0.35">
      <c r="A222" t="s">
        <v>338</v>
      </c>
      <c r="B222" s="2">
        <v>45836</v>
      </c>
      <c r="C222" t="s">
        <v>210</v>
      </c>
      <c r="D222" t="s">
        <v>49</v>
      </c>
      <c r="E222" t="s">
        <v>13</v>
      </c>
      <c r="F222" t="s">
        <v>22</v>
      </c>
      <c r="G222">
        <v>2</v>
      </c>
      <c r="H222">
        <v>0.05</v>
      </c>
      <c r="I222">
        <v>133</v>
      </c>
      <c r="J222">
        <v>55.34</v>
      </c>
    </row>
    <row r="223" spans="1:10" x14ac:dyDescent="0.35">
      <c r="A223" t="s">
        <v>339</v>
      </c>
      <c r="B223" s="2">
        <v>45746</v>
      </c>
      <c r="C223" t="s">
        <v>158</v>
      </c>
      <c r="D223" t="s">
        <v>83</v>
      </c>
      <c r="E223" t="s">
        <v>46</v>
      </c>
      <c r="F223" t="s">
        <v>50</v>
      </c>
      <c r="G223">
        <v>2</v>
      </c>
      <c r="H223">
        <v>0</v>
      </c>
      <c r="I223">
        <v>50</v>
      </c>
      <c r="J223">
        <v>19.579999999999998</v>
      </c>
    </row>
    <row r="224" spans="1:10" x14ac:dyDescent="0.35">
      <c r="A224" t="s">
        <v>340</v>
      </c>
      <c r="B224" s="2">
        <v>45895</v>
      </c>
      <c r="C224" t="s">
        <v>73</v>
      </c>
      <c r="D224" t="s">
        <v>83</v>
      </c>
      <c r="E224" t="s">
        <v>46</v>
      </c>
      <c r="F224" t="s">
        <v>25</v>
      </c>
      <c r="G224">
        <v>5</v>
      </c>
      <c r="H224">
        <v>0.15</v>
      </c>
      <c r="I224">
        <v>106.25</v>
      </c>
      <c r="J224">
        <v>23.93</v>
      </c>
    </row>
    <row r="225" spans="1:10" x14ac:dyDescent="0.35">
      <c r="A225" t="s">
        <v>341</v>
      </c>
      <c r="B225" s="2">
        <v>45979</v>
      </c>
      <c r="C225" t="s">
        <v>342</v>
      </c>
      <c r="D225" t="s">
        <v>49</v>
      </c>
      <c r="E225" t="s">
        <v>13</v>
      </c>
      <c r="F225" t="s">
        <v>25</v>
      </c>
      <c r="G225">
        <v>2</v>
      </c>
      <c r="H225">
        <v>0.15</v>
      </c>
      <c r="I225">
        <v>119</v>
      </c>
      <c r="J225">
        <v>50.87</v>
      </c>
    </row>
    <row r="226" spans="1:10" x14ac:dyDescent="0.35">
      <c r="A226" t="s">
        <v>343</v>
      </c>
      <c r="B226" s="2">
        <v>45798</v>
      </c>
      <c r="C226" t="s">
        <v>187</v>
      </c>
      <c r="D226" t="s">
        <v>83</v>
      </c>
      <c r="E226" t="s">
        <v>46</v>
      </c>
      <c r="F226" t="s">
        <v>50</v>
      </c>
      <c r="G226">
        <v>1</v>
      </c>
      <c r="H226">
        <v>0.1</v>
      </c>
      <c r="I226">
        <v>22.5</v>
      </c>
      <c r="J226">
        <v>6.36</v>
      </c>
    </row>
    <row r="227" spans="1:10" x14ac:dyDescent="0.35">
      <c r="A227" t="s">
        <v>344</v>
      </c>
      <c r="B227" s="2">
        <v>45889</v>
      </c>
      <c r="C227" t="s">
        <v>128</v>
      </c>
      <c r="D227" t="s">
        <v>67</v>
      </c>
      <c r="E227" t="s">
        <v>13</v>
      </c>
      <c r="F227" t="s">
        <v>14</v>
      </c>
      <c r="G227">
        <v>1</v>
      </c>
      <c r="H227">
        <v>0.1</v>
      </c>
      <c r="I227">
        <v>1080</v>
      </c>
      <c r="J227">
        <v>189.58</v>
      </c>
    </row>
    <row r="228" spans="1:10" x14ac:dyDescent="0.35">
      <c r="A228" t="s">
        <v>345</v>
      </c>
      <c r="B228" s="2">
        <v>45972</v>
      </c>
      <c r="C228" t="s">
        <v>95</v>
      </c>
      <c r="D228" t="s">
        <v>83</v>
      </c>
      <c r="E228" t="s">
        <v>46</v>
      </c>
      <c r="F228" t="s">
        <v>14</v>
      </c>
      <c r="G228">
        <v>5</v>
      </c>
      <c r="H228">
        <v>0.15</v>
      </c>
      <c r="I228">
        <v>106.25</v>
      </c>
      <c r="J228">
        <v>31.59</v>
      </c>
    </row>
    <row r="229" spans="1:10" x14ac:dyDescent="0.35">
      <c r="A229" t="s">
        <v>346</v>
      </c>
      <c r="B229" s="2">
        <v>45888</v>
      </c>
      <c r="C229" t="s">
        <v>66</v>
      </c>
      <c r="D229" t="s">
        <v>83</v>
      </c>
      <c r="E229" t="s">
        <v>46</v>
      </c>
      <c r="F229" t="s">
        <v>22</v>
      </c>
      <c r="G229">
        <v>2</v>
      </c>
      <c r="H229">
        <v>0.1</v>
      </c>
      <c r="I229">
        <v>45</v>
      </c>
      <c r="J229">
        <v>11.27</v>
      </c>
    </row>
    <row r="230" spans="1:10" x14ac:dyDescent="0.35">
      <c r="A230" t="s">
        <v>347</v>
      </c>
      <c r="B230" s="2">
        <v>45689</v>
      </c>
      <c r="C230" t="s">
        <v>167</v>
      </c>
      <c r="D230" t="s">
        <v>45</v>
      </c>
      <c r="E230" t="s">
        <v>46</v>
      </c>
      <c r="F230" t="s">
        <v>22</v>
      </c>
      <c r="G230">
        <v>1</v>
      </c>
      <c r="H230">
        <v>0.1</v>
      </c>
      <c r="I230">
        <v>16.2</v>
      </c>
      <c r="J230">
        <v>2.04</v>
      </c>
    </row>
    <row r="231" spans="1:10" x14ac:dyDescent="0.35">
      <c r="A231" t="s">
        <v>348</v>
      </c>
      <c r="B231" s="2">
        <v>45678</v>
      </c>
      <c r="C231" t="s">
        <v>349</v>
      </c>
      <c r="D231" t="s">
        <v>21</v>
      </c>
      <c r="E231" t="s">
        <v>18</v>
      </c>
      <c r="F231" t="s">
        <v>22</v>
      </c>
      <c r="G231">
        <v>4</v>
      </c>
      <c r="H231">
        <v>0.15</v>
      </c>
      <c r="I231">
        <v>187</v>
      </c>
      <c r="J231">
        <v>51.81</v>
      </c>
    </row>
    <row r="232" spans="1:10" x14ac:dyDescent="0.35">
      <c r="A232" t="s">
        <v>350</v>
      </c>
      <c r="B232" s="2">
        <v>45844</v>
      </c>
      <c r="C232" t="s">
        <v>91</v>
      </c>
      <c r="D232" t="s">
        <v>49</v>
      </c>
      <c r="E232" t="s">
        <v>13</v>
      </c>
      <c r="F232" t="s">
        <v>14</v>
      </c>
      <c r="G232">
        <v>3</v>
      </c>
      <c r="H232">
        <v>0.15</v>
      </c>
      <c r="I232">
        <v>178.5</v>
      </c>
      <c r="J232">
        <v>56.25</v>
      </c>
    </row>
    <row r="233" spans="1:10" x14ac:dyDescent="0.35">
      <c r="A233" t="s">
        <v>351</v>
      </c>
      <c r="B233" s="2">
        <v>45981</v>
      </c>
      <c r="D233" t="s">
        <v>38</v>
      </c>
      <c r="E233" t="s">
        <v>13</v>
      </c>
      <c r="F233" t="s">
        <v>50</v>
      </c>
      <c r="G233">
        <v>3</v>
      </c>
      <c r="H233">
        <v>0</v>
      </c>
      <c r="I233">
        <v>960</v>
      </c>
      <c r="J233">
        <v>327.55</v>
      </c>
    </row>
    <row r="234" spans="1:10" x14ac:dyDescent="0.35">
      <c r="A234" t="s">
        <v>352</v>
      </c>
      <c r="B234" s="2">
        <v>45803</v>
      </c>
      <c r="C234" t="s">
        <v>54</v>
      </c>
      <c r="D234" t="s">
        <v>35</v>
      </c>
      <c r="E234" t="s">
        <v>13</v>
      </c>
      <c r="F234" t="s">
        <v>22</v>
      </c>
      <c r="G234">
        <v>5</v>
      </c>
      <c r="H234">
        <v>0.05</v>
      </c>
      <c r="I234">
        <v>4037.5</v>
      </c>
      <c r="J234">
        <v>1372.71</v>
      </c>
    </row>
    <row r="235" spans="1:10" x14ac:dyDescent="0.35">
      <c r="A235" t="s">
        <v>353</v>
      </c>
      <c r="B235" s="2">
        <v>45837</v>
      </c>
      <c r="C235" t="s">
        <v>167</v>
      </c>
      <c r="D235" t="s">
        <v>35</v>
      </c>
      <c r="E235" t="s">
        <v>13</v>
      </c>
      <c r="F235" t="s">
        <v>25</v>
      </c>
      <c r="G235">
        <v>4</v>
      </c>
      <c r="H235">
        <v>0.05</v>
      </c>
      <c r="I235">
        <v>3230</v>
      </c>
      <c r="J235">
        <v>819.25</v>
      </c>
    </row>
    <row r="236" spans="1:10" x14ac:dyDescent="0.35">
      <c r="A236" t="s">
        <v>354</v>
      </c>
      <c r="B236" s="2">
        <v>45944</v>
      </c>
      <c r="C236" t="s">
        <v>133</v>
      </c>
      <c r="D236" t="s">
        <v>99</v>
      </c>
      <c r="E236" t="s">
        <v>18</v>
      </c>
      <c r="F236" t="s">
        <v>14</v>
      </c>
      <c r="G236">
        <v>3</v>
      </c>
      <c r="H236">
        <v>0.05</v>
      </c>
      <c r="I236">
        <v>541.5</v>
      </c>
      <c r="J236">
        <v>123.93</v>
      </c>
    </row>
    <row r="237" spans="1:10" x14ac:dyDescent="0.35">
      <c r="A237" t="s">
        <v>355</v>
      </c>
      <c r="B237" s="2">
        <v>45988</v>
      </c>
      <c r="C237" t="s">
        <v>194</v>
      </c>
      <c r="D237" t="s">
        <v>38</v>
      </c>
      <c r="E237" t="s">
        <v>13</v>
      </c>
      <c r="F237" t="s">
        <v>25</v>
      </c>
      <c r="G237">
        <v>4</v>
      </c>
      <c r="H237">
        <v>0.2</v>
      </c>
      <c r="I237">
        <v>1024</v>
      </c>
      <c r="J237">
        <v>338.53</v>
      </c>
    </row>
    <row r="238" spans="1:10" x14ac:dyDescent="0.35">
      <c r="A238" t="s">
        <v>356</v>
      </c>
      <c r="B238" s="2">
        <v>45750</v>
      </c>
      <c r="C238" t="s">
        <v>11</v>
      </c>
      <c r="D238" t="s">
        <v>21</v>
      </c>
      <c r="E238" t="s">
        <v>18</v>
      </c>
      <c r="F238" t="s">
        <v>22</v>
      </c>
      <c r="G238">
        <v>3</v>
      </c>
      <c r="H238">
        <v>0.15</v>
      </c>
      <c r="I238">
        <v>140.25</v>
      </c>
      <c r="J238">
        <v>54.23</v>
      </c>
    </row>
    <row r="239" spans="1:10" x14ac:dyDescent="0.35">
      <c r="A239" t="s">
        <v>357</v>
      </c>
      <c r="B239" s="2">
        <v>45697</v>
      </c>
      <c r="C239" t="s">
        <v>133</v>
      </c>
      <c r="D239" t="s">
        <v>35</v>
      </c>
      <c r="E239" t="s">
        <v>13</v>
      </c>
      <c r="F239" t="s">
        <v>14</v>
      </c>
      <c r="G239">
        <v>1</v>
      </c>
      <c r="H239">
        <v>0.2</v>
      </c>
      <c r="I239">
        <v>680</v>
      </c>
      <c r="J239">
        <v>133.02000000000001</v>
      </c>
    </row>
    <row r="240" spans="1:10" x14ac:dyDescent="0.35">
      <c r="A240" t="s">
        <v>358</v>
      </c>
      <c r="B240" s="2">
        <v>45996</v>
      </c>
      <c r="C240" t="s">
        <v>251</v>
      </c>
      <c r="D240" t="s">
        <v>49</v>
      </c>
      <c r="E240" t="s">
        <v>13</v>
      </c>
      <c r="F240" t="s">
        <v>22</v>
      </c>
      <c r="G240">
        <v>5</v>
      </c>
      <c r="H240">
        <v>0.05</v>
      </c>
      <c r="I240">
        <v>332.5</v>
      </c>
      <c r="J240">
        <v>84.09</v>
      </c>
    </row>
    <row r="241" spans="1:10" x14ac:dyDescent="0.35">
      <c r="A241" t="s">
        <v>359</v>
      </c>
      <c r="B241" s="2">
        <v>45750</v>
      </c>
      <c r="C241" t="s">
        <v>360</v>
      </c>
      <c r="D241" t="s">
        <v>17</v>
      </c>
      <c r="E241" t="s">
        <v>18</v>
      </c>
      <c r="F241" t="s">
        <v>50</v>
      </c>
      <c r="G241">
        <v>5</v>
      </c>
      <c r="H241">
        <v>0.05</v>
      </c>
      <c r="I241">
        <v>997.5</v>
      </c>
      <c r="J241">
        <v>211.48</v>
      </c>
    </row>
    <row r="242" spans="1:10" x14ac:dyDescent="0.35">
      <c r="A242" t="s">
        <v>361</v>
      </c>
      <c r="B242" s="2">
        <v>45844</v>
      </c>
      <c r="C242" t="s">
        <v>57</v>
      </c>
      <c r="D242" t="s">
        <v>38</v>
      </c>
      <c r="E242" t="s">
        <v>13</v>
      </c>
      <c r="F242" t="s">
        <v>50</v>
      </c>
      <c r="G242">
        <v>2</v>
      </c>
      <c r="H242">
        <v>0.15</v>
      </c>
      <c r="I242">
        <v>544</v>
      </c>
      <c r="J242">
        <v>135.19</v>
      </c>
    </row>
    <row r="243" spans="1:10" x14ac:dyDescent="0.35">
      <c r="A243" t="s">
        <v>362</v>
      </c>
      <c r="B243" s="2">
        <v>45777</v>
      </c>
      <c r="C243" t="s">
        <v>253</v>
      </c>
      <c r="D243" t="s">
        <v>55</v>
      </c>
      <c r="E243" t="s">
        <v>46</v>
      </c>
      <c r="F243" t="s">
        <v>22</v>
      </c>
      <c r="G243">
        <v>2</v>
      </c>
      <c r="H243">
        <v>0.1</v>
      </c>
      <c r="I243">
        <v>432</v>
      </c>
      <c r="J243">
        <v>56.74</v>
      </c>
    </row>
    <row r="244" spans="1:10" x14ac:dyDescent="0.35">
      <c r="A244" t="s">
        <v>363</v>
      </c>
      <c r="B244" s="2">
        <v>45846</v>
      </c>
      <c r="C244" t="s">
        <v>364</v>
      </c>
      <c r="D244" t="s">
        <v>38</v>
      </c>
      <c r="E244" t="s">
        <v>13</v>
      </c>
      <c r="F244" t="s">
        <v>50</v>
      </c>
      <c r="G244">
        <v>5</v>
      </c>
      <c r="H244">
        <v>0.15</v>
      </c>
      <c r="I244">
        <v>1360</v>
      </c>
      <c r="J244">
        <v>404.8</v>
      </c>
    </row>
    <row r="245" spans="1:10" x14ac:dyDescent="0.35">
      <c r="A245" t="s">
        <v>365</v>
      </c>
      <c r="B245" s="2">
        <v>45915</v>
      </c>
      <c r="C245" t="s">
        <v>185</v>
      </c>
      <c r="D245" t="s">
        <v>55</v>
      </c>
      <c r="E245" t="s">
        <v>46</v>
      </c>
      <c r="F245" t="s">
        <v>22</v>
      </c>
      <c r="G245">
        <v>4</v>
      </c>
      <c r="H245">
        <v>0.05</v>
      </c>
      <c r="I245">
        <v>912</v>
      </c>
      <c r="J245">
        <v>164.55</v>
      </c>
    </row>
    <row r="246" spans="1:10" x14ac:dyDescent="0.35">
      <c r="A246" t="s">
        <v>366</v>
      </c>
      <c r="B246" s="2">
        <v>45786</v>
      </c>
      <c r="C246" t="s">
        <v>122</v>
      </c>
      <c r="D246" t="s">
        <v>67</v>
      </c>
      <c r="E246" t="s">
        <v>13</v>
      </c>
      <c r="F246" t="s">
        <v>14</v>
      </c>
      <c r="G246">
        <v>4</v>
      </c>
      <c r="H246">
        <v>0.1</v>
      </c>
      <c r="I246">
        <v>4320</v>
      </c>
      <c r="J246">
        <v>1153.45</v>
      </c>
    </row>
    <row r="247" spans="1:10" x14ac:dyDescent="0.35">
      <c r="A247" t="s">
        <v>367</v>
      </c>
      <c r="B247" s="2">
        <v>45803</v>
      </c>
      <c r="C247" t="s">
        <v>107</v>
      </c>
      <c r="D247" t="s">
        <v>12</v>
      </c>
      <c r="E247" t="s">
        <v>13</v>
      </c>
      <c r="F247" t="s">
        <v>22</v>
      </c>
      <c r="G247">
        <v>2</v>
      </c>
      <c r="H247">
        <v>0.1</v>
      </c>
      <c r="I247">
        <v>63</v>
      </c>
      <c r="J247">
        <v>19.010000000000002</v>
      </c>
    </row>
    <row r="248" spans="1:10" x14ac:dyDescent="0.35">
      <c r="A248" t="s">
        <v>368</v>
      </c>
      <c r="B248" s="2">
        <v>45881</v>
      </c>
      <c r="C248" t="s">
        <v>369</v>
      </c>
      <c r="D248" t="s">
        <v>12</v>
      </c>
      <c r="E248" t="s">
        <v>13</v>
      </c>
      <c r="F248" t="s">
        <v>50</v>
      </c>
      <c r="G248">
        <v>2</v>
      </c>
      <c r="H248">
        <v>0.15</v>
      </c>
      <c r="I248">
        <v>59.5</v>
      </c>
      <c r="J248">
        <v>9.41</v>
      </c>
    </row>
    <row r="249" spans="1:10" x14ac:dyDescent="0.35">
      <c r="A249" t="s">
        <v>370</v>
      </c>
      <c r="B249" s="2">
        <v>45685</v>
      </c>
      <c r="C249" t="s">
        <v>167</v>
      </c>
      <c r="D249" t="s">
        <v>99</v>
      </c>
      <c r="E249" t="s">
        <v>18</v>
      </c>
      <c r="F249" t="s">
        <v>25</v>
      </c>
      <c r="G249">
        <v>5</v>
      </c>
      <c r="H249">
        <v>0.1</v>
      </c>
      <c r="I249">
        <v>855</v>
      </c>
      <c r="J249">
        <v>318.23</v>
      </c>
    </row>
    <row r="250" spans="1:10" x14ac:dyDescent="0.35">
      <c r="A250" t="s">
        <v>371</v>
      </c>
      <c r="B250" s="2">
        <v>45772</v>
      </c>
      <c r="C250" t="s">
        <v>196</v>
      </c>
      <c r="D250" t="s">
        <v>67</v>
      </c>
      <c r="E250" t="s">
        <v>13</v>
      </c>
      <c r="F250" t="s">
        <v>25</v>
      </c>
      <c r="G250">
        <v>3</v>
      </c>
      <c r="H250">
        <v>0</v>
      </c>
      <c r="I250">
        <v>3600</v>
      </c>
      <c r="J250">
        <v>623.05999999999995</v>
      </c>
    </row>
    <row r="251" spans="1:10" x14ac:dyDescent="0.35">
      <c r="A251" t="s">
        <v>372</v>
      </c>
      <c r="B251" s="2">
        <v>45732</v>
      </c>
      <c r="C251" t="s">
        <v>253</v>
      </c>
      <c r="D251" t="s">
        <v>28</v>
      </c>
      <c r="E251" t="s">
        <v>18</v>
      </c>
      <c r="F251" t="s">
        <v>22</v>
      </c>
      <c r="G251">
        <v>1</v>
      </c>
      <c r="H251">
        <v>0.1</v>
      </c>
      <c r="I251">
        <v>252</v>
      </c>
      <c r="J251">
        <v>37.11</v>
      </c>
    </row>
    <row r="252" spans="1:10" x14ac:dyDescent="0.35">
      <c r="A252" t="s">
        <v>373</v>
      </c>
      <c r="B252" s="2">
        <v>46019</v>
      </c>
      <c r="C252" t="s">
        <v>167</v>
      </c>
      <c r="D252" t="s">
        <v>45</v>
      </c>
      <c r="E252" t="s">
        <v>46</v>
      </c>
      <c r="F252" t="s">
        <v>14</v>
      </c>
      <c r="G252">
        <v>4</v>
      </c>
      <c r="H252">
        <v>0.2</v>
      </c>
      <c r="I252">
        <v>57.6</v>
      </c>
      <c r="J252">
        <v>25.82</v>
      </c>
    </row>
    <row r="253" spans="1:10" x14ac:dyDescent="0.35">
      <c r="A253" t="s">
        <v>374</v>
      </c>
      <c r="B253" s="2">
        <v>45789</v>
      </c>
      <c r="C253" t="s">
        <v>185</v>
      </c>
      <c r="D253" t="s">
        <v>21</v>
      </c>
      <c r="E253" t="s">
        <v>18</v>
      </c>
      <c r="F253" t="s">
        <v>50</v>
      </c>
      <c r="G253">
        <v>2</v>
      </c>
      <c r="H253">
        <v>0.2</v>
      </c>
      <c r="I253">
        <v>88</v>
      </c>
      <c r="J253">
        <v>12.3</v>
      </c>
    </row>
    <row r="254" spans="1:10" x14ac:dyDescent="0.35">
      <c r="A254" t="s">
        <v>375</v>
      </c>
      <c r="B254" s="2">
        <v>45714</v>
      </c>
      <c r="C254" t="s">
        <v>109</v>
      </c>
      <c r="D254" t="s">
        <v>35</v>
      </c>
      <c r="E254" t="s">
        <v>13</v>
      </c>
      <c r="F254" t="s">
        <v>50</v>
      </c>
      <c r="G254">
        <v>2</v>
      </c>
      <c r="H254">
        <v>0.1</v>
      </c>
      <c r="I254">
        <v>1530</v>
      </c>
      <c r="J254">
        <v>626.98</v>
      </c>
    </row>
    <row r="255" spans="1:10" x14ac:dyDescent="0.35">
      <c r="A255" t="s">
        <v>376</v>
      </c>
      <c r="B255" s="2">
        <v>45985</v>
      </c>
      <c r="C255" t="s">
        <v>243</v>
      </c>
      <c r="D255" t="s">
        <v>83</v>
      </c>
      <c r="E255" t="s">
        <v>46</v>
      </c>
      <c r="F255" t="s">
        <v>14</v>
      </c>
      <c r="G255">
        <v>4</v>
      </c>
      <c r="H255">
        <v>0</v>
      </c>
      <c r="I255">
        <v>100</v>
      </c>
      <c r="J255">
        <v>41.34</v>
      </c>
    </row>
    <row r="256" spans="1:10" x14ac:dyDescent="0.35">
      <c r="A256" t="s">
        <v>377</v>
      </c>
      <c r="B256" s="2">
        <v>45981</v>
      </c>
      <c r="C256" t="s">
        <v>103</v>
      </c>
      <c r="D256" t="s">
        <v>55</v>
      </c>
      <c r="E256" t="s">
        <v>46</v>
      </c>
      <c r="F256" t="s">
        <v>50</v>
      </c>
      <c r="G256">
        <v>5</v>
      </c>
      <c r="H256">
        <v>0.05</v>
      </c>
      <c r="I256">
        <v>1140</v>
      </c>
      <c r="J256">
        <v>242.68</v>
      </c>
    </row>
    <row r="257" spans="1:10" x14ac:dyDescent="0.35">
      <c r="A257" t="s">
        <v>378</v>
      </c>
      <c r="B257" s="2">
        <v>45658</v>
      </c>
      <c r="C257" t="s">
        <v>269</v>
      </c>
      <c r="D257" t="s">
        <v>83</v>
      </c>
      <c r="E257" t="s">
        <v>46</v>
      </c>
      <c r="F257" t="s">
        <v>14</v>
      </c>
      <c r="G257">
        <v>3</v>
      </c>
      <c r="H257">
        <v>0.05</v>
      </c>
      <c r="I257">
        <v>71.25</v>
      </c>
      <c r="J257">
        <v>18.64</v>
      </c>
    </row>
    <row r="258" spans="1:10" x14ac:dyDescent="0.35">
      <c r="A258" t="s">
        <v>379</v>
      </c>
      <c r="B258" s="2">
        <v>45926</v>
      </c>
      <c r="C258" t="s">
        <v>66</v>
      </c>
      <c r="D258" t="s">
        <v>49</v>
      </c>
      <c r="E258" t="s">
        <v>13</v>
      </c>
      <c r="F258" t="s">
        <v>14</v>
      </c>
      <c r="G258">
        <v>1</v>
      </c>
      <c r="H258">
        <v>0.2</v>
      </c>
      <c r="I258">
        <v>56</v>
      </c>
      <c r="J258">
        <v>15.15</v>
      </c>
    </row>
    <row r="259" spans="1:10" x14ac:dyDescent="0.35">
      <c r="A259" t="s">
        <v>380</v>
      </c>
      <c r="B259" s="2">
        <v>45857</v>
      </c>
      <c r="C259" t="s">
        <v>210</v>
      </c>
      <c r="D259" t="s">
        <v>45</v>
      </c>
      <c r="E259" t="s">
        <v>46</v>
      </c>
      <c r="F259" t="s">
        <v>14</v>
      </c>
      <c r="G259">
        <v>1</v>
      </c>
      <c r="H259">
        <v>0.15</v>
      </c>
      <c r="I259">
        <v>15.3</v>
      </c>
      <c r="J259">
        <v>1.93</v>
      </c>
    </row>
    <row r="260" spans="1:10" x14ac:dyDescent="0.35">
      <c r="A260" t="s">
        <v>381</v>
      </c>
      <c r="B260" s="2">
        <v>45840</v>
      </c>
      <c r="C260" t="s">
        <v>189</v>
      </c>
      <c r="D260" t="s">
        <v>12</v>
      </c>
      <c r="E260" t="s">
        <v>13</v>
      </c>
      <c r="F260" t="s">
        <v>14</v>
      </c>
      <c r="G260">
        <v>3</v>
      </c>
      <c r="H260">
        <v>0.05</v>
      </c>
      <c r="I260">
        <v>99.75</v>
      </c>
      <c r="J260">
        <v>20.76</v>
      </c>
    </row>
    <row r="261" spans="1:10" x14ac:dyDescent="0.35">
      <c r="A261" t="s">
        <v>382</v>
      </c>
      <c r="B261" s="2">
        <v>45955</v>
      </c>
      <c r="C261" t="s">
        <v>119</v>
      </c>
      <c r="D261" t="s">
        <v>17</v>
      </c>
      <c r="E261" t="s">
        <v>18</v>
      </c>
      <c r="F261" t="s">
        <v>25</v>
      </c>
      <c r="G261">
        <v>3</v>
      </c>
      <c r="H261">
        <v>0.05</v>
      </c>
      <c r="I261">
        <v>598.5</v>
      </c>
      <c r="J261">
        <v>260.57</v>
      </c>
    </row>
    <row r="262" spans="1:10" x14ac:dyDescent="0.35">
      <c r="A262" t="s">
        <v>383</v>
      </c>
      <c r="B262" s="2">
        <v>45987</v>
      </c>
      <c r="C262" t="s">
        <v>11</v>
      </c>
      <c r="D262" t="s">
        <v>28</v>
      </c>
      <c r="E262" t="s">
        <v>18</v>
      </c>
      <c r="F262" t="s">
        <v>14</v>
      </c>
      <c r="G262">
        <v>4</v>
      </c>
      <c r="H262">
        <v>0.15</v>
      </c>
      <c r="I262">
        <v>952</v>
      </c>
      <c r="J262">
        <v>229.93</v>
      </c>
    </row>
    <row r="263" spans="1:10" x14ac:dyDescent="0.35">
      <c r="A263" t="s">
        <v>384</v>
      </c>
      <c r="B263" s="2">
        <v>45892</v>
      </c>
      <c r="C263" t="s">
        <v>181</v>
      </c>
      <c r="D263" t="s">
        <v>67</v>
      </c>
      <c r="E263" t="s">
        <v>13</v>
      </c>
      <c r="F263" t="s">
        <v>14</v>
      </c>
      <c r="G263">
        <v>3</v>
      </c>
      <c r="H263">
        <v>0.05</v>
      </c>
      <c r="I263">
        <v>3420</v>
      </c>
      <c r="J263">
        <v>1489.56</v>
      </c>
    </row>
    <row r="264" spans="1:10" x14ac:dyDescent="0.35">
      <c r="A264" t="s">
        <v>385</v>
      </c>
      <c r="B264" s="2">
        <v>45819</v>
      </c>
      <c r="C264" t="s">
        <v>119</v>
      </c>
      <c r="D264" t="s">
        <v>35</v>
      </c>
      <c r="E264" t="s">
        <v>13</v>
      </c>
      <c r="F264" t="s">
        <v>50</v>
      </c>
      <c r="G264">
        <v>5</v>
      </c>
      <c r="H264">
        <v>0.15</v>
      </c>
      <c r="I264">
        <v>3612.5</v>
      </c>
      <c r="J264">
        <v>446.47</v>
      </c>
    </row>
    <row r="265" spans="1:10" x14ac:dyDescent="0.35">
      <c r="A265" t="s">
        <v>386</v>
      </c>
      <c r="B265" s="2">
        <v>45787</v>
      </c>
      <c r="C265" t="s">
        <v>387</v>
      </c>
      <c r="D265" t="s">
        <v>67</v>
      </c>
      <c r="E265" t="s">
        <v>13</v>
      </c>
      <c r="F265" t="s">
        <v>14</v>
      </c>
      <c r="G265">
        <v>2</v>
      </c>
      <c r="H265">
        <v>0.1</v>
      </c>
      <c r="I265">
        <v>2160</v>
      </c>
      <c r="J265">
        <v>717.55</v>
      </c>
    </row>
    <row r="266" spans="1:10" x14ac:dyDescent="0.35">
      <c r="A266" t="s">
        <v>388</v>
      </c>
      <c r="B266" s="2">
        <v>45993</v>
      </c>
      <c r="C266" t="s">
        <v>64</v>
      </c>
      <c r="D266" t="s">
        <v>49</v>
      </c>
      <c r="E266" t="s">
        <v>13</v>
      </c>
      <c r="F266" t="s">
        <v>50</v>
      </c>
      <c r="G266">
        <v>3</v>
      </c>
      <c r="H266">
        <v>0</v>
      </c>
      <c r="I266">
        <v>210</v>
      </c>
      <c r="J266">
        <v>39.11</v>
      </c>
    </row>
    <row r="267" spans="1:10" x14ac:dyDescent="0.35">
      <c r="A267" t="s">
        <v>389</v>
      </c>
      <c r="B267" s="2">
        <v>45883</v>
      </c>
      <c r="C267" t="s">
        <v>243</v>
      </c>
      <c r="D267" t="s">
        <v>99</v>
      </c>
      <c r="E267" t="s">
        <v>18</v>
      </c>
      <c r="F267" t="s">
        <v>25</v>
      </c>
      <c r="G267">
        <v>3</v>
      </c>
      <c r="H267">
        <v>0.05</v>
      </c>
      <c r="I267">
        <v>541.5</v>
      </c>
      <c r="J267">
        <v>155.01</v>
      </c>
    </row>
    <row r="268" spans="1:10" x14ac:dyDescent="0.35">
      <c r="A268" t="s">
        <v>390</v>
      </c>
      <c r="B268" s="2">
        <v>45923</v>
      </c>
      <c r="C268" t="s">
        <v>185</v>
      </c>
      <c r="D268" t="s">
        <v>35</v>
      </c>
      <c r="E268" t="s">
        <v>13</v>
      </c>
      <c r="F268" t="s">
        <v>22</v>
      </c>
      <c r="G268">
        <v>1</v>
      </c>
      <c r="H268">
        <v>0.15</v>
      </c>
      <c r="I268">
        <v>722.5</v>
      </c>
      <c r="J268">
        <v>306.31</v>
      </c>
    </row>
    <row r="269" spans="1:10" x14ac:dyDescent="0.35">
      <c r="A269" t="s">
        <v>391</v>
      </c>
      <c r="B269" s="2">
        <v>45937</v>
      </c>
      <c r="C269" t="s">
        <v>145</v>
      </c>
      <c r="D269" t="s">
        <v>35</v>
      </c>
      <c r="E269" t="s">
        <v>13</v>
      </c>
      <c r="F269" t="s">
        <v>25</v>
      </c>
      <c r="G269">
        <v>3</v>
      </c>
      <c r="H269">
        <v>0</v>
      </c>
      <c r="I269">
        <v>2550</v>
      </c>
      <c r="J269">
        <v>1080.1199999999999</v>
      </c>
    </row>
    <row r="270" spans="1:10" x14ac:dyDescent="0.35">
      <c r="A270" t="s">
        <v>392</v>
      </c>
      <c r="B270" s="2">
        <v>45814</v>
      </c>
      <c r="C270" t="s">
        <v>342</v>
      </c>
      <c r="D270" t="s">
        <v>45</v>
      </c>
      <c r="E270" t="s">
        <v>46</v>
      </c>
      <c r="F270" t="s">
        <v>25</v>
      </c>
      <c r="G270">
        <v>5</v>
      </c>
      <c r="H270">
        <v>0.15</v>
      </c>
      <c r="I270">
        <v>76.5</v>
      </c>
      <c r="J270">
        <v>30.22</v>
      </c>
    </row>
    <row r="271" spans="1:10" x14ac:dyDescent="0.35">
      <c r="A271" t="s">
        <v>393</v>
      </c>
      <c r="B271" s="2">
        <v>45886</v>
      </c>
      <c r="C271" t="s">
        <v>295</v>
      </c>
      <c r="D271" t="s">
        <v>67</v>
      </c>
      <c r="E271" t="s">
        <v>13</v>
      </c>
      <c r="F271" t="s">
        <v>14</v>
      </c>
      <c r="G271">
        <v>3</v>
      </c>
      <c r="H271">
        <v>0.2</v>
      </c>
      <c r="I271">
        <v>2880</v>
      </c>
      <c r="J271">
        <v>347.36</v>
      </c>
    </row>
    <row r="272" spans="1:10" x14ac:dyDescent="0.35">
      <c r="A272" t="s">
        <v>394</v>
      </c>
      <c r="B272" s="2">
        <v>45696</v>
      </c>
      <c r="C272" t="s">
        <v>288</v>
      </c>
      <c r="D272" t="s">
        <v>38</v>
      </c>
      <c r="E272" t="s">
        <v>13</v>
      </c>
      <c r="F272" t="s">
        <v>22</v>
      </c>
      <c r="G272">
        <v>4</v>
      </c>
      <c r="H272">
        <v>0.1</v>
      </c>
      <c r="I272">
        <v>1152</v>
      </c>
      <c r="J272">
        <v>323.35000000000002</v>
      </c>
    </row>
    <row r="273" spans="1:10" x14ac:dyDescent="0.35">
      <c r="A273" t="s">
        <v>395</v>
      </c>
      <c r="B273" s="2">
        <v>45673</v>
      </c>
      <c r="C273" t="s">
        <v>80</v>
      </c>
      <c r="D273" t="s">
        <v>28</v>
      </c>
      <c r="E273" t="s">
        <v>18</v>
      </c>
      <c r="F273" t="s">
        <v>22</v>
      </c>
      <c r="G273">
        <v>5</v>
      </c>
      <c r="H273">
        <v>0.15</v>
      </c>
      <c r="I273">
        <v>1190</v>
      </c>
      <c r="J273">
        <v>521.83000000000004</v>
      </c>
    </row>
    <row r="274" spans="1:10" x14ac:dyDescent="0.35">
      <c r="A274" t="s">
        <v>396</v>
      </c>
      <c r="B274" s="2">
        <v>45988</v>
      </c>
      <c r="C274" t="s">
        <v>16</v>
      </c>
      <c r="D274" t="s">
        <v>49</v>
      </c>
      <c r="E274" t="s">
        <v>13</v>
      </c>
      <c r="F274" t="s">
        <v>22</v>
      </c>
      <c r="G274">
        <v>3</v>
      </c>
      <c r="H274">
        <v>0.15</v>
      </c>
      <c r="I274">
        <v>178.5</v>
      </c>
      <c r="J274">
        <v>24.4</v>
      </c>
    </row>
    <row r="275" spans="1:10" x14ac:dyDescent="0.35">
      <c r="A275" t="s">
        <v>397</v>
      </c>
      <c r="B275" s="2">
        <v>46005</v>
      </c>
      <c r="C275" t="s">
        <v>128</v>
      </c>
      <c r="D275" t="s">
        <v>45</v>
      </c>
      <c r="E275" t="s">
        <v>46</v>
      </c>
      <c r="F275" t="s">
        <v>22</v>
      </c>
      <c r="G275">
        <v>3</v>
      </c>
      <c r="H275">
        <v>0.1</v>
      </c>
      <c r="I275">
        <v>48.6</v>
      </c>
      <c r="J275">
        <v>14.75</v>
      </c>
    </row>
    <row r="276" spans="1:10" x14ac:dyDescent="0.35">
      <c r="A276" t="s">
        <v>398</v>
      </c>
      <c r="B276" s="2">
        <v>45929</v>
      </c>
      <c r="C276" t="s">
        <v>163</v>
      </c>
      <c r="D276" t="s">
        <v>49</v>
      </c>
      <c r="E276" t="s">
        <v>13</v>
      </c>
      <c r="F276" t="s">
        <v>14</v>
      </c>
      <c r="G276">
        <v>4</v>
      </c>
      <c r="H276">
        <v>0.1</v>
      </c>
      <c r="I276">
        <v>252</v>
      </c>
      <c r="J276">
        <v>59.38</v>
      </c>
    </row>
    <row r="277" spans="1:10" x14ac:dyDescent="0.35">
      <c r="A277" t="s">
        <v>399</v>
      </c>
      <c r="B277" s="2">
        <v>45671</v>
      </c>
      <c r="C277" t="s">
        <v>20</v>
      </c>
      <c r="D277" t="s">
        <v>17</v>
      </c>
      <c r="E277" t="s">
        <v>18</v>
      </c>
      <c r="F277" t="s">
        <v>14</v>
      </c>
      <c r="G277">
        <v>2</v>
      </c>
      <c r="H277">
        <v>0.15</v>
      </c>
      <c r="I277">
        <v>357</v>
      </c>
      <c r="J277">
        <v>99.65</v>
      </c>
    </row>
    <row r="278" spans="1:10" x14ac:dyDescent="0.35">
      <c r="A278" t="s">
        <v>400</v>
      </c>
      <c r="B278" s="2">
        <v>45792</v>
      </c>
      <c r="C278" t="s">
        <v>364</v>
      </c>
      <c r="D278" t="s">
        <v>35</v>
      </c>
      <c r="E278" t="s">
        <v>13</v>
      </c>
      <c r="F278" t="s">
        <v>50</v>
      </c>
      <c r="G278">
        <v>4</v>
      </c>
      <c r="H278">
        <v>0.05</v>
      </c>
      <c r="I278">
        <v>3230</v>
      </c>
      <c r="J278">
        <v>391.47</v>
      </c>
    </row>
    <row r="279" spans="1:10" x14ac:dyDescent="0.35">
      <c r="A279" t="s">
        <v>401</v>
      </c>
      <c r="B279" s="2">
        <v>45760</v>
      </c>
      <c r="C279" t="s">
        <v>165</v>
      </c>
      <c r="D279" t="s">
        <v>12</v>
      </c>
      <c r="E279" t="s">
        <v>13</v>
      </c>
      <c r="F279" t="s">
        <v>50</v>
      </c>
      <c r="G279">
        <v>2</v>
      </c>
      <c r="H279">
        <v>0</v>
      </c>
      <c r="I279">
        <v>70</v>
      </c>
      <c r="J279">
        <v>21.06</v>
      </c>
    </row>
    <row r="280" spans="1:10" x14ac:dyDescent="0.35">
      <c r="A280" t="s">
        <v>402</v>
      </c>
      <c r="B280" s="2">
        <v>45702</v>
      </c>
      <c r="C280" t="s">
        <v>95</v>
      </c>
      <c r="D280" t="s">
        <v>38</v>
      </c>
      <c r="E280" t="s">
        <v>13</v>
      </c>
      <c r="F280" t="s">
        <v>25</v>
      </c>
      <c r="G280">
        <v>3</v>
      </c>
      <c r="H280">
        <v>0.1</v>
      </c>
      <c r="I280">
        <v>864</v>
      </c>
      <c r="J280">
        <v>186.5</v>
      </c>
    </row>
    <row r="281" spans="1:10" x14ac:dyDescent="0.35">
      <c r="A281" t="s">
        <v>403</v>
      </c>
      <c r="B281" s="2">
        <v>45811</v>
      </c>
      <c r="C281" t="s">
        <v>404</v>
      </c>
      <c r="D281" t="s">
        <v>28</v>
      </c>
      <c r="E281" t="s">
        <v>18</v>
      </c>
      <c r="F281" t="s">
        <v>22</v>
      </c>
      <c r="G281">
        <v>2</v>
      </c>
      <c r="H281">
        <v>0.1</v>
      </c>
      <c r="I281">
        <v>504</v>
      </c>
      <c r="J281">
        <v>142.18</v>
      </c>
    </row>
    <row r="282" spans="1:10" x14ac:dyDescent="0.35">
      <c r="A282" t="s">
        <v>405</v>
      </c>
      <c r="B282" s="2">
        <v>45729</v>
      </c>
      <c r="C282" t="s">
        <v>219</v>
      </c>
      <c r="D282" t="s">
        <v>21</v>
      </c>
      <c r="E282" t="s">
        <v>18</v>
      </c>
      <c r="F282" t="s">
        <v>25</v>
      </c>
      <c r="G282">
        <v>4</v>
      </c>
      <c r="H282">
        <v>0</v>
      </c>
      <c r="I282">
        <v>220</v>
      </c>
      <c r="J282">
        <v>72.8</v>
      </c>
    </row>
    <row r="283" spans="1:10" x14ac:dyDescent="0.35">
      <c r="A283" t="s">
        <v>406</v>
      </c>
      <c r="B283" s="2">
        <v>45897</v>
      </c>
      <c r="C283" t="s">
        <v>80</v>
      </c>
      <c r="D283" t="s">
        <v>55</v>
      </c>
      <c r="E283" t="s">
        <v>46</v>
      </c>
      <c r="F283" t="s">
        <v>25</v>
      </c>
      <c r="G283">
        <v>2</v>
      </c>
      <c r="H283">
        <v>0.2</v>
      </c>
      <c r="I283">
        <v>384</v>
      </c>
      <c r="J283">
        <v>60.75</v>
      </c>
    </row>
    <row r="284" spans="1:10" x14ac:dyDescent="0.35">
      <c r="A284" t="s">
        <v>407</v>
      </c>
      <c r="B284" s="2">
        <v>45861</v>
      </c>
      <c r="C284" t="s">
        <v>87</v>
      </c>
      <c r="D284" t="s">
        <v>17</v>
      </c>
      <c r="E284" t="s">
        <v>18</v>
      </c>
      <c r="F284" t="s">
        <v>14</v>
      </c>
      <c r="G284">
        <v>4</v>
      </c>
      <c r="H284">
        <v>0.2</v>
      </c>
      <c r="I284">
        <v>672</v>
      </c>
      <c r="J284">
        <v>211.3</v>
      </c>
    </row>
    <row r="285" spans="1:10" x14ac:dyDescent="0.35">
      <c r="A285" t="s">
        <v>408</v>
      </c>
      <c r="B285" s="2">
        <v>45722</v>
      </c>
      <c r="C285" t="s">
        <v>409</v>
      </c>
      <c r="D285" t="s">
        <v>49</v>
      </c>
      <c r="E285" t="s">
        <v>13</v>
      </c>
      <c r="F285" t="s">
        <v>25</v>
      </c>
      <c r="G285">
        <v>1</v>
      </c>
      <c r="H285">
        <v>0.15</v>
      </c>
      <c r="I285">
        <v>59.5</v>
      </c>
      <c r="J285">
        <v>17.63</v>
      </c>
    </row>
    <row r="286" spans="1:10" x14ac:dyDescent="0.35">
      <c r="A286" t="s">
        <v>410</v>
      </c>
      <c r="B286" s="2">
        <v>45723</v>
      </c>
      <c r="C286" t="s">
        <v>115</v>
      </c>
      <c r="D286" t="s">
        <v>55</v>
      </c>
      <c r="E286" t="s">
        <v>46</v>
      </c>
      <c r="F286" t="s">
        <v>50</v>
      </c>
      <c r="G286">
        <v>5</v>
      </c>
      <c r="H286">
        <v>0.05</v>
      </c>
      <c r="I286">
        <v>1140</v>
      </c>
      <c r="J286">
        <v>224.16</v>
      </c>
    </row>
    <row r="287" spans="1:10" x14ac:dyDescent="0.35">
      <c r="A287" t="s">
        <v>411</v>
      </c>
      <c r="B287" s="2">
        <v>45915</v>
      </c>
      <c r="C287" t="s">
        <v>412</v>
      </c>
      <c r="D287" t="s">
        <v>67</v>
      </c>
      <c r="E287" t="s">
        <v>13</v>
      </c>
      <c r="F287" t="s">
        <v>22</v>
      </c>
      <c r="G287">
        <v>1</v>
      </c>
      <c r="H287">
        <v>0.2</v>
      </c>
      <c r="I287">
        <v>960</v>
      </c>
      <c r="J287">
        <v>383.52</v>
      </c>
    </row>
    <row r="288" spans="1:10" x14ac:dyDescent="0.35">
      <c r="A288" t="s">
        <v>413</v>
      </c>
      <c r="B288" s="2">
        <v>45823</v>
      </c>
      <c r="C288" t="s">
        <v>409</v>
      </c>
      <c r="D288" t="s">
        <v>17</v>
      </c>
      <c r="E288" t="s">
        <v>18</v>
      </c>
      <c r="F288" t="s">
        <v>25</v>
      </c>
      <c r="G288">
        <v>2</v>
      </c>
      <c r="H288">
        <v>0.1</v>
      </c>
      <c r="I288">
        <v>378</v>
      </c>
      <c r="J288">
        <v>51.91</v>
      </c>
    </row>
    <row r="289" spans="1:10" x14ac:dyDescent="0.35">
      <c r="A289" t="s">
        <v>414</v>
      </c>
      <c r="B289" s="2">
        <v>45698</v>
      </c>
      <c r="C289" t="s">
        <v>189</v>
      </c>
      <c r="D289" t="s">
        <v>35</v>
      </c>
      <c r="E289" t="s">
        <v>13</v>
      </c>
      <c r="F289" t="s">
        <v>25</v>
      </c>
      <c r="G289">
        <v>2</v>
      </c>
      <c r="H289">
        <v>0.2</v>
      </c>
      <c r="I289">
        <v>1360</v>
      </c>
      <c r="J289">
        <v>488.83</v>
      </c>
    </row>
    <row r="290" spans="1:10" x14ac:dyDescent="0.35">
      <c r="A290" t="s">
        <v>415</v>
      </c>
      <c r="B290" s="2">
        <v>45972</v>
      </c>
      <c r="C290" t="s">
        <v>24</v>
      </c>
      <c r="D290" t="s">
        <v>55</v>
      </c>
      <c r="E290" t="s">
        <v>46</v>
      </c>
      <c r="F290" t="s">
        <v>22</v>
      </c>
      <c r="G290">
        <v>1</v>
      </c>
      <c r="H290">
        <v>0.2</v>
      </c>
      <c r="I290">
        <v>192</v>
      </c>
      <c r="J290">
        <v>45.79</v>
      </c>
    </row>
    <row r="291" spans="1:10" x14ac:dyDescent="0.35">
      <c r="A291" t="s">
        <v>416</v>
      </c>
      <c r="B291" s="2">
        <v>45745</v>
      </c>
      <c r="C291" t="s">
        <v>73</v>
      </c>
      <c r="D291" t="s">
        <v>38</v>
      </c>
      <c r="E291" t="s">
        <v>13</v>
      </c>
      <c r="F291" t="s">
        <v>14</v>
      </c>
      <c r="G291">
        <v>5</v>
      </c>
      <c r="H291">
        <v>0.2</v>
      </c>
      <c r="I291">
        <v>1280</v>
      </c>
      <c r="J291">
        <v>433.39</v>
      </c>
    </row>
    <row r="292" spans="1:10" x14ac:dyDescent="0.35">
      <c r="A292" t="s">
        <v>417</v>
      </c>
      <c r="B292" s="2">
        <v>45672</v>
      </c>
      <c r="C292" t="s">
        <v>124</v>
      </c>
      <c r="D292" t="s">
        <v>12</v>
      </c>
      <c r="E292" t="s">
        <v>13</v>
      </c>
      <c r="F292" t="s">
        <v>50</v>
      </c>
      <c r="G292">
        <v>1</v>
      </c>
      <c r="H292">
        <v>0.2</v>
      </c>
      <c r="I292">
        <v>28</v>
      </c>
      <c r="J292">
        <v>10.15</v>
      </c>
    </row>
    <row r="293" spans="1:10" x14ac:dyDescent="0.35">
      <c r="A293" t="s">
        <v>418</v>
      </c>
      <c r="B293" s="2">
        <v>45974</v>
      </c>
      <c r="C293" t="s">
        <v>119</v>
      </c>
      <c r="D293" t="s">
        <v>38</v>
      </c>
      <c r="E293" t="s">
        <v>13</v>
      </c>
      <c r="F293" t="s">
        <v>25</v>
      </c>
      <c r="G293">
        <v>1</v>
      </c>
      <c r="H293">
        <v>0.15</v>
      </c>
      <c r="I293">
        <v>272</v>
      </c>
      <c r="J293">
        <v>42.6</v>
      </c>
    </row>
    <row r="294" spans="1:10" x14ac:dyDescent="0.35">
      <c r="A294" t="s">
        <v>419</v>
      </c>
      <c r="B294" s="2">
        <v>45986</v>
      </c>
      <c r="C294" t="s">
        <v>278</v>
      </c>
      <c r="D294" t="s">
        <v>35</v>
      </c>
      <c r="E294" t="s">
        <v>13</v>
      </c>
      <c r="F294" t="s">
        <v>50</v>
      </c>
      <c r="G294">
        <v>4</v>
      </c>
      <c r="H294">
        <v>0.05</v>
      </c>
      <c r="I294">
        <v>3230</v>
      </c>
      <c r="J294">
        <v>595.78</v>
      </c>
    </row>
    <row r="295" spans="1:10" x14ac:dyDescent="0.35">
      <c r="A295" t="s">
        <v>420</v>
      </c>
      <c r="B295" s="2">
        <v>45810</v>
      </c>
      <c r="C295" t="s">
        <v>178</v>
      </c>
      <c r="D295" t="s">
        <v>45</v>
      </c>
      <c r="E295" t="s">
        <v>46</v>
      </c>
      <c r="F295" t="s">
        <v>50</v>
      </c>
      <c r="G295">
        <v>1</v>
      </c>
      <c r="H295">
        <v>0</v>
      </c>
      <c r="I295">
        <v>18</v>
      </c>
      <c r="J295">
        <v>7.16</v>
      </c>
    </row>
    <row r="296" spans="1:10" x14ac:dyDescent="0.35">
      <c r="A296" t="s">
        <v>421</v>
      </c>
      <c r="B296" s="2">
        <v>45895</v>
      </c>
      <c r="C296" t="s">
        <v>165</v>
      </c>
      <c r="D296" t="s">
        <v>21</v>
      </c>
      <c r="E296" t="s">
        <v>18</v>
      </c>
      <c r="F296" t="s">
        <v>25</v>
      </c>
      <c r="G296">
        <v>3</v>
      </c>
      <c r="H296">
        <v>0.2</v>
      </c>
      <c r="I296">
        <v>132</v>
      </c>
      <c r="J296">
        <v>53.14</v>
      </c>
    </row>
    <row r="297" spans="1:10" x14ac:dyDescent="0.35">
      <c r="A297" t="s">
        <v>422</v>
      </c>
      <c r="B297" s="2">
        <v>45834</v>
      </c>
      <c r="C297" t="s">
        <v>122</v>
      </c>
      <c r="D297" t="s">
        <v>99</v>
      </c>
      <c r="E297" t="s">
        <v>18</v>
      </c>
      <c r="F297" t="s">
        <v>25</v>
      </c>
      <c r="G297">
        <v>2</v>
      </c>
      <c r="H297">
        <v>0.1</v>
      </c>
      <c r="I297">
        <v>342</v>
      </c>
      <c r="J297">
        <v>95.78</v>
      </c>
    </row>
    <row r="298" spans="1:10" x14ac:dyDescent="0.35">
      <c r="A298" t="s">
        <v>423</v>
      </c>
      <c r="B298" s="2">
        <v>45781</v>
      </c>
      <c r="C298" t="s">
        <v>154</v>
      </c>
      <c r="D298" t="s">
        <v>45</v>
      </c>
      <c r="E298" t="s">
        <v>46</v>
      </c>
      <c r="F298" t="s">
        <v>14</v>
      </c>
      <c r="G298">
        <v>1</v>
      </c>
      <c r="H298">
        <v>0.1</v>
      </c>
      <c r="I298">
        <v>16.2</v>
      </c>
      <c r="J298">
        <v>4.8899999999999997</v>
      </c>
    </row>
    <row r="299" spans="1:10" x14ac:dyDescent="0.35">
      <c r="A299" t="s">
        <v>424</v>
      </c>
      <c r="B299" s="2">
        <v>45683</v>
      </c>
      <c r="C299" t="s">
        <v>273</v>
      </c>
      <c r="D299" t="s">
        <v>35</v>
      </c>
      <c r="E299" t="s">
        <v>13</v>
      </c>
      <c r="F299" t="s">
        <v>25</v>
      </c>
      <c r="G299">
        <v>4</v>
      </c>
      <c r="H299">
        <v>0.2</v>
      </c>
      <c r="I299">
        <v>2720</v>
      </c>
      <c r="J299">
        <v>848.68</v>
      </c>
    </row>
    <row r="300" spans="1:10" x14ac:dyDescent="0.35">
      <c r="A300" t="s">
        <v>425</v>
      </c>
      <c r="B300" s="2">
        <v>45953</v>
      </c>
      <c r="C300" t="s">
        <v>243</v>
      </c>
      <c r="D300" t="s">
        <v>17</v>
      </c>
      <c r="E300" t="s">
        <v>18</v>
      </c>
      <c r="F300" t="s">
        <v>50</v>
      </c>
      <c r="G300">
        <v>3</v>
      </c>
      <c r="H300">
        <v>0.05</v>
      </c>
      <c r="I300">
        <v>598.5</v>
      </c>
      <c r="J300">
        <v>118.6</v>
      </c>
    </row>
    <row r="301" spans="1:10" x14ac:dyDescent="0.35">
      <c r="A301" t="s">
        <v>426</v>
      </c>
      <c r="B301" s="2">
        <v>45913</v>
      </c>
      <c r="C301" t="s">
        <v>286</v>
      </c>
      <c r="D301" t="s">
        <v>35</v>
      </c>
      <c r="E301" t="s">
        <v>13</v>
      </c>
      <c r="F301" t="s">
        <v>50</v>
      </c>
      <c r="G301">
        <v>4</v>
      </c>
      <c r="H301">
        <v>0</v>
      </c>
      <c r="I301">
        <v>3400</v>
      </c>
      <c r="J301">
        <v>1428.96</v>
      </c>
    </row>
    <row r="302" spans="1:10" x14ac:dyDescent="0.35">
      <c r="A302" t="s">
        <v>427</v>
      </c>
      <c r="B302" s="2">
        <v>45781</v>
      </c>
      <c r="C302" t="s">
        <v>364</v>
      </c>
      <c r="D302" t="s">
        <v>21</v>
      </c>
      <c r="E302" t="s">
        <v>18</v>
      </c>
      <c r="F302" t="s">
        <v>50</v>
      </c>
      <c r="G302">
        <v>5</v>
      </c>
      <c r="H302">
        <v>0.1</v>
      </c>
      <c r="I302">
        <v>247.5</v>
      </c>
      <c r="J302">
        <v>107.4</v>
      </c>
    </row>
    <row r="303" spans="1:10" x14ac:dyDescent="0.35">
      <c r="A303" t="s">
        <v>428</v>
      </c>
      <c r="B303" s="2">
        <v>45963</v>
      </c>
      <c r="C303" t="s">
        <v>122</v>
      </c>
      <c r="D303" t="s">
        <v>38</v>
      </c>
      <c r="E303" t="s">
        <v>13</v>
      </c>
      <c r="F303" t="s">
        <v>50</v>
      </c>
      <c r="G303">
        <v>4</v>
      </c>
      <c r="H303">
        <v>0.1</v>
      </c>
      <c r="I303">
        <v>1152</v>
      </c>
      <c r="J303">
        <v>314.37</v>
      </c>
    </row>
    <row r="304" spans="1:10" x14ac:dyDescent="0.35">
      <c r="A304" t="s">
        <v>429</v>
      </c>
      <c r="B304" s="2">
        <v>45726</v>
      </c>
      <c r="C304" t="s">
        <v>98</v>
      </c>
      <c r="D304" t="s">
        <v>35</v>
      </c>
      <c r="E304" t="s">
        <v>13</v>
      </c>
      <c r="F304" t="s">
        <v>14</v>
      </c>
      <c r="G304">
        <v>3</v>
      </c>
      <c r="H304">
        <v>0.15</v>
      </c>
      <c r="I304">
        <v>2167.5</v>
      </c>
      <c r="J304">
        <v>713.63</v>
      </c>
    </row>
    <row r="305" spans="1:10" x14ac:dyDescent="0.35">
      <c r="A305" t="s">
        <v>430</v>
      </c>
      <c r="B305" s="2">
        <v>45949</v>
      </c>
      <c r="C305" t="s">
        <v>128</v>
      </c>
      <c r="D305" t="s">
        <v>55</v>
      </c>
      <c r="E305" t="s">
        <v>46</v>
      </c>
      <c r="F305" t="s">
        <v>50</v>
      </c>
      <c r="G305">
        <v>2</v>
      </c>
      <c r="H305">
        <v>0.1</v>
      </c>
      <c r="I305">
        <v>432</v>
      </c>
      <c r="J305">
        <v>115.53</v>
      </c>
    </row>
    <row r="306" spans="1:10" x14ac:dyDescent="0.35">
      <c r="A306" t="s">
        <v>431</v>
      </c>
      <c r="B306" s="2">
        <v>45916</v>
      </c>
      <c r="C306" t="s">
        <v>111</v>
      </c>
      <c r="D306" t="s">
        <v>45</v>
      </c>
      <c r="E306" t="s">
        <v>46</v>
      </c>
      <c r="F306" t="s">
        <v>14</v>
      </c>
      <c r="G306">
        <v>5</v>
      </c>
      <c r="H306">
        <v>0.1</v>
      </c>
      <c r="I306">
        <v>81</v>
      </c>
      <c r="J306">
        <v>14.39</v>
      </c>
    </row>
    <row r="307" spans="1:10" x14ac:dyDescent="0.35">
      <c r="A307" t="s">
        <v>432</v>
      </c>
      <c r="B307" s="2">
        <v>45723</v>
      </c>
      <c r="C307" t="s">
        <v>91</v>
      </c>
      <c r="D307" t="s">
        <v>12</v>
      </c>
      <c r="E307" t="s">
        <v>13</v>
      </c>
      <c r="F307" t="s">
        <v>25</v>
      </c>
      <c r="G307">
        <v>4</v>
      </c>
      <c r="H307">
        <v>0.1</v>
      </c>
      <c r="I307">
        <v>126</v>
      </c>
      <c r="J307">
        <v>23.65</v>
      </c>
    </row>
    <row r="308" spans="1:10" x14ac:dyDescent="0.35">
      <c r="A308" t="s">
        <v>433</v>
      </c>
      <c r="B308" s="2">
        <v>45731</v>
      </c>
      <c r="C308" t="s">
        <v>360</v>
      </c>
      <c r="D308" t="s">
        <v>21</v>
      </c>
      <c r="E308" t="s">
        <v>18</v>
      </c>
      <c r="F308" t="s">
        <v>14</v>
      </c>
      <c r="G308">
        <v>5</v>
      </c>
      <c r="H308">
        <v>0.2</v>
      </c>
      <c r="I308">
        <v>220</v>
      </c>
      <c r="J308">
        <v>69.86</v>
      </c>
    </row>
    <row r="309" spans="1:10" x14ac:dyDescent="0.35">
      <c r="A309" t="s">
        <v>434</v>
      </c>
      <c r="B309" s="2">
        <v>45677</v>
      </c>
      <c r="C309" t="s">
        <v>251</v>
      </c>
      <c r="D309" t="s">
        <v>28</v>
      </c>
      <c r="E309" t="s">
        <v>18</v>
      </c>
      <c r="F309" t="s">
        <v>22</v>
      </c>
      <c r="G309">
        <v>3</v>
      </c>
      <c r="H309">
        <v>0.15</v>
      </c>
      <c r="I309">
        <v>714</v>
      </c>
      <c r="J309">
        <v>198.93</v>
      </c>
    </row>
    <row r="310" spans="1:10" x14ac:dyDescent="0.35">
      <c r="A310" t="s">
        <v>435</v>
      </c>
      <c r="B310" s="2">
        <v>45825</v>
      </c>
      <c r="C310" t="s">
        <v>349</v>
      </c>
      <c r="D310" t="s">
        <v>83</v>
      </c>
      <c r="E310" t="s">
        <v>46</v>
      </c>
      <c r="F310" t="s">
        <v>25</v>
      </c>
      <c r="G310">
        <v>3</v>
      </c>
      <c r="H310">
        <v>0.05</v>
      </c>
      <c r="I310">
        <v>71.25</v>
      </c>
      <c r="J310">
        <v>22.82</v>
      </c>
    </row>
    <row r="311" spans="1:10" x14ac:dyDescent="0.35">
      <c r="A311" t="s">
        <v>436</v>
      </c>
      <c r="B311" s="2">
        <v>45961</v>
      </c>
      <c r="C311" t="s">
        <v>34</v>
      </c>
      <c r="D311" t="s">
        <v>49</v>
      </c>
      <c r="E311" t="s">
        <v>13</v>
      </c>
      <c r="F311" t="s">
        <v>25</v>
      </c>
      <c r="G311">
        <v>5</v>
      </c>
      <c r="H311">
        <v>0.2</v>
      </c>
      <c r="I311">
        <v>280</v>
      </c>
      <c r="J311">
        <v>76.81</v>
      </c>
    </row>
    <row r="312" spans="1:10" x14ac:dyDescent="0.35">
      <c r="A312" t="s">
        <v>437</v>
      </c>
      <c r="B312" s="2">
        <v>45901</v>
      </c>
      <c r="C312" t="s">
        <v>178</v>
      </c>
      <c r="D312" t="s">
        <v>67</v>
      </c>
      <c r="E312" t="s">
        <v>13</v>
      </c>
      <c r="F312" t="s">
        <v>25</v>
      </c>
      <c r="G312">
        <v>3</v>
      </c>
      <c r="H312">
        <v>0.1</v>
      </c>
      <c r="I312">
        <v>3240</v>
      </c>
      <c r="J312">
        <v>737.57</v>
      </c>
    </row>
    <row r="313" spans="1:10" x14ac:dyDescent="0.35">
      <c r="A313" t="s">
        <v>438</v>
      </c>
      <c r="B313" s="2">
        <v>46010</v>
      </c>
      <c r="C313" t="s">
        <v>196</v>
      </c>
      <c r="D313" t="s">
        <v>38</v>
      </c>
      <c r="E313" t="s">
        <v>13</v>
      </c>
      <c r="F313" t="s">
        <v>22</v>
      </c>
      <c r="G313">
        <v>1</v>
      </c>
      <c r="H313">
        <v>0.2</v>
      </c>
      <c r="I313">
        <v>256</v>
      </c>
      <c r="J313">
        <v>75.11</v>
      </c>
    </row>
    <row r="314" spans="1:10" x14ac:dyDescent="0.35">
      <c r="A314" t="s">
        <v>439</v>
      </c>
      <c r="B314" s="2">
        <v>45684</v>
      </c>
      <c r="C314" t="s">
        <v>204</v>
      </c>
      <c r="D314" t="s">
        <v>83</v>
      </c>
      <c r="E314" t="s">
        <v>46</v>
      </c>
      <c r="F314" t="s">
        <v>50</v>
      </c>
      <c r="G314">
        <v>4</v>
      </c>
      <c r="H314">
        <v>0.05</v>
      </c>
      <c r="I314">
        <v>95</v>
      </c>
      <c r="J314">
        <v>26.32</v>
      </c>
    </row>
    <row r="315" spans="1:10" x14ac:dyDescent="0.35">
      <c r="A315" t="s">
        <v>440</v>
      </c>
      <c r="B315" s="2">
        <v>45733</v>
      </c>
      <c r="C315" t="s">
        <v>135</v>
      </c>
      <c r="D315" t="s">
        <v>38</v>
      </c>
      <c r="E315" t="s">
        <v>13</v>
      </c>
      <c r="F315" t="s">
        <v>14</v>
      </c>
      <c r="G315">
        <v>2</v>
      </c>
      <c r="H315">
        <v>0</v>
      </c>
      <c r="I315">
        <v>640</v>
      </c>
      <c r="J315">
        <v>167.07</v>
      </c>
    </row>
    <row r="316" spans="1:10" x14ac:dyDescent="0.35">
      <c r="A316" t="s">
        <v>441</v>
      </c>
      <c r="B316" s="2">
        <v>45755</v>
      </c>
      <c r="C316" t="s">
        <v>87</v>
      </c>
      <c r="D316" t="s">
        <v>67</v>
      </c>
      <c r="E316" t="s">
        <v>13</v>
      </c>
      <c r="F316" t="s">
        <v>22</v>
      </c>
      <c r="G316">
        <v>4</v>
      </c>
      <c r="H316">
        <v>0.1</v>
      </c>
      <c r="I316">
        <v>4320</v>
      </c>
      <c r="J316">
        <v>1346.99</v>
      </c>
    </row>
    <row r="317" spans="1:10" x14ac:dyDescent="0.35">
      <c r="A317" t="s">
        <v>442</v>
      </c>
      <c r="B317" s="2">
        <v>45868</v>
      </c>
      <c r="C317" t="s">
        <v>133</v>
      </c>
      <c r="D317" t="s">
        <v>55</v>
      </c>
      <c r="E317" t="s">
        <v>46</v>
      </c>
      <c r="F317" t="s">
        <v>14</v>
      </c>
      <c r="G317">
        <v>5</v>
      </c>
      <c r="H317">
        <v>0.15</v>
      </c>
      <c r="I317">
        <v>1020</v>
      </c>
      <c r="J317">
        <v>165.21</v>
      </c>
    </row>
    <row r="318" spans="1:10" x14ac:dyDescent="0.35">
      <c r="A318" t="s">
        <v>443</v>
      </c>
      <c r="B318" s="2">
        <v>46019</v>
      </c>
      <c r="C318" t="s">
        <v>145</v>
      </c>
      <c r="D318" t="s">
        <v>28</v>
      </c>
      <c r="E318" t="s">
        <v>18</v>
      </c>
      <c r="F318" t="s">
        <v>50</v>
      </c>
      <c r="G318">
        <v>5</v>
      </c>
      <c r="H318">
        <v>0.05</v>
      </c>
      <c r="I318">
        <v>1330</v>
      </c>
      <c r="J318">
        <v>352.33</v>
      </c>
    </row>
    <row r="319" spans="1:10" x14ac:dyDescent="0.35">
      <c r="A319" t="s">
        <v>444</v>
      </c>
      <c r="B319" s="2">
        <v>45927</v>
      </c>
      <c r="C319" t="s">
        <v>42</v>
      </c>
      <c r="D319" t="s">
        <v>99</v>
      </c>
      <c r="E319" t="s">
        <v>18</v>
      </c>
      <c r="F319" t="s">
        <v>25</v>
      </c>
      <c r="G319">
        <v>3</v>
      </c>
      <c r="H319">
        <v>0.05</v>
      </c>
      <c r="I319">
        <v>541.5</v>
      </c>
      <c r="J319">
        <v>161.54</v>
      </c>
    </row>
    <row r="320" spans="1:10" x14ac:dyDescent="0.35">
      <c r="A320" t="s">
        <v>445</v>
      </c>
      <c r="B320" s="2">
        <v>45937</v>
      </c>
      <c r="C320" t="s">
        <v>163</v>
      </c>
      <c r="D320" t="s">
        <v>49</v>
      </c>
      <c r="E320" t="s">
        <v>13</v>
      </c>
      <c r="F320" t="s">
        <v>25</v>
      </c>
      <c r="G320">
        <v>3</v>
      </c>
      <c r="H320">
        <v>0.2</v>
      </c>
      <c r="I320">
        <v>168</v>
      </c>
      <c r="J320">
        <v>48.76</v>
      </c>
    </row>
    <row r="321" spans="1:10" x14ac:dyDescent="0.35">
      <c r="A321" t="s">
        <v>446</v>
      </c>
      <c r="B321" s="2">
        <v>45943</v>
      </c>
      <c r="C321" t="s">
        <v>34</v>
      </c>
      <c r="D321" t="s">
        <v>35</v>
      </c>
      <c r="E321" t="s">
        <v>13</v>
      </c>
      <c r="F321" t="s">
        <v>22</v>
      </c>
      <c r="G321">
        <v>2</v>
      </c>
      <c r="H321">
        <v>0.1</v>
      </c>
      <c r="I321">
        <v>1530</v>
      </c>
      <c r="J321">
        <v>299.13</v>
      </c>
    </row>
    <row r="322" spans="1:10" x14ac:dyDescent="0.35">
      <c r="A322" t="s">
        <v>447</v>
      </c>
      <c r="B322" s="2">
        <v>46011</v>
      </c>
      <c r="C322" t="s">
        <v>20</v>
      </c>
      <c r="D322" t="s">
        <v>17</v>
      </c>
      <c r="E322" t="s">
        <v>18</v>
      </c>
      <c r="F322" t="s">
        <v>25</v>
      </c>
      <c r="G322">
        <v>4</v>
      </c>
      <c r="H322">
        <v>0.1</v>
      </c>
      <c r="I322">
        <v>756</v>
      </c>
      <c r="J322">
        <v>220.5</v>
      </c>
    </row>
    <row r="323" spans="1:10" x14ac:dyDescent="0.35">
      <c r="A323" t="s">
        <v>448</v>
      </c>
      <c r="B323" s="2">
        <v>45805</v>
      </c>
      <c r="C323" t="s">
        <v>286</v>
      </c>
      <c r="D323" t="s">
        <v>12</v>
      </c>
      <c r="E323" t="s">
        <v>13</v>
      </c>
      <c r="F323" t="s">
        <v>25</v>
      </c>
      <c r="G323">
        <v>5</v>
      </c>
      <c r="H323">
        <v>0.2</v>
      </c>
      <c r="I323">
        <v>140</v>
      </c>
      <c r="J323">
        <v>45.46</v>
      </c>
    </row>
    <row r="324" spans="1:10" x14ac:dyDescent="0.35">
      <c r="A324" t="s">
        <v>449</v>
      </c>
      <c r="B324" s="2">
        <v>45732</v>
      </c>
      <c r="C324" t="s">
        <v>167</v>
      </c>
      <c r="D324" t="s">
        <v>35</v>
      </c>
      <c r="E324" t="s">
        <v>13</v>
      </c>
      <c r="F324" t="s">
        <v>25</v>
      </c>
      <c r="G324">
        <v>1</v>
      </c>
      <c r="H324">
        <v>0.1</v>
      </c>
      <c r="I324">
        <v>765</v>
      </c>
      <c r="J324">
        <v>103.08</v>
      </c>
    </row>
    <row r="325" spans="1:10" x14ac:dyDescent="0.35">
      <c r="A325" t="s">
        <v>450</v>
      </c>
      <c r="B325" s="2">
        <v>45884</v>
      </c>
      <c r="C325" t="s">
        <v>42</v>
      </c>
      <c r="D325" t="s">
        <v>38</v>
      </c>
      <c r="E325" t="s">
        <v>13</v>
      </c>
      <c r="F325" t="s">
        <v>25</v>
      </c>
      <c r="G325">
        <v>3</v>
      </c>
      <c r="H325">
        <v>0.15</v>
      </c>
      <c r="I325">
        <v>816</v>
      </c>
      <c r="J325">
        <v>309.58</v>
      </c>
    </row>
    <row r="326" spans="1:10" x14ac:dyDescent="0.35">
      <c r="A326" t="s">
        <v>451</v>
      </c>
      <c r="B326" s="2">
        <v>45945</v>
      </c>
      <c r="C326" t="s">
        <v>133</v>
      </c>
      <c r="D326" t="s">
        <v>17</v>
      </c>
      <c r="E326" t="s">
        <v>18</v>
      </c>
      <c r="F326" t="s">
        <v>22</v>
      </c>
      <c r="G326">
        <v>3</v>
      </c>
      <c r="H326">
        <v>0.05</v>
      </c>
      <c r="I326">
        <v>598.5</v>
      </c>
      <c r="J326">
        <v>247.75</v>
      </c>
    </row>
    <row r="327" spans="1:10" x14ac:dyDescent="0.35">
      <c r="A327" t="s">
        <v>452</v>
      </c>
      <c r="B327" s="2">
        <v>45782</v>
      </c>
      <c r="C327" t="s">
        <v>217</v>
      </c>
      <c r="D327" t="s">
        <v>67</v>
      </c>
      <c r="E327" t="s">
        <v>13</v>
      </c>
      <c r="F327" t="s">
        <v>14</v>
      </c>
      <c r="G327">
        <v>5</v>
      </c>
      <c r="H327">
        <v>0.05</v>
      </c>
      <c r="I327">
        <v>5700</v>
      </c>
      <c r="J327">
        <v>1365.03</v>
      </c>
    </row>
    <row r="328" spans="1:10" x14ac:dyDescent="0.35">
      <c r="A328" t="s">
        <v>453</v>
      </c>
      <c r="B328" s="2">
        <v>45869</v>
      </c>
      <c r="C328" t="s">
        <v>11</v>
      </c>
      <c r="D328" t="s">
        <v>49</v>
      </c>
      <c r="E328" t="s">
        <v>13</v>
      </c>
      <c r="F328" t="s">
        <v>14</v>
      </c>
      <c r="G328">
        <v>4</v>
      </c>
      <c r="H328">
        <v>0</v>
      </c>
      <c r="I328">
        <v>280</v>
      </c>
      <c r="J328">
        <v>63.06</v>
      </c>
    </row>
    <row r="329" spans="1:10" x14ac:dyDescent="0.35">
      <c r="A329" t="s">
        <v>454</v>
      </c>
      <c r="B329" s="2">
        <v>45939</v>
      </c>
      <c r="C329" t="s">
        <v>181</v>
      </c>
      <c r="D329" t="s">
        <v>28</v>
      </c>
      <c r="E329" t="s">
        <v>18</v>
      </c>
      <c r="F329" t="s">
        <v>25</v>
      </c>
      <c r="G329">
        <v>4</v>
      </c>
      <c r="H329">
        <v>0.15</v>
      </c>
      <c r="I329">
        <v>952</v>
      </c>
      <c r="J329">
        <v>278.39999999999998</v>
      </c>
    </row>
    <row r="330" spans="1:10" x14ac:dyDescent="0.35">
      <c r="A330" t="s">
        <v>455</v>
      </c>
      <c r="B330" s="2">
        <v>45822</v>
      </c>
      <c r="C330" t="s">
        <v>37</v>
      </c>
      <c r="D330" t="s">
        <v>35</v>
      </c>
      <c r="E330" t="s">
        <v>13</v>
      </c>
      <c r="F330" t="s">
        <v>14</v>
      </c>
      <c r="G330">
        <v>1</v>
      </c>
      <c r="H330">
        <v>0</v>
      </c>
      <c r="I330">
        <v>850</v>
      </c>
      <c r="J330">
        <v>199.53</v>
      </c>
    </row>
    <row r="331" spans="1:10" x14ac:dyDescent="0.35">
      <c r="A331" t="s">
        <v>456</v>
      </c>
      <c r="B331" s="2">
        <v>45747</v>
      </c>
      <c r="C331" t="s">
        <v>286</v>
      </c>
      <c r="D331" t="s">
        <v>99</v>
      </c>
      <c r="E331" t="s">
        <v>18</v>
      </c>
      <c r="F331" t="s">
        <v>50</v>
      </c>
      <c r="G331">
        <v>2</v>
      </c>
      <c r="H331">
        <v>0</v>
      </c>
      <c r="I331">
        <v>380</v>
      </c>
      <c r="J331">
        <v>45.95</v>
      </c>
    </row>
    <row r="332" spans="1:10" x14ac:dyDescent="0.35">
      <c r="A332" t="s">
        <v>457</v>
      </c>
      <c r="B332" s="2">
        <v>45753</v>
      </c>
      <c r="C332" t="s">
        <v>73</v>
      </c>
      <c r="D332" t="s">
        <v>17</v>
      </c>
      <c r="E332" t="s">
        <v>18</v>
      </c>
      <c r="F332" t="s">
        <v>14</v>
      </c>
      <c r="G332">
        <v>3</v>
      </c>
      <c r="H332">
        <v>0</v>
      </c>
      <c r="I332">
        <v>630</v>
      </c>
      <c r="J332">
        <v>281.57</v>
      </c>
    </row>
    <row r="333" spans="1:10" x14ac:dyDescent="0.35">
      <c r="A333" t="s">
        <v>458</v>
      </c>
      <c r="B333" s="2">
        <v>45829</v>
      </c>
      <c r="C333" t="s">
        <v>11</v>
      </c>
      <c r="D333" t="s">
        <v>35</v>
      </c>
      <c r="E333" t="s">
        <v>13</v>
      </c>
      <c r="F333" t="s">
        <v>50</v>
      </c>
      <c r="G333">
        <v>4</v>
      </c>
      <c r="H333">
        <v>0.2</v>
      </c>
      <c r="I333">
        <v>2720</v>
      </c>
      <c r="J333">
        <v>753.37</v>
      </c>
    </row>
    <row r="334" spans="1:10" x14ac:dyDescent="0.35">
      <c r="A334" t="s">
        <v>459</v>
      </c>
      <c r="B334" s="2">
        <v>45797</v>
      </c>
      <c r="C334" t="s">
        <v>101</v>
      </c>
      <c r="D334" t="s">
        <v>21</v>
      </c>
      <c r="E334" t="s">
        <v>18</v>
      </c>
      <c r="F334" t="s">
        <v>25</v>
      </c>
      <c r="G334">
        <v>1</v>
      </c>
      <c r="H334">
        <v>0.1</v>
      </c>
      <c r="I334">
        <v>49.5</v>
      </c>
      <c r="J334">
        <v>19.62</v>
      </c>
    </row>
    <row r="335" spans="1:10" x14ac:dyDescent="0.35">
      <c r="A335" t="s">
        <v>460</v>
      </c>
      <c r="B335" s="2">
        <v>45753</v>
      </c>
      <c r="C335" t="s">
        <v>57</v>
      </c>
      <c r="D335" t="s">
        <v>67</v>
      </c>
      <c r="E335" t="s">
        <v>13</v>
      </c>
      <c r="F335" t="s">
        <v>22</v>
      </c>
      <c r="G335">
        <v>3</v>
      </c>
      <c r="H335">
        <v>0.1</v>
      </c>
      <c r="I335">
        <v>3240</v>
      </c>
      <c r="J335">
        <v>850.93</v>
      </c>
    </row>
    <row r="336" spans="1:10" x14ac:dyDescent="0.35">
      <c r="A336" t="s">
        <v>461</v>
      </c>
      <c r="B336" s="2">
        <v>45747</v>
      </c>
      <c r="C336" t="s">
        <v>315</v>
      </c>
      <c r="D336" t="s">
        <v>83</v>
      </c>
      <c r="E336" t="s">
        <v>46</v>
      </c>
      <c r="F336" t="s">
        <v>50</v>
      </c>
      <c r="G336">
        <v>4</v>
      </c>
      <c r="H336">
        <v>0.15</v>
      </c>
      <c r="I336">
        <v>85</v>
      </c>
      <c r="J336">
        <v>23.8</v>
      </c>
    </row>
    <row r="337" spans="1:10" x14ac:dyDescent="0.35">
      <c r="A337" t="s">
        <v>462</v>
      </c>
      <c r="B337" s="2">
        <v>46000</v>
      </c>
      <c r="C337" t="s">
        <v>163</v>
      </c>
      <c r="D337" t="s">
        <v>12</v>
      </c>
      <c r="E337" t="s">
        <v>13</v>
      </c>
      <c r="F337" t="s">
        <v>14</v>
      </c>
      <c r="G337">
        <v>2</v>
      </c>
      <c r="H337">
        <v>0.05</v>
      </c>
      <c r="I337">
        <v>66.5</v>
      </c>
      <c r="J337">
        <v>19.45</v>
      </c>
    </row>
    <row r="338" spans="1:10" x14ac:dyDescent="0.35">
      <c r="A338" t="s">
        <v>463</v>
      </c>
      <c r="B338" s="2">
        <v>45791</v>
      </c>
      <c r="C338" t="s">
        <v>241</v>
      </c>
      <c r="D338" t="s">
        <v>99</v>
      </c>
      <c r="E338" t="s">
        <v>18</v>
      </c>
      <c r="F338" t="s">
        <v>25</v>
      </c>
      <c r="G338">
        <v>2</v>
      </c>
      <c r="H338">
        <v>0.15</v>
      </c>
      <c r="I338">
        <v>323</v>
      </c>
      <c r="J338">
        <v>65.010000000000005</v>
      </c>
    </row>
    <row r="339" spans="1:10" x14ac:dyDescent="0.35">
      <c r="A339" t="s">
        <v>464</v>
      </c>
      <c r="B339" s="2">
        <v>45956</v>
      </c>
      <c r="C339" t="s">
        <v>194</v>
      </c>
      <c r="D339" t="s">
        <v>17</v>
      </c>
      <c r="E339" t="s">
        <v>18</v>
      </c>
      <c r="F339" t="s">
        <v>22</v>
      </c>
      <c r="G339">
        <v>5</v>
      </c>
      <c r="H339">
        <v>0</v>
      </c>
      <c r="I339">
        <v>1050</v>
      </c>
      <c r="J339">
        <v>381.87</v>
      </c>
    </row>
    <row r="340" spans="1:10" x14ac:dyDescent="0.35">
      <c r="A340" t="s">
        <v>465</v>
      </c>
      <c r="B340" s="2">
        <v>45689</v>
      </c>
      <c r="C340" t="s">
        <v>98</v>
      </c>
      <c r="D340" t="s">
        <v>38</v>
      </c>
      <c r="E340" t="s">
        <v>13</v>
      </c>
      <c r="F340" t="s">
        <v>25</v>
      </c>
      <c r="G340">
        <v>1</v>
      </c>
      <c r="H340">
        <v>0.15</v>
      </c>
      <c r="I340">
        <v>272</v>
      </c>
      <c r="J340">
        <v>94.86</v>
      </c>
    </row>
    <row r="341" spans="1:10" x14ac:dyDescent="0.35">
      <c r="A341" t="s">
        <v>466</v>
      </c>
      <c r="B341" s="2">
        <v>46011</v>
      </c>
      <c r="C341" t="s">
        <v>224</v>
      </c>
      <c r="D341" t="s">
        <v>12</v>
      </c>
      <c r="E341" t="s">
        <v>13</v>
      </c>
      <c r="F341" t="s">
        <v>22</v>
      </c>
      <c r="G341">
        <v>3</v>
      </c>
      <c r="H341">
        <v>0.1</v>
      </c>
      <c r="I341">
        <v>94.5</v>
      </c>
      <c r="J341">
        <v>23.36</v>
      </c>
    </row>
    <row r="342" spans="1:10" x14ac:dyDescent="0.35">
      <c r="A342" t="s">
        <v>467</v>
      </c>
      <c r="B342" s="2">
        <v>45902</v>
      </c>
      <c r="C342" t="s">
        <v>135</v>
      </c>
      <c r="D342" t="s">
        <v>28</v>
      </c>
      <c r="E342" t="s">
        <v>18</v>
      </c>
      <c r="F342" t="s">
        <v>50</v>
      </c>
      <c r="G342">
        <v>4</v>
      </c>
      <c r="H342">
        <v>0.2</v>
      </c>
      <c r="I342">
        <v>896</v>
      </c>
      <c r="J342">
        <v>292.73</v>
      </c>
    </row>
    <row r="343" spans="1:10" x14ac:dyDescent="0.35">
      <c r="A343" t="s">
        <v>468</v>
      </c>
      <c r="B343" s="2">
        <v>45933</v>
      </c>
      <c r="C343" t="s">
        <v>202</v>
      </c>
      <c r="D343" t="s">
        <v>38</v>
      </c>
      <c r="E343" t="s">
        <v>13</v>
      </c>
      <c r="F343" t="s">
        <v>14</v>
      </c>
      <c r="G343">
        <v>2</v>
      </c>
      <c r="H343">
        <v>0.05</v>
      </c>
      <c r="I343">
        <v>608</v>
      </c>
      <c r="J343">
        <v>137.1</v>
      </c>
    </row>
    <row r="344" spans="1:10" x14ac:dyDescent="0.35">
      <c r="A344" t="s">
        <v>469</v>
      </c>
      <c r="B344" s="2">
        <v>45927</v>
      </c>
      <c r="C344" t="s">
        <v>73</v>
      </c>
      <c r="D344" t="s">
        <v>45</v>
      </c>
      <c r="E344" t="s">
        <v>46</v>
      </c>
      <c r="F344" t="s">
        <v>14</v>
      </c>
      <c r="G344">
        <v>5</v>
      </c>
      <c r="H344">
        <v>0.1</v>
      </c>
      <c r="I344">
        <v>81</v>
      </c>
      <c r="J344">
        <v>34.36</v>
      </c>
    </row>
    <row r="345" spans="1:10" x14ac:dyDescent="0.35">
      <c r="A345" t="s">
        <v>470</v>
      </c>
      <c r="B345" s="2">
        <v>45689</v>
      </c>
      <c r="C345" t="s">
        <v>251</v>
      </c>
      <c r="D345" t="s">
        <v>55</v>
      </c>
      <c r="E345" t="s">
        <v>46</v>
      </c>
      <c r="F345" t="s">
        <v>22</v>
      </c>
      <c r="G345">
        <v>5</v>
      </c>
      <c r="H345">
        <v>0.05</v>
      </c>
      <c r="I345">
        <v>1140</v>
      </c>
      <c r="J345">
        <v>297.55</v>
      </c>
    </row>
    <row r="346" spans="1:10" x14ac:dyDescent="0.35">
      <c r="A346" t="s">
        <v>471</v>
      </c>
      <c r="B346" s="2">
        <v>45825</v>
      </c>
      <c r="C346" t="s">
        <v>165</v>
      </c>
      <c r="D346" t="s">
        <v>55</v>
      </c>
      <c r="E346" t="s">
        <v>46</v>
      </c>
      <c r="F346" t="s">
        <v>50</v>
      </c>
      <c r="G346">
        <v>4</v>
      </c>
      <c r="H346">
        <v>0</v>
      </c>
      <c r="I346">
        <v>960</v>
      </c>
      <c r="J346">
        <v>216.48</v>
      </c>
    </row>
    <row r="347" spans="1:10" x14ac:dyDescent="0.35">
      <c r="A347" t="s">
        <v>472</v>
      </c>
      <c r="B347" s="2">
        <v>45704</v>
      </c>
      <c r="C347" t="s">
        <v>107</v>
      </c>
      <c r="D347" t="s">
        <v>55</v>
      </c>
      <c r="E347" t="s">
        <v>46</v>
      </c>
      <c r="F347" t="s">
        <v>50</v>
      </c>
      <c r="G347">
        <v>4</v>
      </c>
      <c r="H347">
        <v>0</v>
      </c>
      <c r="I347">
        <v>960</v>
      </c>
      <c r="J347">
        <v>288.35000000000002</v>
      </c>
    </row>
    <row r="348" spans="1:10" x14ac:dyDescent="0.35">
      <c r="A348" t="s">
        <v>473</v>
      </c>
      <c r="B348" s="2">
        <v>45891</v>
      </c>
      <c r="C348" t="s">
        <v>187</v>
      </c>
      <c r="D348" t="s">
        <v>83</v>
      </c>
      <c r="E348" t="s">
        <v>46</v>
      </c>
      <c r="F348" t="s">
        <v>14</v>
      </c>
      <c r="G348">
        <v>1</v>
      </c>
      <c r="H348">
        <v>0.2</v>
      </c>
      <c r="I348">
        <v>20</v>
      </c>
      <c r="J348">
        <v>5.95</v>
      </c>
    </row>
    <row r="349" spans="1:10" x14ac:dyDescent="0.35">
      <c r="A349" t="s">
        <v>474</v>
      </c>
      <c r="B349" s="2">
        <v>45860</v>
      </c>
      <c r="C349" t="s">
        <v>360</v>
      </c>
      <c r="D349" t="s">
        <v>35</v>
      </c>
      <c r="E349" t="s">
        <v>13</v>
      </c>
      <c r="F349" t="s">
        <v>50</v>
      </c>
      <c r="G349">
        <v>1</v>
      </c>
      <c r="H349">
        <v>0.05</v>
      </c>
      <c r="I349">
        <v>807.5</v>
      </c>
      <c r="J349">
        <v>209.27</v>
      </c>
    </row>
    <row r="350" spans="1:10" x14ac:dyDescent="0.35">
      <c r="A350" t="s">
        <v>475</v>
      </c>
      <c r="B350" s="2">
        <v>45834</v>
      </c>
      <c r="C350" t="s">
        <v>80</v>
      </c>
      <c r="D350" t="s">
        <v>17</v>
      </c>
      <c r="E350" t="s">
        <v>18</v>
      </c>
      <c r="F350" t="s">
        <v>50</v>
      </c>
      <c r="G350">
        <v>1</v>
      </c>
      <c r="H350">
        <v>0.2</v>
      </c>
      <c r="I350">
        <v>168</v>
      </c>
      <c r="J350">
        <v>20.49</v>
      </c>
    </row>
    <row r="351" spans="1:10" x14ac:dyDescent="0.35">
      <c r="A351" t="s">
        <v>476</v>
      </c>
      <c r="B351" s="2">
        <v>45674</v>
      </c>
      <c r="C351" t="s">
        <v>158</v>
      </c>
      <c r="D351" t="s">
        <v>35</v>
      </c>
      <c r="E351" t="s">
        <v>13</v>
      </c>
      <c r="F351" t="s">
        <v>50</v>
      </c>
      <c r="G351">
        <v>4</v>
      </c>
      <c r="H351">
        <v>0.05</v>
      </c>
      <c r="I351">
        <v>3230</v>
      </c>
      <c r="J351">
        <v>633.85</v>
      </c>
    </row>
    <row r="352" spans="1:10" x14ac:dyDescent="0.35">
      <c r="A352" t="s">
        <v>477</v>
      </c>
      <c r="B352" s="2">
        <v>45849</v>
      </c>
      <c r="C352" t="s">
        <v>278</v>
      </c>
      <c r="D352" t="s">
        <v>99</v>
      </c>
      <c r="E352" t="s">
        <v>18</v>
      </c>
      <c r="F352" t="s">
        <v>22</v>
      </c>
      <c r="G352">
        <v>4</v>
      </c>
      <c r="H352">
        <v>0.15</v>
      </c>
      <c r="I352">
        <v>646</v>
      </c>
      <c r="J352">
        <v>210.62</v>
      </c>
    </row>
    <row r="353" spans="1:10" x14ac:dyDescent="0.35">
      <c r="A353" t="s">
        <v>478</v>
      </c>
      <c r="B353" s="2">
        <v>45992</v>
      </c>
      <c r="C353" t="s">
        <v>286</v>
      </c>
      <c r="D353" t="s">
        <v>49</v>
      </c>
      <c r="E353" t="s">
        <v>13</v>
      </c>
      <c r="F353" t="s">
        <v>22</v>
      </c>
      <c r="G353">
        <v>1</v>
      </c>
      <c r="H353">
        <v>0.05</v>
      </c>
      <c r="I353">
        <v>66.5</v>
      </c>
      <c r="J353">
        <v>8.14</v>
      </c>
    </row>
    <row r="354" spans="1:10" x14ac:dyDescent="0.35">
      <c r="A354" t="s">
        <v>479</v>
      </c>
      <c r="B354" s="2">
        <v>45772</v>
      </c>
      <c r="C354" t="s">
        <v>204</v>
      </c>
      <c r="D354" t="s">
        <v>67</v>
      </c>
      <c r="E354" t="s">
        <v>13</v>
      </c>
      <c r="F354" t="s">
        <v>50</v>
      </c>
      <c r="G354">
        <v>1</v>
      </c>
      <c r="H354">
        <v>0.1</v>
      </c>
      <c r="I354">
        <v>1080</v>
      </c>
      <c r="J354">
        <v>320.99</v>
      </c>
    </row>
    <row r="355" spans="1:10" x14ac:dyDescent="0.35">
      <c r="A355" t="s">
        <v>480</v>
      </c>
      <c r="B355" s="2">
        <v>45930</v>
      </c>
      <c r="C355" t="s">
        <v>251</v>
      </c>
      <c r="D355" t="s">
        <v>99</v>
      </c>
      <c r="E355" t="s">
        <v>18</v>
      </c>
      <c r="F355" t="s">
        <v>25</v>
      </c>
      <c r="G355">
        <v>2</v>
      </c>
      <c r="H355">
        <v>0.05</v>
      </c>
      <c r="I355">
        <v>361</v>
      </c>
      <c r="J355">
        <v>107.58</v>
      </c>
    </row>
    <row r="356" spans="1:10" x14ac:dyDescent="0.35">
      <c r="A356" t="s">
        <v>481</v>
      </c>
      <c r="B356" s="2">
        <v>45754</v>
      </c>
      <c r="C356" t="s">
        <v>178</v>
      </c>
      <c r="D356" t="s">
        <v>17</v>
      </c>
      <c r="E356" t="s">
        <v>18</v>
      </c>
      <c r="F356" t="s">
        <v>14</v>
      </c>
      <c r="G356">
        <v>1</v>
      </c>
      <c r="H356">
        <v>0</v>
      </c>
      <c r="I356">
        <v>210</v>
      </c>
      <c r="J356">
        <v>38.4</v>
      </c>
    </row>
    <row r="357" spans="1:10" x14ac:dyDescent="0.35">
      <c r="A357" t="s">
        <v>482</v>
      </c>
      <c r="B357" s="2">
        <v>45781</v>
      </c>
      <c r="C357" t="s">
        <v>483</v>
      </c>
      <c r="D357" t="s">
        <v>21</v>
      </c>
      <c r="E357" t="s">
        <v>18</v>
      </c>
      <c r="F357" t="s">
        <v>14</v>
      </c>
      <c r="G357">
        <v>1</v>
      </c>
      <c r="H357">
        <v>0</v>
      </c>
      <c r="I357">
        <v>55</v>
      </c>
      <c r="J357">
        <v>13.97</v>
      </c>
    </row>
    <row r="358" spans="1:10" x14ac:dyDescent="0.35">
      <c r="A358" t="s">
        <v>484</v>
      </c>
      <c r="B358" s="2">
        <v>45783</v>
      </c>
      <c r="C358" t="s">
        <v>119</v>
      </c>
      <c r="D358" t="s">
        <v>17</v>
      </c>
      <c r="E358" t="s">
        <v>18</v>
      </c>
      <c r="F358" t="s">
        <v>22</v>
      </c>
      <c r="G358">
        <v>1</v>
      </c>
      <c r="H358">
        <v>0.15</v>
      </c>
      <c r="I358">
        <v>178.5</v>
      </c>
      <c r="J358">
        <v>54.47</v>
      </c>
    </row>
    <row r="359" spans="1:10" x14ac:dyDescent="0.35">
      <c r="A359" t="s">
        <v>485</v>
      </c>
      <c r="B359" s="2">
        <v>45686</v>
      </c>
      <c r="C359" t="s">
        <v>198</v>
      </c>
      <c r="D359" t="s">
        <v>28</v>
      </c>
      <c r="E359" t="s">
        <v>18</v>
      </c>
      <c r="F359" t="s">
        <v>25</v>
      </c>
      <c r="G359">
        <v>5</v>
      </c>
      <c r="H359">
        <v>0.1</v>
      </c>
      <c r="I359">
        <v>1260</v>
      </c>
      <c r="J359">
        <v>469.64</v>
      </c>
    </row>
    <row r="360" spans="1:10" x14ac:dyDescent="0.35">
      <c r="A360" t="s">
        <v>486</v>
      </c>
      <c r="B360" s="2">
        <v>45953</v>
      </c>
      <c r="C360" t="s">
        <v>154</v>
      </c>
      <c r="D360" t="s">
        <v>83</v>
      </c>
      <c r="E360" t="s">
        <v>46</v>
      </c>
      <c r="F360" t="s">
        <v>22</v>
      </c>
      <c r="G360">
        <v>3</v>
      </c>
      <c r="H360">
        <v>0.05</v>
      </c>
      <c r="I360">
        <v>71.25</v>
      </c>
      <c r="J360">
        <v>24.97</v>
      </c>
    </row>
    <row r="361" spans="1:10" x14ac:dyDescent="0.35">
      <c r="A361" t="s">
        <v>487</v>
      </c>
      <c r="B361" s="2">
        <v>45869</v>
      </c>
      <c r="C361" t="s">
        <v>24</v>
      </c>
      <c r="D361" t="s">
        <v>35</v>
      </c>
      <c r="E361" t="s">
        <v>13</v>
      </c>
      <c r="F361" t="s">
        <v>22</v>
      </c>
      <c r="G361">
        <v>3</v>
      </c>
      <c r="H361">
        <v>0</v>
      </c>
      <c r="I361">
        <v>2550</v>
      </c>
      <c r="J361">
        <v>679.02</v>
      </c>
    </row>
    <row r="362" spans="1:10" x14ac:dyDescent="0.35">
      <c r="A362" t="s">
        <v>488</v>
      </c>
      <c r="B362" s="2">
        <v>45978</v>
      </c>
      <c r="C362" t="s">
        <v>30</v>
      </c>
      <c r="D362" t="s">
        <v>38</v>
      </c>
      <c r="E362" t="s">
        <v>13</v>
      </c>
      <c r="F362" t="s">
        <v>50</v>
      </c>
      <c r="G362">
        <v>4</v>
      </c>
      <c r="H362">
        <v>0.2</v>
      </c>
      <c r="I362">
        <v>1024</v>
      </c>
      <c r="J362">
        <v>293.32</v>
      </c>
    </row>
    <row r="363" spans="1:10" x14ac:dyDescent="0.35">
      <c r="A363" t="s">
        <v>489</v>
      </c>
      <c r="B363" s="2">
        <v>45926</v>
      </c>
      <c r="C363" t="s">
        <v>32</v>
      </c>
      <c r="D363" t="s">
        <v>49</v>
      </c>
      <c r="E363" t="s">
        <v>13</v>
      </c>
      <c r="F363" t="s">
        <v>22</v>
      </c>
      <c r="G363">
        <v>4</v>
      </c>
      <c r="H363">
        <v>0.15</v>
      </c>
      <c r="I363">
        <v>238</v>
      </c>
      <c r="J363">
        <v>95.38</v>
      </c>
    </row>
    <row r="364" spans="1:10" x14ac:dyDescent="0.35">
      <c r="A364" t="s">
        <v>490</v>
      </c>
      <c r="B364" s="2">
        <v>45933</v>
      </c>
      <c r="C364" t="s">
        <v>34</v>
      </c>
      <c r="D364" t="s">
        <v>45</v>
      </c>
      <c r="E364" t="s">
        <v>46</v>
      </c>
      <c r="F364" t="s">
        <v>22</v>
      </c>
      <c r="G364">
        <v>2</v>
      </c>
      <c r="H364">
        <v>0.05</v>
      </c>
      <c r="I364">
        <v>34.200000000000003</v>
      </c>
      <c r="J364">
        <v>12</v>
      </c>
    </row>
    <row r="365" spans="1:10" x14ac:dyDescent="0.35">
      <c r="A365" t="s">
        <v>491</v>
      </c>
      <c r="B365" s="2">
        <v>45895</v>
      </c>
      <c r="C365" t="s">
        <v>20</v>
      </c>
      <c r="D365" t="s">
        <v>67</v>
      </c>
      <c r="E365" t="s">
        <v>13</v>
      </c>
      <c r="F365" t="s">
        <v>22</v>
      </c>
      <c r="G365">
        <v>5</v>
      </c>
      <c r="H365">
        <v>0.15</v>
      </c>
      <c r="I365">
        <v>5100</v>
      </c>
      <c r="J365">
        <v>666.22</v>
      </c>
    </row>
    <row r="366" spans="1:10" x14ac:dyDescent="0.35">
      <c r="A366" t="s">
        <v>492</v>
      </c>
      <c r="B366" s="2">
        <v>45856</v>
      </c>
      <c r="C366" t="s">
        <v>167</v>
      </c>
      <c r="D366" t="s">
        <v>21</v>
      </c>
      <c r="E366" t="s">
        <v>18</v>
      </c>
      <c r="F366" t="s">
        <v>50</v>
      </c>
      <c r="G366">
        <v>3</v>
      </c>
      <c r="H366">
        <v>0.05</v>
      </c>
      <c r="I366">
        <v>156.75</v>
      </c>
      <c r="J366">
        <v>53.45</v>
      </c>
    </row>
    <row r="367" spans="1:10" x14ac:dyDescent="0.35">
      <c r="A367" t="s">
        <v>493</v>
      </c>
      <c r="B367" s="2">
        <v>45847</v>
      </c>
      <c r="C367" t="s">
        <v>32</v>
      </c>
      <c r="D367" t="s">
        <v>12</v>
      </c>
      <c r="E367" t="s">
        <v>13</v>
      </c>
      <c r="F367" t="s">
        <v>14</v>
      </c>
      <c r="G367">
        <v>5</v>
      </c>
      <c r="H367">
        <v>0.05</v>
      </c>
      <c r="I367">
        <v>166.25</v>
      </c>
      <c r="J367">
        <v>71.989999999999995</v>
      </c>
    </row>
    <row r="368" spans="1:10" x14ac:dyDescent="0.35">
      <c r="A368" t="s">
        <v>494</v>
      </c>
      <c r="B368" s="2">
        <v>45695</v>
      </c>
      <c r="C368" t="s">
        <v>124</v>
      </c>
      <c r="D368" t="s">
        <v>21</v>
      </c>
      <c r="E368" t="s">
        <v>18</v>
      </c>
      <c r="F368" t="s">
        <v>25</v>
      </c>
      <c r="G368">
        <v>5</v>
      </c>
      <c r="H368">
        <v>0.2</v>
      </c>
      <c r="I368">
        <v>220</v>
      </c>
      <c r="J368">
        <v>83.24</v>
      </c>
    </row>
    <row r="369" spans="1:10" x14ac:dyDescent="0.35">
      <c r="A369" t="s">
        <v>495</v>
      </c>
      <c r="B369" s="2">
        <v>45813</v>
      </c>
      <c r="C369" t="s">
        <v>404</v>
      </c>
      <c r="D369" t="s">
        <v>67</v>
      </c>
      <c r="E369" t="s">
        <v>13</v>
      </c>
      <c r="F369" t="s">
        <v>50</v>
      </c>
      <c r="G369">
        <v>2</v>
      </c>
      <c r="H369">
        <v>0.05</v>
      </c>
      <c r="I369">
        <v>2280</v>
      </c>
      <c r="J369">
        <v>302.13</v>
      </c>
    </row>
    <row r="370" spans="1:10" x14ac:dyDescent="0.35">
      <c r="A370" t="s">
        <v>496</v>
      </c>
      <c r="B370" s="2">
        <v>45782</v>
      </c>
      <c r="C370" t="s">
        <v>109</v>
      </c>
      <c r="D370" t="s">
        <v>17</v>
      </c>
      <c r="E370" t="s">
        <v>18</v>
      </c>
      <c r="F370" t="s">
        <v>25</v>
      </c>
      <c r="G370">
        <v>5</v>
      </c>
      <c r="H370">
        <v>0.05</v>
      </c>
      <c r="I370">
        <v>997.5</v>
      </c>
      <c r="J370">
        <v>318.31</v>
      </c>
    </row>
    <row r="371" spans="1:10" x14ac:dyDescent="0.35">
      <c r="A371" t="s">
        <v>497</v>
      </c>
      <c r="B371" s="2">
        <v>45802</v>
      </c>
      <c r="C371" t="s">
        <v>187</v>
      </c>
      <c r="D371" t="s">
        <v>99</v>
      </c>
      <c r="E371" t="s">
        <v>18</v>
      </c>
      <c r="F371" t="s">
        <v>25</v>
      </c>
      <c r="G371">
        <v>4</v>
      </c>
      <c r="H371">
        <v>0.2</v>
      </c>
      <c r="I371">
        <v>608</v>
      </c>
      <c r="J371">
        <v>143.44</v>
      </c>
    </row>
    <row r="372" spans="1:10" x14ac:dyDescent="0.35">
      <c r="A372" t="s">
        <v>498</v>
      </c>
      <c r="B372" s="2">
        <v>45842</v>
      </c>
      <c r="C372" t="s">
        <v>204</v>
      </c>
      <c r="D372" t="s">
        <v>55</v>
      </c>
      <c r="E372" t="s">
        <v>46</v>
      </c>
      <c r="F372" t="s">
        <v>50</v>
      </c>
      <c r="G372">
        <v>4</v>
      </c>
      <c r="H372">
        <v>0.15</v>
      </c>
      <c r="I372">
        <v>816</v>
      </c>
      <c r="J372">
        <v>340.65</v>
      </c>
    </row>
    <row r="373" spans="1:10" x14ac:dyDescent="0.35">
      <c r="A373" t="s">
        <v>499</v>
      </c>
      <c r="B373" s="2">
        <v>45821</v>
      </c>
      <c r="C373" t="s">
        <v>73</v>
      </c>
      <c r="D373" t="s">
        <v>21</v>
      </c>
      <c r="E373" t="s">
        <v>18</v>
      </c>
      <c r="F373" t="s">
        <v>22</v>
      </c>
      <c r="G373">
        <v>3</v>
      </c>
      <c r="H373">
        <v>0.1</v>
      </c>
      <c r="I373">
        <v>148.5</v>
      </c>
      <c r="J373">
        <v>46.54</v>
      </c>
    </row>
    <row r="374" spans="1:10" x14ac:dyDescent="0.35">
      <c r="A374" t="s">
        <v>500</v>
      </c>
      <c r="B374" s="2">
        <v>45732</v>
      </c>
      <c r="C374" t="s">
        <v>54</v>
      </c>
      <c r="D374" t="s">
        <v>67</v>
      </c>
      <c r="E374" t="s">
        <v>13</v>
      </c>
      <c r="F374" t="s">
        <v>50</v>
      </c>
      <c r="G374">
        <v>3</v>
      </c>
      <c r="H374">
        <v>0.2</v>
      </c>
      <c r="I374">
        <v>2880</v>
      </c>
      <c r="J374">
        <v>407.61</v>
      </c>
    </row>
    <row r="375" spans="1:10" x14ac:dyDescent="0.35">
      <c r="A375" t="s">
        <v>501</v>
      </c>
      <c r="B375" s="2">
        <v>45809</v>
      </c>
      <c r="C375" t="s">
        <v>73</v>
      </c>
      <c r="D375" t="s">
        <v>28</v>
      </c>
      <c r="E375" t="s">
        <v>18</v>
      </c>
      <c r="F375" t="s">
        <v>22</v>
      </c>
      <c r="G375">
        <v>2</v>
      </c>
      <c r="H375">
        <v>0.1</v>
      </c>
      <c r="I375">
        <v>504</v>
      </c>
      <c r="J375">
        <v>188.54</v>
      </c>
    </row>
    <row r="376" spans="1:10" x14ac:dyDescent="0.35">
      <c r="A376" t="s">
        <v>502</v>
      </c>
      <c r="B376" s="2">
        <v>45913</v>
      </c>
      <c r="C376" t="s">
        <v>206</v>
      </c>
      <c r="D376" t="s">
        <v>55</v>
      </c>
      <c r="E376" t="s">
        <v>46</v>
      </c>
      <c r="F376" t="s">
        <v>50</v>
      </c>
      <c r="G376">
        <v>3</v>
      </c>
      <c r="H376">
        <v>0.1</v>
      </c>
      <c r="I376">
        <v>648</v>
      </c>
      <c r="J376">
        <v>128.36000000000001</v>
      </c>
    </row>
    <row r="377" spans="1:10" x14ac:dyDescent="0.35">
      <c r="A377" t="s">
        <v>503</v>
      </c>
      <c r="B377" s="2">
        <v>45893</v>
      </c>
      <c r="C377" t="s">
        <v>119</v>
      </c>
      <c r="D377" t="s">
        <v>28</v>
      </c>
      <c r="E377" t="s">
        <v>18</v>
      </c>
      <c r="F377" t="s">
        <v>50</v>
      </c>
      <c r="G377">
        <v>3</v>
      </c>
      <c r="H377">
        <v>0.05</v>
      </c>
      <c r="I377">
        <v>798</v>
      </c>
      <c r="J377">
        <v>322.24</v>
      </c>
    </row>
    <row r="378" spans="1:10" x14ac:dyDescent="0.35">
      <c r="A378" t="s">
        <v>504</v>
      </c>
      <c r="B378" s="2">
        <v>45752</v>
      </c>
      <c r="C378" t="s">
        <v>128</v>
      </c>
      <c r="D378" t="s">
        <v>55</v>
      </c>
      <c r="E378" t="s">
        <v>46</v>
      </c>
      <c r="F378" t="s">
        <v>14</v>
      </c>
      <c r="G378">
        <v>1</v>
      </c>
      <c r="H378">
        <v>0.2</v>
      </c>
      <c r="I378">
        <v>192</v>
      </c>
      <c r="J378">
        <v>84.26</v>
      </c>
    </row>
    <row r="379" spans="1:10" x14ac:dyDescent="0.35">
      <c r="A379" t="s">
        <v>505</v>
      </c>
      <c r="B379" s="2">
        <v>45661</v>
      </c>
      <c r="C379" t="s">
        <v>251</v>
      </c>
      <c r="D379" t="s">
        <v>99</v>
      </c>
      <c r="E379" t="s">
        <v>18</v>
      </c>
      <c r="F379" t="s">
        <v>14</v>
      </c>
      <c r="G379">
        <v>2</v>
      </c>
      <c r="H379">
        <v>0.05</v>
      </c>
      <c r="I379">
        <v>361</v>
      </c>
      <c r="J379">
        <v>154.35</v>
      </c>
    </row>
    <row r="380" spans="1:10" x14ac:dyDescent="0.35">
      <c r="A380" t="s">
        <v>506</v>
      </c>
      <c r="B380" s="2">
        <v>45769</v>
      </c>
      <c r="C380" t="s">
        <v>44</v>
      </c>
      <c r="D380" t="s">
        <v>55</v>
      </c>
      <c r="E380" t="s">
        <v>46</v>
      </c>
      <c r="F380" t="s">
        <v>50</v>
      </c>
      <c r="G380">
        <v>4</v>
      </c>
      <c r="H380">
        <v>0.1</v>
      </c>
      <c r="I380">
        <v>864</v>
      </c>
      <c r="J380">
        <v>371.56</v>
      </c>
    </row>
    <row r="381" spans="1:10" x14ac:dyDescent="0.35">
      <c r="A381" t="s">
        <v>507</v>
      </c>
      <c r="B381" s="2">
        <v>45995</v>
      </c>
      <c r="C381" t="s">
        <v>87</v>
      </c>
      <c r="D381" t="s">
        <v>45</v>
      </c>
      <c r="E381" t="s">
        <v>46</v>
      </c>
      <c r="F381" t="s">
        <v>14</v>
      </c>
      <c r="G381">
        <v>1</v>
      </c>
      <c r="H381">
        <v>0</v>
      </c>
      <c r="I381">
        <v>18</v>
      </c>
      <c r="J381">
        <v>4.9400000000000004</v>
      </c>
    </row>
    <row r="382" spans="1:10" x14ac:dyDescent="0.35">
      <c r="A382" t="s">
        <v>508</v>
      </c>
      <c r="B382" s="2">
        <v>45666</v>
      </c>
      <c r="C382" t="s">
        <v>71</v>
      </c>
      <c r="D382" t="s">
        <v>55</v>
      </c>
      <c r="E382" t="s">
        <v>46</v>
      </c>
      <c r="F382" t="s">
        <v>50</v>
      </c>
      <c r="G382">
        <v>3</v>
      </c>
      <c r="H382">
        <v>0.2</v>
      </c>
      <c r="I382">
        <v>576</v>
      </c>
      <c r="J382">
        <v>73.400000000000006</v>
      </c>
    </row>
    <row r="383" spans="1:10" x14ac:dyDescent="0.35">
      <c r="A383" t="s">
        <v>509</v>
      </c>
      <c r="B383" s="2">
        <v>45749</v>
      </c>
      <c r="C383" t="s">
        <v>142</v>
      </c>
      <c r="D383" t="s">
        <v>12</v>
      </c>
      <c r="E383" t="s">
        <v>13</v>
      </c>
      <c r="F383" t="s">
        <v>25</v>
      </c>
      <c r="G383">
        <v>1</v>
      </c>
      <c r="H383">
        <v>0.2</v>
      </c>
      <c r="I383">
        <v>28</v>
      </c>
      <c r="J383">
        <v>11.22</v>
      </c>
    </row>
    <row r="384" spans="1:10" x14ac:dyDescent="0.35">
      <c r="A384" t="s">
        <v>510</v>
      </c>
      <c r="B384" s="2">
        <v>45839</v>
      </c>
      <c r="C384" t="s">
        <v>98</v>
      </c>
      <c r="D384" t="s">
        <v>35</v>
      </c>
      <c r="E384" t="s">
        <v>13</v>
      </c>
      <c r="F384" t="s">
        <v>50</v>
      </c>
      <c r="G384">
        <v>4</v>
      </c>
      <c r="H384">
        <v>0</v>
      </c>
      <c r="I384">
        <v>3400</v>
      </c>
      <c r="J384">
        <v>1111.44</v>
      </c>
    </row>
    <row r="385" spans="1:10" x14ac:dyDescent="0.35">
      <c r="A385" t="s">
        <v>511</v>
      </c>
      <c r="B385" s="2">
        <v>45947</v>
      </c>
      <c r="C385" t="s">
        <v>167</v>
      </c>
      <c r="D385" t="s">
        <v>21</v>
      </c>
      <c r="E385" t="s">
        <v>18</v>
      </c>
      <c r="F385" t="s">
        <v>14</v>
      </c>
      <c r="G385">
        <v>2</v>
      </c>
      <c r="H385">
        <v>0.1</v>
      </c>
      <c r="I385">
        <v>99</v>
      </c>
      <c r="J385">
        <v>22.2</v>
      </c>
    </row>
    <row r="386" spans="1:10" x14ac:dyDescent="0.35">
      <c r="A386" t="s">
        <v>512</v>
      </c>
      <c r="B386" s="2">
        <v>45705</v>
      </c>
      <c r="C386" t="s">
        <v>105</v>
      </c>
      <c r="D386" t="s">
        <v>99</v>
      </c>
      <c r="E386" t="s">
        <v>18</v>
      </c>
      <c r="F386" t="s">
        <v>14</v>
      </c>
      <c r="G386">
        <v>4</v>
      </c>
      <c r="H386">
        <v>0.15</v>
      </c>
      <c r="I386">
        <v>646</v>
      </c>
      <c r="J386">
        <v>172.88</v>
      </c>
    </row>
    <row r="387" spans="1:10" x14ac:dyDescent="0.35">
      <c r="A387" t="s">
        <v>513</v>
      </c>
      <c r="B387" s="2">
        <v>46017</v>
      </c>
      <c r="C387" t="s">
        <v>192</v>
      </c>
      <c r="D387" t="s">
        <v>28</v>
      </c>
      <c r="E387" t="s">
        <v>18</v>
      </c>
      <c r="F387" t="s">
        <v>25</v>
      </c>
      <c r="G387">
        <v>1</v>
      </c>
      <c r="H387">
        <v>0.15</v>
      </c>
      <c r="I387">
        <v>238</v>
      </c>
      <c r="J387">
        <v>40.71</v>
      </c>
    </row>
    <row r="388" spans="1:10" x14ac:dyDescent="0.35">
      <c r="A388" t="s">
        <v>514</v>
      </c>
      <c r="B388" s="2">
        <v>45947</v>
      </c>
      <c r="C388" t="s">
        <v>515</v>
      </c>
      <c r="D388" t="s">
        <v>12</v>
      </c>
      <c r="E388" t="s">
        <v>13</v>
      </c>
      <c r="F388" t="s">
        <v>50</v>
      </c>
      <c r="G388">
        <v>5</v>
      </c>
      <c r="H388">
        <v>0</v>
      </c>
      <c r="I388">
        <v>175</v>
      </c>
      <c r="J388">
        <v>65.48</v>
      </c>
    </row>
    <row r="389" spans="1:10" x14ac:dyDescent="0.35">
      <c r="A389" t="s">
        <v>516</v>
      </c>
      <c r="B389" s="2">
        <v>45796</v>
      </c>
      <c r="C389" t="s">
        <v>73</v>
      </c>
      <c r="D389" t="s">
        <v>67</v>
      </c>
      <c r="E389" t="s">
        <v>13</v>
      </c>
      <c r="F389" t="s">
        <v>14</v>
      </c>
      <c r="G389">
        <v>1</v>
      </c>
      <c r="H389">
        <v>0.1</v>
      </c>
      <c r="I389">
        <v>1080</v>
      </c>
      <c r="J389">
        <v>165.49</v>
      </c>
    </row>
    <row r="390" spans="1:10" x14ac:dyDescent="0.35">
      <c r="A390" t="s">
        <v>517</v>
      </c>
      <c r="B390" s="2">
        <v>45749</v>
      </c>
      <c r="C390" t="s">
        <v>57</v>
      </c>
      <c r="D390" t="s">
        <v>49</v>
      </c>
      <c r="E390" t="s">
        <v>13</v>
      </c>
      <c r="F390" t="s">
        <v>50</v>
      </c>
      <c r="G390">
        <v>1</v>
      </c>
      <c r="H390">
        <v>0.05</v>
      </c>
      <c r="I390">
        <v>66.5</v>
      </c>
      <c r="J390">
        <v>17.04</v>
      </c>
    </row>
    <row r="391" spans="1:10" x14ac:dyDescent="0.35">
      <c r="A391" t="s">
        <v>518</v>
      </c>
      <c r="B391" s="2">
        <v>45697</v>
      </c>
      <c r="C391" t="s">
        <v>59</v>
      </c>
      <c r="D391" t="s">
        <v>35</v>
      </c>
      <c r="E391" t="s">
        <v>13</v>
      </c>
      <c r="F391" t="s">
        <v>25</v>
      </c>
      <c r="G391">
        <v>2</v>
      </c>
      <c r="H391">
        <v>0.2</v>
      </c>
      <c r="I391">
        <v>1360</v>
      </c>
      <c r="J391">
        <v>504.08</v>
      </c>
    </row>
    <row r="392" spans="1:10" x14ac:dyDescent="0.35">
      <c r="A392" t="s">
        <v>519</v>
      </c>
      <c r="B392" s="2">
        <v>45854</v>
      </c>
      <c r="C392" t="s">
        <v>30</v>
      </c>
      <c r="D392" t="s">
        <v>17</v>
      </c>
      <c r="E392" t="s">
        <v>18</v>
      </c>
      <c r="F392" t="s">
        <v>14</v>
      </c>
      <c r="G392">
        <v>2</v>
      </c>
      <c r="H392">
        <v>0</v>
      </c>
      <c r="I392">
        <v>420</v>
      </c>
      <c r="J392">
        <v>119.59</v>
      </c>
    </row>
    <row r="393" spans="1:10" x14ac:dyDescent="0.35">
      <c r="A393" t="s">
        <v>520</v>
      </c>
      <c r="B393" s="2">
        <v>45708</v>
      </c>
      <c r="C393" t="s">
        <v>158</v>
      </c>
      <c r="D393" t="s">
        <v>99</v>
      </c>
      <c r="E393" t="s">
        <v>18</v>
      </c>
      <c r="F393" t="s">
        <v>50</v>
      </c>
      <c r="G393">
        <v>2</v>
      </c>
      <c r="H393">
        <v>0</v>
      </c>
      <c r="I393">
        <v>380</v>
      </c>
      <c r="J393">
        <v>128.29</v>
      </c>
    </row>
    <row r="394" spans="1:10" x14ac:dyDescent="0.35">
      <c r="A394" t="s">
        <v>521</v>
      </c>
      <c r="B394" s="2">
        <v>45825</v>
      </c>
      <c r="C394" t="s">
        <v>40</v>
      </c>
      <c r="D394" t="s">
        <v>67</v>
      </c>
      <c r="E394" t="s">
        <v>13</v>
      </c>
      <c r="F394" t="s">
        <v>50</v>
      </c>
      <c r="G394">
        <v>3</v>
      </c>
      <c r="H394">
        <v>0.15</v>
      </c>
      <c r="I394">
        <v>3060</v>
      </c>
      <c r="J394">
        <v>881.59</v>
      </c>
    </row>
    <row r="395" spans="1:10" x14ac:dyDescent="0.35">
      <c r="A395" t="s">
        <v>522</v>
      </c>
      <c r="B395" s="2">
        <v>45879</v>
      </c>
      <c r="C395" t="s">
        <v>111</v>
      </c>
      <c r="D395" t="s">
        <v>28</v>
      </c>
      <c r="E395" t="s">
        <v>18</v>
      </c>
      <c r="F395" t="s">
        <v>25</v>
      </c>
      <c r="G395">
        <v>5</v>
      </c>
      <c r="H395">
        <v>0.15</v>
      </c>
      <c r="I395">
        <v>1190</v>
      </c>
      <c r="J395">
        <v>501.85</v>
      </c>
    </row>
    <row r="396" spans="1:10" x14ac:dyDescent="0.35">
      <c r="A396" t="s">
        <v>523</v>
      </c>
      <c r="B396" s="2">
        <v>45784</v>
      </c>
      <c r="C396" t="s">
        <v>32</v>
      </c>
      <c r="D396" t="s">
        <v>17</v>
      </c>
      <c r="E396" t="s">
        <v>18</v>
      </c>
      <c r="F396" t="s">
        <v>22</v>
      </c>
      <c r="G396">
        <v>1</v>
      </c>
      <c r="H396">
        <v>0</v>
      </c>
      <c r="I396">
        <v>210</v>
      </c>
      <c r="J396">
        <v>75.930000000000007</v>
      </c>
    </row>
    <row r="397" spans="1:10" x14ac:dyDescent="0.35">
      <c r="A397" t="s">
        <v>524</v>
      </c>
      <c r="B397" s="2">
        <v>45857</v>
      </c>
      <c r="C397" t="s">
        <v>187</v>
      </c>
      <c r="D397" t="s">
        <v>49</v>
      </c>
      <c r="E397" t="s">
        <v>13</v>
      </c>
      <c r="F397" t="s">
        <v>50</v>
      </c>
      <c r="G397">
        <v>3</v>
      </c>
      <c r="H397">
        <v>0</v>
      </c>
      <c r="I397">
        <v>210</v>
      </c>
      <c r="J397">
        <v>88.16</v>
      </c>
    </row>
    <row r="398" spans="1:10" x14ac:dyDescent="0.35">
      <c r="A398" t="s">
        <v>525</v>
      </c>
      <c r="B398" s="2">
        <v>45842</v>
      </c>
      <c r="C398" t="s">
        <v>64</v>
      </c>
      <c r="D398" t="s">
        <v>35</v>
      </c>
      <c r="E398" t="s">
        <v>13</v>
      </c>
      <c r="F398" t="s">
        <v>50</v>
      </c>
      <c r="G398">
        <v>1</v>
      </c>
      <c r="H398">
        <v>0.05</v>
      </c>
      <c r="I398">
        <v>807.5</v>
      </c>
      <c r="J398">
        <v>340.11</v>
      </c>
    </row>
    <row r="399" spans="1:10" x14ac:dyDescent="0.35">
      <c r="A399" t="s">
        <v>526</v>
      </c>
      <c r="B399" s="2">
        <v>45943</v>
      </c>
      <c r="C399" t="s">
        <v>315</v>
      </c>
      <c r="D399" t="s">
        <v>55</v>
      </c>
      <c r="E399" t="s">
        <v>46</v>
      </c>
      <c r="F399" t="s">
        <v>25</v>
      </c>
      <c r="G399">
        <v>5</v>
      </c>
      <c r="H399">
        <v>0.15</v>
      </c>
      <c r="I399">
        <v>1020</v>
      </c>
      <c r="J399">
        <v>424.23</v>
      </c>
    </row>
    <row r="400" spans="1:10" x14ac:dyDescent="0.35">
      <c r="A400" t="s">
        <v>527</v>
      </c>
      <c r="B400" s="2">
        <v>45941</v>
      </c>
      <c r="C400" t="s">
        <v>59</v>
      </c>
      <c r="D400" t="s">
        <v>12</v>
      </c>
      <c r="E400" t="s">
        <v>13</v>
      </c>
      <c r="F400" t="s">
        <v>14</v>
      </c>
      <c r="G400">
        <v>5</v>
      </c>
      <c r="H400">
        <v>0.2</v>
      </c>
      <c r="I400">
        <v>140</v>
      </c>
      <c r="J400">
        <v>26.76</v>
      </c>
    </row>
    <row r="401" spans="1:10" x14ac:dyDescent="0.35">
      <c r="A401" t="s">
        <v>528</v>
      </c>
      <c r="B401" s="2">
        <v>45807</v>
      </c>
      <c r="C401" t="s">
        <v>20</v>
      </c>
      <c r="D401" t="s">
        <v>99</v>
      </c>
      <c r="E401" t="s">
        <v>18</v>
      </c>
      <c r="F401" t="s">
        <v>22</v>
      </c>
      <c r="G401">
        <v>4</v>
      </c>
      <c r="H401">
        <v>0</v>
      </c>
      <c r="I401">
        <v>760</v>
      </c>
      <c r="J401">
        <v>160.21</v>
      </c>
    </row>
    <row r="402" spans="1:10" x14ac:dyDescent="0.35">
      <c r="A402" t="s">
        <v>529</v>
      </c>
      <c r="B402" s="2">
        <v>45950</v>
      </c>
      <c r="C402" t="s">
        <v>231</v>
      </c>
      <c r="D402" t="s">
        <v>55</v>
      </c>
      <c r="E402" t="s">
        <v>46</v>
      </c>
      <c r="F402" t="s">
        <v>25</v>
      </c>
      <c r="G402">
        <v>2</v>
      </c>
      <c r="H402">
        <v>0.15</v>
      </c>
      <c r="I402">
        <v>408</v>
      </c>
      <c r="J402">
        <v>160.78</v>
      </c>
    </row>
    <row r="403" spans="1:10" x14ac:dyDescent="0.35">
      <c r="A403" t="s">
        <v>530</v>
      </c>
      <c r="B403" s="2">
        <v>45795</v>
      </c>
      <c r="C403" t="s">
        <v>295</v>
      </c>
      <c r="D403" t="s">
        <v>45</v>
      </c>
      <c r="E403" t="s">
        <v>46</v>
      </c>
      <c r="F403" t="s">
        <v>50</v>
      </c>
      <c r="G403">
        <v>2</v>
      </c>
      <c r="H403">
        <v>0</v>
      </c>
      <c r="I403">
        <v>36</v>
      </c>
      <c r="J403">
        <v>14.21</v>
      </c>
    </row>
    <row r="404" spans="1:10" x14ac:dyDescent="0.35">
      <c r="A404" t="s">
        <v>531</v>
      </c>
      <c r="B404" s="2">
        <v>45811</v>
      </c>
      <c r="C404" t="s">
        <v>163</v>
      </c>
      <c r="D404" t="s">
        <v>45</v>
      </c>
      <c r="E404" t="s">
        <v>46</v>
      </c>
      <c r="F404" t="s">
        <v>50</v>
      </c>
      <c r="G404">
        <v>1</v>
      </c>
      <c r="H404">
        <v>0.1</v>
      </c>
      <c r="I404">
        <v>16.2</v>
      </c>
      <c r="J404">
        <v>5.94</v>
      </c>
    </row>
    <row r="405" spans="1:10" x14ac:dyDescent="0.35">
      <c r="A405" t="s">
        <v>532</v>
      </c>
      <c r="B405" s="2">
        <v>45962</v>
      </c>
      <c r="C405" t="s">
        <v>215</v>
      </c>
      <c r="D405" t="s">
        <v>83</v>
      </c>
      <c r="E405" t="s">
        <v>46</v>
      </c>
      <c r="F405" t="s">
        <v>14</v>
      </c>
      <c r="G405">
        <v>2</v>
      </c>
      <c r="H405">
        <v>0.15</v>
      </c>
      <c r="I405">
        <v>42.5</v>
      </c>
      <c r="J405">
        <v>17.62</v>
      </c>
    </row>
    <row r="406" spans="1:10" x14ac:dyDescent="0.35">
      <c r="A406" t="s">
        <v>533</v>
      </c>
      <c r="B406" s="2">
        <v>45860</v>
      </c>
      <c r="C406" t="s">
        <v>241</v>
      </c>
      <c r="D406" t="s">
        <v>49</v>
      </c>
      <c r="E406" t="s">
        <v>13</v>
      </c>
      <c r="F406" t="s">
        <v>50</v>
      </c>
      <c r="G406">
        <v>5</v>
      </c>
      <c r="H406">
        <v>0.15</v>
      </c>
      <c r="I406">
        <v>297.5</v>
      </c>
      <c r="J406">
        <v>54.93</v>
      </c>
    </row>
    <row r="407" spans="1:10" x14ac:dyDescent="0.35">
      <c r="A407" t="s">
        <v>534</v>
      </c>
      <c r="B407" s="2">
        <v>45829</v>
      </c>
      <c r="C407" t="s">
        <v>185</v>
      </c>
      <c r="D407" t="s">
        <v>99</v>
      </c>
      <c r="E407" t="s">
        <v>18</v>
      </c>
      <c r="F407" t="s">
        <v>22</v>
      </c>
      <c r="G407">
        <v>5</v>
      </c>
      <c r="H407">
        <v>0.05</v>
      </c>
      <c r="I407">
        <v>902.5</v>
      </c>
      <c r="J407">
        <v>316.64999999999998</v>
      </c>
    </row>
    <row r="408" spans="1:10" x14ac:dyDescent="0.35">
      <c r="A408" t="s">
        <v>535</v>
      </c>
      <c r="B408" s="2">
        <v>45903</v>
      </c>
      <c r="C408" t="s">
        <v>103</v>
      </c>
      <c r="D408" t="s">
        <v>49</v>
      </c>
      <c r="E408" t="s">
        <v>13</v>
      </c>
      <c r="F408" t="s">
        <v>50</v>
      </c>
      <c r="G408">
        <v>2</v>
      </c>
      <c r="H408">
        <v>0.15</v>
      </c>
      <c r="I408">
        <v>119</v>
      </c>
      <c r="J408">
        <v>15.51</v>
      </c>
    </row>
    <row r="409" spans="1:10" x14ac:dyDescent="0.35">
      <c r="A409" t="s">
        <v>536</v>
      </c>
      <c r="B409" s="2">
        <v>45952</v>
      </c>
      <c r="C409" t="s">
        <v>286</v>
      </c>
      <c r="D409" t="s">
        <v>21</v>
      </c>
      <c r="E409" t="s">
        <v>18</v>
      </c>
      <c r="F409" t="s">
        <v>25</v>
      </c>
      <c r="G409">
        <v>3</v>
      </c>
      <c r="H409">
        <v>0.15</v>
      </c>
      <c r="I409">
        <v>140.25</v>
      </c>
      <c r="J409">
        <v>50.14</v>
      </c>
    </row>
    <row r="410" spans="1:10" x14ac:dyDescent="0.35">
      <c r="A410" t="s">
        <v>537</v>
      </c>
      <c r="B410" s="2">
        <v>45716</v>
      </c>
      <c r="C410" t="s">
        <v>269</v>
      </c>
      <c r="D410" t="s">
        <v>83</v>
      </c>
      <c r="E410" t="s">
        <v>46</v>
      </c>
      <c r="F410" t="s">
        <v>14</v>
      </c>
      <c r="G410">
        <v>2</v>
      </c>
      <c r="H410">
        <v>0.2</v>
      </c>
      <c r="I410">
        <v>40</v>
      </c>
      <c r="J410">
        <v>4.84</v>
      </c>
    </row>
    <row r="411" spans="1:10" x14ac:dyDescent="0.35">
      <c r="A411" t="s">
        <v>538</v>
      </c>
      <c r="B411" s="2">
        <v>45894</v>
      </c>
      <c r="C411" t="s">
        <v>515</v>
      </c>
      <c r="D411" t="s">
        <v>17</v>
      </c>
      <c r="E411" t="s">
        <v>18</v>
      </c>
      <c r="F411" t="s">
        <v>14</v>
      </c>
      <c r="G411">
        <v>2</v>
      </c>
      <c r="H411">
        <v>0.15</v>
      </c>
      <c r="I411">
        <v>357</v>
      </c>
      <c r="J411">
        <v>66.67</v>
      </c>
    </row>
    <row r="412" spans="1:10" x14ac:dyDescent="0.35">
      <c r="A412" t="s">
        <v>539</v>
      </c>
      <c r="B412" s="2">
        <v>45867</v>
      </c>
      <c r="C412" t="s">
        <v>109</v>
      </c>
      <c r="D412" t="s">
        <v>38</v>
      </c>
      <c r="E412" t="s">
        <v>13</v>
      </c>
      <c r="F412" t="s">
        <v>25</v>
      </c>
      <c r="G412">
        <v>4</v>
      </c>
      <c r="H412">
        <v>0.05</v>
      </c>
      <c r="I412">
        <v>1216</v>
      </c>
      <c r="J412">
        <v>293.05</v>
      </c>
    </row>
    <row r="413" spans="1:10" x14ac:dyDescent="0.35">
      <c r="A413" t="s">
        <v>540</v>
      </c>
      <c r="B413" s="2">
        <v>45995</v>
      </c>
      <c r="C413" t="s">
        <v>202</v>
      </c>
      <c r="D413" t="s">
        <v>28</v>
      </c>
      <c r="E413" t="s">
        <v>18</v>
      </c>
      <c r="F413" t="s">
        <v>50</v>
      </c>
      <c r="G413">
        <v>4</v>
      </c>
      <c r="H413">
        <v>0.15</v>
      </c>
      <c r="I413">
        <v>952</v>
      </c>
      <c r="J413">
        <v>405.16</v>
      </c>
    </row>
    <row r="414" spans="1:10" x14ac:dyDescent="0.35">
      <c r="A414" t="s">
        <v>541</v>
      </c>
      <c r="B414" s="2">
        <v>45956</v>
      </c>
      <c r="C414" t="s">
        <v>515</v>
      </c>
      <c r="D414" t="s">
        <v>99</v>
      </c>
      <c r="E414" t="s">
        <v>18</v>
      </c>
      <c r="F414" t="s">
        <v>50</v>
      </c>
      <c r="G414">
        <v>5</v>
      </c>
      <c r="I414">
        <v>760</v>
      </c>
      <c r="J414">
        <v>110.39</v>
      </c>
    </row>
    <row r="415" spans="1:10" x14ac:dyDescent="0.35">
      <c r="A415" t="s">
        <v>542</v>
      </c>
      <c r="B415" s="2">
        <v>45936</v>
      </c>
      <c r="C415" t="s">
        <v>167</v>
      </c>
      <c r="D415" t="s">
        <v>67</v>
      </c>
      <c r="E415" t="s">
        <v>13</v>
      </c>
      <c r="F415" t="s">
        <v>14</v>
      </c>
      <c r="G415">
        <v>3</v>
      </c>
      <c r="H415">
        <v>0.2</v>
      </c>
      <c r="I415">
        <v>2880</v>
      </c>
      <c r="J415">
        <v>731.63</v>
      </c>
    </row>
    <row r="416" spans="1:10" x14ac:dyDescent="0.35">
      <c r="A416" t="s">
        <v>543</v>
      </c>
      <c r="B416" s="2">
        <v>45785</v>
      </c>
      <c r="C416" t="s">
        <v>360</v>
      </c>
      <c r="D416" t="s">
        <v>38</v>
      </c>
      <c r="E416" t="s">
        <v>13</v>
      </c>
      <c r="F416" t="s">
        <v>50</v>
      </c>
      <c r="G416">
        <v>3</v>
      </c>
      <c r="H416">
        <v>0.05</v>
      </c>
      <c r="I416">
        <v>912</v>
      </c>
      <c r="J416">
        <v>215.68</v>
      </c>
    </row>
    <row r="417" spans="1:10" x14ac:dyDescent="0.35">
      <c r="A417" t="s">
        <v>544</v>
      </c>
      <c r="B417" s="2">
        <v>45827</v>
      </c>
      <c r="C417" t="s">
        <v>224</v>
      </c>
      <c r="D417" t="s">
        <v>99</v>
      </c>
      <c r="E417" t="s">
        <v>18</v>
      </c>
      <c r="F417" t="s">
        <v>22</v>
      </c>
      <c r="G417">
        <v>1</v>
      </c>
      <c r="H417">
        <v>0</v>
      </c>
      <c r="I417">
        <v>190</v>
      </c>
      <c r="J417">
        <v>79.319999999999993</v>
      </c>
    </row>
    <row r="418" spans="1:10" x14ac:dyDescent="0.35">
      <c r="A418" t="s">
        <v>545</v>
      </c>
      <c r="B418" s="2">
        <v>45886</v>
      </c>
      <c r="C418" t="s">
        <v>24</v>
      </c>
      <c r="D418" t="s">
        <v>49</v>
      </c>
      <c r="E418" t="s">
        <v>13</v>
      </c>
      <c r="F418" t="s">
        <v>22</v>
      </c>
      <c r="G418">
        <v>4</v>
      </c>
      <c r="H418">
        <v>0.15</v>
      </c>
      <c r="I418">
        <v>238</v>
      </c>
      <c r="J418">
        <v>46.44</v>
      </c>
    </row>
    <row r="419" spans="1:10" x14ac:dyDescent="0.35">
      <c r="A419" t="s">
        <v>546</v>
      </c>
      <c r="B419" s="2">
        <v>45834</v>
      </c>
      <c r="C419" t="s">
        <v>167</v>
      </c>
      <c r="D419" t="s">
        <v>67</v>
      </c>
      <c r="E419" t="s">
        <v>13</v>
      </c>
      <c r="F419" t="s">
        <v>14</v>
      </c>
      <c r="G419">
        <v>4</v>
      </c>
      <c r="H419">
        <v>0</v>
      </c>
      <c r="I419">
        <v>4800</v>
      </c>
      <c r="J419">
        <v>1692.04</v>
      </c>
    </row>
    <row r="420" spans="1:10" x14ac:dyDescent="0.35">
      <c r="A420" t="s">
        <v>547</v>
      </c>
      <c r="B420" s="2">
        <v>45730</v>
      </c>
      <c r="C420" t="s">
        <v>124</v>
      </c>
      <c r="D420" t="s">
        <v>49</v>
      </c>
      <c r="E420" t="s">
        <v>13</v>
      </c>
      <c r="F420" t="s">
        <v>50</v>
      </c>
      <c r="G420">
        <v>3</v>
      </c>
      <c r="H420">
        <v>0.1</v>
      </c>
      <c r="I420">
        <v>189</v>
      </c>
      <c r="J420">
        <v>56.65</v>
      </c>
    </row>
    <row r="421" spans="1:10" x14ac:dyDescent="0.35">
      <c r="A421" t="s">
        <v>548</v>
      </c>
      <c r="B421" s="2">
        <v>45836</v>
      </c>
      <c r="C421" t="s">
        <v>483</v>
      </c>
      <c r="D421" t="s">
        <v>45</v>
      </c>
      <c r="E421" t="s">
        <v>46</v>
      </c>
      <c r="F421" t="s">
        <v>25</v>
      </c>
      <c r="G421">
        <v>1</v>
      </c>
      <c r="H421">
        <v>0.15</v>
      </c>
      <c r="I421">
        <v>15.3</v>
      </c>
      <c r="J421">
        <v>3.24</v>
      </c>
    </row>
    <row r="422" spans="1:10" x14ac:dyDescent="0.35">
      <c r="A422" t="s">
        <v>549</v>
      </c>
      <c r="B422" s="2">
        <v>45692</v>
      </c>
      <c r="C422" t="s">
        <v>91</v>
      </c>
      <c r="D422" t="s">
        <v>35</v>
      </c>
      <c r="E422" t="s">
        <v>13</v>
      </c>
      <c r="F422" t="s">
        <v>14</v>
      </c>
      <c r="G422">
        <v>1</v>
      </c>
      <c r="H422">
        <v>0</v>
      </c>
      <c r="I422">
        <v>850</v>
      </c>
      <c r="J422">
        <v>376.16</v>
      </c>
    </row>
    <row r="423" spans="1:10" x14ac:dyDescent="0.35">
      <c r="A423" t="s">
        <v>550</v>
      </c>
      <c r="B423" s="2">
        <v>46004</v>
      </c>
      <c r="C423" t="s">
        <v>273</v>
      </c>
      <c r="D423" t="s">
        <v>28</v>
      </c>
      <c r="E423" t="s">
        <v>18</v>
      </c>
      <c r="F423" t="s">
        <v>25</v>
      </c>
      <c r="G423">
        <v>2</v>
      </c>
      <c r="H423">
        <v>0.2</v>
      </c>
      <c r="I423">
        <v>448</v>
      </c>
      <c r="J423">
        <v>175.81</v>
      </c>
    </row>
    <row r="424" spans="1:10" x14ac:dyDescent="0.35">
      <c r="A424" t="s">
        <v>551</v>
      </c>
      <c r="B424" s="2">
        <v>45944</v>
      </c>
      <c r="C424" t="s">
        <v>189</v>
      </c>
      <c r="D424" t="s">
        <v>99</v>
      </c>
      <c r="E424" t="s">
        <v>18</v>
      </c>
      <c r="F424" t="s">
        <v>22</v>
      </c>
      <c r="G424">
        <v>4</v>
      </c>
      <c r="H424">
        <v>0.05</v>
      </c>
      <c r="I424">
        <v>722</v>
      </c>
      <c r="J424">
        <v>134.83000000000001</v>
      </c>
    </row>
    <row r="425" spans="1:10" x14ac:dyDescent="0.35">
      <c r="A425" t="s">
        <v>552</v>
      </c>
      <c r="B425" s="2">
        <v>45753</v>
      </c>
      <c r="C425" t="s">
        <v>349</v>
      </c>
      <c r="D425" t="s">
        <v>38</v>
      </c>
      <c r="E425" t="s">
        <v>13</v>
      </c>
      <c r="F425" t="s">
        <v>22</v>
      </c>
      <c r="G425">
        <v>4</v>
      </c>
      <c r="H425">
        <v>0.15</v>
      </c>
      <c r="I425">
        <v>1088</v>
      </c>
      <c r="J425">
        <v>479.12</v>
      </c>
    </row>
    <row r="426" spans="1:10" x14ac:dyDescent="0.35">
      <c r="A426" t="s">
        <v>553</v>
      </c>
      <c r="B426" s="2">
        <v>45888</v>
      </c>
      <c r="C426" t="s">
        <v>27</v>
      </c>
      <c r="D426" t="s">
        <v>83</v>
      </c>
      <c r="E426" t="s">
        <v>46</v>
      </c>
      <c r="F426" t="s">
        <v>22</v>
      </c>
      <c r="G426">
        <v>4</v>
      </c>
      <c r="H426">
        <v>0.15</v>
      </c>
      <c r="I426">
        <v>85</v>
      </c>
      <c r="J426">
        <v>38.130000000000003</v>
      </c>
    </row>
    <row r="427" spans="1:10" x14ac:dyDescent="0.35">
      <c r="A427" t="s">
        <v>554</v>
      </c>
      <c r="B427" s="2">
        <v>45800</v>
      </c>
      <c r="C427" t="s">
        <v>42</v>
      </c>
      <c r="D427" t="s">
        <v>17</v>
      </c>
      <c r="E427" t="s">
        <v>18</v>
      </c>
      <c r="F427" t="s">
        <v>22</v>
      </c>
      <c r="G427">
        <v>1</v>
      </c>
      <c r="H427">
        <v>0.2</v>
      </c>
      <c r="I427">
        <v>168</v>
      </c>
      <c r="J427">
        <v>69.959999999999994</v>
      </c>
    </row>
    <row r="428" spans="1:10" x14ac:dyDescent="0.35">
      <c r="A428" t="s">
        <v>555</v>
      </c>
      <c r="B428" s="2">
        <v>45845</v>
      </c>
      <c r="C428" t="s">
        <v>78</v>
      </c>
      <c r="D428" t="s">
        <v>49</v>
      </c>
      <c r="E428" t="s">
        <v>13</v>
      </c>
      <c r="F428" t="s">
        <v>50</v>
      </c>
      <c r="G428">
        <v>2</v>
      </c>
      <c r="H428">
        <v>0.15</v>
      </c>
      <c r="I428">
        <v>119</v>
      </c>
      <c r="J428">
        <v>49.07</v>
      </c>
    </row>
    <row r="429" spans="1:10" x14ac:dyDescent="0.35">
      <c r="A429" t="s">
        <v>556</v>
      </c>
      <c r="B429" s="2">
        <v>45928</v>
      </c>
      <c r="C429" t="s">
        <v>286</v>
      </c>
      <c r="D429" t="s">
        <v>38</v>
      </c>
      <c r="E429" t="s">
        <v>13</v>
      </c>
      <c r="F429" t="s">
        <v>14</v>
      </c>
      <c r="G429">
        <v>3</v>
      </c>
      <c r="H429">
        <v>0.2</v>
      </c>
      <c r="I429">
        <v>768</v>
      </c>
      <c r="J429">
        <v>247.1</v>
      </c>
    </row>
    <row r="430" spans="1:10" x14ac:dyDescent="0.35">
      <c r="A430" t="s">
        <v>557</v>
      </c>
      <c r="B430" s="2">
        <v>45836</v>
      </c>
      <c r="C430" t="s">
        <v>236</v>
      </c>
      <c r="D430" t="s">
        <v>49</v>
      </c>
      <c r="E430" t="s">
        <v>13</v>
      </c>
      <c r="F430" t="s">
        <v>25</v>
      </c>
      <c r="G430">
        <v>4</v>
      </c>
      <c r="H430">
        <v>0.2</v>
      </c>
      <c r="I430">
        <v>224</v>
      </c>
      <c r="J430">
        <v>88.05</v>
      </c>
    </row>
    <row r="431" spans="1:10" x14ac:dyDescent="0.35">
      <c r="A431" t="s">
        <v>558</v>
      </c>
      <c r="B431" s="2">
        <v>45972</v>
      </c>
      <c r="C431" t="s">
        <v>109</v>
      </c>
      <c r="D431" t="s">
        <v>83</v>
      </c>
      <c r="E431" t="s">
        <v>46</v>
      </c>
      <c r="F431" t="s">
        <v>25</v>
      </c>
      <c r="G431">
        <v>1</v>
      </c>
      <c r="H431">
        <v>0.05</v>
      </c>
      <c r="I431">
        <v>23.75</v>
      </c>
      <c r="J431">
        <v>8.23</v>
      </c>
    </row>
    <row r="432" spans="1:10" x14ac:dyDescent="0.35">
      <c r="A432" t="s">
        <v>559</v>
      </c>
      <c r="B432" s="2">
        <v>45717</v>
      </c>
      <c r="C432" t="s">
        <v>178</v>
      </c>
      <c r="D432" t="s">
        <v>28</v>
      </c>
      <c r="E432" t="s">
        <v>18</v>
      </c>
      <c r="F432" t="s">
        <v>22</v>
      </c>
      <c r="G432">
        <v>3</v>
      </c>
      <c r="H432">
        <v>0.05</v>
      </c>
      <c r="I432">
        <v>798</v>
      </c>
      <c r="J432">
        <v>224.58</v>
      </c>
    </row>
    <row r="433" spans="1:10" x14ac:dyDescent="0.35">
      <c r="A433" t="s">
        <v>560</v>
      </c>
      <c r="B433" s="2">
        <v>45952</v>
      </c>
      <c r="C433" t="s">
        <v>42</v>
      </c>
      <c r="D433" t="s">
        <v>99</v>
      </c>
      <c r="E433" t="s">
        <v>18</v>
      </c>
      <c r="F433" t="s">
        <v>22</v>
      </c>
      <c r="G433">
        <v>4</v>
      </c>
      <c r="H433">
        <v>0.05</v>
      </c>
      <c r="I433">
        <v>722</v>
      </c>
      <c r="J433">
        <v>208.95</v>
      </c>
    </row>
    <row r="434" spans="1:10" x14ac:dyDescent="0.35">
      <c r="A434" t="s">
        <v>561</v>
      </c>
      <c r="B434" s="2">
        <v>45942</v>
      </c>
      <c r="C434" t="s">
        <v>48</v>
      </c>
      <c r="D434" t="s">
        <v>28</v>
      </c>
      <c r="E434" t="s">
        <v>18</v>
      </c>
      <c r="F434" t="s">
        <v>50</v>
      </c>
      <c r="G434">
        <v>4</v>
      </c>
      <c r="H434">
        <v>0.1</v>
      </c>
      <c r="I434">
        <v>1008</v>
      </c>
      <c r="J434">
        <v>406.93</v>
      </c>
    </row>
    <row r="435" spans="1:10" x14ac:dyDescent="0.35">
      <c r="A435" t="s">
        <v>562</v>
      </c>
      <c r="B435" s="2">
        <v>45975</v>
      </c>
      <c r="C435" t="s">
        <v>142</v>
      </c>
      <c r="D435" t="s">
        <v>67</v>
      </c>
      <c r="E435" t="s">
        <v>13</v>
      </c>
      <c r="F435" t="s">
        <v>50</v>
      </c>
      <c r="G435">
        <v>3</v>
      </c>
      <c r="H435">
        <v>0</v>
      </c>
      <c r="I435">
        <v>3600</v>
      </c>
      <c r="J435">
        <v>1044.28</v>
      </c>
    </row>
    <row r="436" spans="1:10" x14ac:dyDescent="0.35">
      <c r="A436" t="s">
        <v>563</v>
      </c>
      <c r="B436" s="2">
        <v>45945</v>
      </c>
      <c r="C436" t="s">
        <v>178</v>
      </c>
      <c r="D436" t="s">
        <v>55</v>
      </c>
      <c r="E436" t="s">
        <v>46</v>
      </c>
      <c r="F436" t="s">
        <v>50</v>
      </c>
      <c r="G436">
        <v>4</v>
      </c>
      <c r="H436">
        <v>0.15</v>
      </c>
      <c r="I436">
        <v>816</v>
      </c>
      <c r="J436">
        <v>182.82</v>
      </c>
    </row>
    <row r="437" spans="1:10" x14ac:dyDescent="0.35">
      <c r="A437" t="s">
        <v>564</v>
      </c>
      <c r="B437" s="2">
        <v>45908</v>
      </c>
      <c r="C437" t="s">
        <v>213</v>
      </c>
      <c r="D437" t="s">
        <v>28</v>
      </c>
      <c r="E437" t="s">
        <v>18</v>
      </c>
      <c r="F437" t="s">
        <v>22</v>
      </c>
      <c r="G437">
        <v>1</v>
      </c>
      <c r="H437">
        <v>0.2</v>
      </c>
      <c r="I437">
        <v>224</v>
      </c>
      <c r="J437">
        <v>98.52</v>
      </c>
    </row>
    <row r="438" spans="1:10" x14ac:dyDescent="0.35">
      <c r="A438" t="s">
        <v>565</v>
      </c>
      <c r="B438" s="2">
        <v>45807</v>
      </c>
      <c r="C438" t="s">
        <v>412</v>
      </c>
      <c r="D438" t="s">
        <v>67</v>
      </c>
      <c r="E438" t="s">
        <v>13</v>
      </c>
      <c r="F438" t="s">
        <v>50</v>
      </c>
      <c r="G438">
        <v>3</v>
      </c>
      <c r="H438">
        <v>0.05</v>
      </c>
      <c r="I438">
        <v>3420</v>
      </c>
      <c r="J438">
        <v>932.25</v>
      </c>
    </row>
    <row r="439" spans="1:10" x14ac:dyDescent="0.35">
      <c r="A439" t="s">
        <v>566</v>
      </c>
      <c r="B439" s="2">
        <v>45947</v>
      </c>
      <c r="C439" t="s">
        <v>219</v>
      </c>
      <c r="D439" t="s">
        <v>17</v>
      </c>
      <c r="E439" t="s">
        <v>18</v>
      </c>
      <c r="F439" t="s">
        <v>14</v>
      </c>
      <c r="G439">
        <v>4</v>
      </c>
      <c r="H439">
        <v>0.2</v>
      </c>
      <c r="I439">
        <v>672</v>
      </c>
      <c r="J439">
        <v>189.12</v>
      </c>
    </row>
    <row r="440" spans="1:10" x14ac:dyDescent="0.35">
      <c r="A440" t="s">
        <v>567</v>
      </c>
      <c r="B440" s="2">
        <v>45795</v>
      </c>
      <c r="C440" t="s">
        <v>360</v>
      </c>
      <c r="D440" t="s">
        <v>55</v>
      </c>
      <c r="E440" t="s">
        <v>46</v>
      </c>
      <c r="F440" t="s">
        <v>50</v>
      </c>
      <c r="G440">
        <v>3</v>
      </c>
      <c r="H440">
        <v>0.2</v>
      </c>
      <c r="I440">
        <v>576</v>
      </c>
      <c r="J440">
        <v>102.84</v>
      </c>
    </row>
    <row r="441" spans="1:10" x14ac:dyDescent="0.35">
      <c r="A441" t="s">
        <v>568</v>
      </c>
      <c r="B441" s="2">
        <v>45937</v>
      </c>
      <c r="C441" t="s">
        <v>196</v>
      </c>
      <c r="D441" t="s">
        <v>21</v>
      </c>
      <c r="E441" t="s">
        <v>18</v>
      </c>
      <c r="F441" t="s">
        <v>22</v>
      </c>
      <c r="G441">
        <v>4</v>
      </c>
      <c r="H441">
        <v>0</v>
      </c>
      <c r="I441">
        <v>220</v>
      </c>
      <c r="J441">
        <v>45.57</v>
      </c>
    </row>
    <row r="442" spans="1:10" x14ac:dyDescent="0.35">
      <c r="A442" t="s">
        <v>569</v>
      </c>
      <c r="B442" s="2">
        <v>45810</v>
      </c>
      <c r="C442" t="s">
        <v>315</v>
      </c>
      <c r="D442" t="s">
        <v>67</v>
      </c>
      <c r="E442" t="s">
        <v>13</v>
      </c>
      <c r="F442" t="s">
        <v>50</v>
      </c>
      <c r="G442">
        <v>4</v>
      </c>
      <c r="H442">
        <v>0.1</v>
      </c>
      <c r="I442">
        <v>4320</v>
      </c>
      <c r="J442">
        <v>1447.07</v>
      </c>
    </row>
    <row r="443" spans="1:10" x14ac:dyDescent="0.35">
      <c r="A443" t="s">
        <v>570</v>
      </c>
      <c r="B443" s="2">
        <v>45718</v>
      </c>
      <c r="C443" t="s">
        <v>34</v>
      </c>
      <c r="D443" t="s">
        <v>21</v>
      </c>
      <c r="E443" t="s">
        <v>18</v>
      </c>
      <c r="F443" t="s">
        <v>50</v>
      </c>
      <c r="G443">
        <v>2</v>
      </c>
      <c r="H443">
        <v>0.2</v>
      </c>
      <c r="I443">
        <v>88</v>
      </c>
      <c r="J443">
        <v>19.59</v>
      </c>
    </row>
    <row r="444" spans="1:10" x14ac:dyDescent="0.35">
      <c r="A444" t="s">
        <v>571</v>
      </c>
      <c r="B444" s="2">
        <v>45742</v>
      </c>
      <c r="C444" t="s">
        <v>105</v>
      </c>
      <c r="D444" t="s">
        <v>83</v>
      </c>
      <c r="E444" t="s">
        <v>46</v>
      </c>
      <c r="F444" t="s">
        <v>25</v>
      </c>
      <c r="G444">
        <v>2</v>
      </c>
      <c r="H444">
        <v>0.05</v>
      </c>
      <c r="I444">
        <v>47.5</v>
      </c>
      <c r="J444">
        <v>8.6199999999999992</v>
      </c>
    </row>
    <row r="445" spans="1:10" x14ac:dyDescent="0.35">
      <c r="A445" t="s">
        <v>572</v>
      </c>
      <c r="B445" s="2">
        <v>45930</v>
      </c>
      <c r="C445" t="s">
        <v>34</v>
      </c>
      <c r="D445" t="s">
        <v>35</v>
      </c>
      <c r="E445" t="s">
        <v>13</v>
      </c>
      <c r="F445" t="s">
        <v>25</v>
      </c>
      <c r="G445">
        <v>5</v>
      </c>
      <c r="H445">
        <v>0.2</v>
      </c>
      <c r="I445">
        <v>3400</v>
      </c>
      <c r="J445">
        <v>1341.08</v>
      </c>
    </row>
    <row r="446" spans="1:10" x14ac:dyDescent="0.35">
      <c r="A446" t="s">
        <v>573</v>
      </c>
      <c r="B446" s="2">
        <v>45806</v>
      </c>
      <c r="C446" t="s">
        <v>236</v>
      </c>
      <c r="D446" t="s">
        <v>83</v>
      </c>
      <c r="E446" t="s">
        <v>46</v>
      </c>
      <c r="F446" t="s">
        <v>14</v>
      </c>
      <c r="G446">
        <v>3</v>
      </c>
      <c r="H446">
        <v>0.2</v>
      </c>
      <c r="I446">
        <v>60</v>
      </c>
      <c r="J446">
        <v>7.49</v>
      </c>
    </row>
    <row r="447" spans="1:10" x14ac:dyDescent="0.35">
      <c r="A447" t="s">
        <v>574</v>
      </c>
      <c r="B447" s="2">
        <v>45727</v>
      </c>
      <c r="C447" t="s">
        <v>115</v>
      </c>
      <c r="D447" t="s">
        <v>99</v>
      </c>
      <c r="E447" t="s">
        <v>18</v>
      </c>
      <c r="F447" t="s">
        <v>22</v>
      </c>
      <c r="G447">
        <v>1</v>
      </c>
      <c r="H447">
        <v>0.1</v>
      </c>
      <c r="I447">
        <v>171</v>
      </c>
      <c r="J447">
        <v>28.02</v>
      </c>
    </row>
    <row r="448" spans="1:10" x14ac:dyDescent="0.35">
      <c r="A448" t="s">
        <v>575</v>
      </c>
      <c r="B448" s="2">
        <v>45785</v>
      </c>
      <c r="C448" t="s">
        <v>236</v>
      </c>
      <c r="D448" t="s">
        <v>28</v>
      </c>
      <c r="E448" t="s">
        <v>18</v>
      </c>
      <c r="F448" t="s">
        <v>50</v>
      </c>
      <c r="G448">
        <v>3</v>
      </c>
      <c r="H448">
        <v>0.05</v>
      </c>
      <c r="I448">
        <v>798</v>
      </c>
      <c r="J448">
        <v>158.57</v>
      </c>
    </row>
    <row r="449" spans="1:10" x14ac:dyDescent="0.35">
      <c r="A449" t="s">
        <v>576</v>
      </c>
      <c r="B449" s="2">
        <v>45908</v>
      </c>
      <c r="C449" t="s">
        <v>32</v>
      </c>
      <c r="D449" t="s">
        <v>28</v>
      </c>
      <c r="E449" t="s">
        <v>18</v>
      </c>
      <c r="F449" t="s">
        <v>50</v>
      </c>
      <c r="G449">
        <v>5</v>
      </c>
      <c r="H449">
        <v>0.1</v>
      </c>
      <c r="I449">
        <v>1260</v>
      </c>
      <c r="J449">
        <v>305.95999999999998</v>
      </c>
    </row>
    <row r="450" spans="1:10" x14ac:dyDescent="0.35">
      <c r="A450" t="s">
        <v>577</v>
      </c>
      <c r="B450" s="2">
        <v>45696</v>
      </c>
      <c r="C450" t="s">
        <v>295</v>
      </c>
      <c r="D450" t="s">
        <v>38</v>
      </c>
      <c r="E450" t="s">
        <v>13</v>
      </c>
      <c r="F450" t="s">
        <v>25</v>
      </c>
      <c r="G450">
        <v>1</v>
      </c>
      <c r="H450">
        <v>0.15</v>
      </c>
      <c r="I450">
        <v>272</v>
      </c>
      <c r="J450">
        <v>76.12</v>
      </c>
    </row>
    <row r="451" spans="1:10" x14ac:dyDescent="0.35">
      <c r="A451" t="s">
        <v>578</v>
      </c>
      <c r="B451" s="2">
        <v>45890</v>
      </c>
      <c r="C451" t="s">
        <v>387</v>
      </c>
      <c r="D451" t="s">
        <v>45</v>
      </c>
      <c r="E451" t="s">
        <v>46</v>
      </c>
      <c r="F451" t="s">
        <v>14</v>
      </c>
      <c r="G451">
        <v>3</v>
      </c>
      <c r="H451">
        <v>0.2</v>
      </c>
      <c r="I451">
        <v>43.2</v>
      </c>
      <c r="J451">
        <v>19.399999999999999</v>
      </c>
    </row>
    <row r="452" spans="1:10" x14ac:dyDescent="0.35">
      <c r="A452" t="s">
        <v>579</v>
      </c>
      <c r="B452" s="2">
        <v>45892</v>
      </c>
      <c r="C452" t="s">
        <v>286</v>
      </c>
      <c r="D452" t="s">
        <v>38</v>
      </c>
      <c r="E452" t="s">
        <v>13</v>
      </c>
      <c r="F452" t="s">
        <v>22</v>
      </c>
      <c r="G452">
        <v>3</v>
      </c>
      <c r="H452">
        <v>0</v>
      </c>
      <c r="I452">
        <v>960</v>
      </c>
      <c r="J452">
        <v>179.93</v>
      </c>
    </row>
    <row r="453" spans="1:10" x14ac:dyDescent="0.35">
      <c r="A453" t="s">
        <v>580</v>
      </c>
      <c r="B453" s="2">
        <v>45877</v>
      </c>
      <c r="C453" t="s">
        <v>364</v>
      </c>
      <c r="D453" t="s">
        <v>21</v>
      </c>
      <c r="E453" t="s">
        <v>18</v>
      </c>
      <c r="F453" t="s">
        <v>25</v>
      </c>
      <c r="G453">
        <v>4</v>
      </c>
      <c r="H453">
        <v>0.1</v>
      </c>
      <c r="I453">
        <v>198</v>
      </c>
      <c r="J453">
        <v>68</v>
      </c>
    </row>
    <row r="454" spans="1:10" x14ac:dyDescent="0.35">
      <c r="A454" t="s">
        <v>581</v>
      </c>
      <c r="B454" s="2">
        <v>45938</v>
      </c>
      <c r="C454" t="s">
        <v>91</v>
      </c>
      <c r="D454" t="s">
        <v>83</v>
      </c>
      <c r="E454" t="s">
        <v>46</v>
      </c>
      <c r="F454" t="s">
        <v>14</v>
      </c>
      <c r="G454">
        <v>2</v>
      </c>
      <c r="H454">
        <v>0.2</v>
      </c>
      <c r="I454">
        <v>40</v>
      </c>
      <c r="J454">
        <v>6.75</v>
      </c>
    </row>
    <row r="455" spans="1:10" x14ac:dyDescent="0.35">
      <c r="A455" t="s">
        <v>582</v>
      </c>
      <c r="B455" s="2">
        <v>45681</v>
      </c>
      <c r="C455" t="s">
        <v>273</v>
      </c>
      <c r="D455" t="s">
        <v>12</v>
      </c>
      <c r="E455" t="s">
        <v>13</v>
      </c>
      <c r="F455" t="s">
        <v>50</v>
      </c>
      <c r="G455">
        <v>4</v>
      </c>
      <c r="H455">
        <v>0</v>
      </c>
      <c r="I455">
        <v>140</v>
      </c>
      <c r="J455">
        <v>57.26</v>
      </c>
    </row>
    <row r="456" spans="1:10" x14ac:dyDescent="0.35">
      <c r="A456" t="s">
        <v>583</v>
      </c>
      <c r="B456" s="2">
        <v>45891</v>
      </c>
      <c r="C456" t="s">
        <v>115</v>
      </c>
      <c r="D456" t="s">
        <v>67</v>
      </c>
      <c r="E456" t="s">
        <v>13</v>
      </c>
      <c r="F456" t="s">
        <v>25</v>
      </c>
      <c r="G456">
        <v>4</v>
      </c>
      <c r="H456">
        <v>0.05</v>
      </c>
      <c r="I456">
        <v>4560</v>
      </c>
      <c r="J456">
        <v>553.67999999999995</v>
      </c>
    </row>
    <row r="457" spans="1:10" x14ac:dyDescent="0.35">
      <c r="A457" t="s">
        <v>584</v>
      </c>
      <c r="B457" s="2">
        <v>45739</v>
      </c>
      <c r="C457" t="s">
        <v>69</v>
      </c>
      <c r="D457" t="s">
        <v>35</v>
      </c>
      <c r="E457" t="s">
        <v>13</v>
      </c>
      <c r="F457" t="s">
        <v>22</v>
      </c>
      <c r="G457">
        <v>1</v>
      </c>
      <c r="H457">
        <v>0.1</v>
      </c>
      <c r="I457">
        <v>765</v>
      </c>
      <c r="J457">
        <v>281.04000000000002</v>
      </c>
    </row>
    <row r="458" spans="1:10" x14ac:dyDescent="0.35">
      <c r="A458" t="s">
        <v>585</v>
      </c>
      <c r="B458" s="2">
        <v>45684</v>
      </c>
      <c r="C458" t="s">
        <v>315</v>
      </c>
      <c r="D458" t="s">
        <v>99</v>
      </c>
      <c r="E458" t="s">
        <v>18</v>
      </c>
      <c r="F458" t="s">
        <v>14</v>
      </c>
      <c r="G458">
        <v>3</v>
      </c>
      <c r="H458">
        <v>0.05</v>
      </c>
      <c r="I458">
        <v>541.5</v>
      </c>
      <c r="J458">
        <v>166.97</v>
      </c>
    </row>
    <row r="459" spans="1:10" x14ac:dyDescent="0.35">
      <c r="A459" t="s">
        <v>586</v>
      </c>
      <c r="B459" s="2">
        <v>45658</v>
      </c>
      <c r="C459" t="s">
        <v>224</v>
      </c>
      <c r="D459" t="s">
        <v>21</v>
      </c>
      <c r="E459" t="s">
        <v>18</v>
      </c>
      <c r="F459" t="s">
        <v>50</v>
      </c>
      <c r="G459">
        <v>4</v>
      </c>
      <c r="H459">
        <v>0</v>
      </c>
      <c r="I459">
        <v>220</v>
      </c>
      <c r="J459">
        <v>89.37</v>
      </c>
    </row>
    <row r="460" spans="1:10" x14ac:dyDescent="0.35">
      <c r="A460" t="s">
        <v>587</v>
      </c>
      <c r="B460" s="2">
        <v>45662</v>
      </c>
      <c r="C460" t="s">
        <v>93</v>
      </c>
      <c r="D460" t="s">
        <v>67</v>
      </c>
      <c r="E460" t="s">
        <v>13</v>
      </c>
      <c r="F460" t="s">
        <v>22</v>
      </c>
      <c r="G460">
        <v>3</v>
      </c>
      <c r="H460">
        <v>0</v>
      </c>
      <c r="I460">
        <v>3600</v>
      </c>
      <c r="J460">
        <v>446.07</v>
      </c>
    </row>
    <row r="461" spans="1:10" x14ac:dyDescent="0.35">
      <c r="A461" t="s">
        <v>588</v>
      </c>
      <c r="B461" s="2">
        <v>45902</v>
      </c>
      <c r="C461" t="s">
        <v>122</v>
      </c>
      <c r="D461" t="s">
        <v>12</v>
      </c>
      <c r="E461" t="s">
        <v>13</v>
      </c>
      <c r="F461" t="s">
        <v>14</v>
      </c>
      <c r="G461">
        <v>2</v>
      </c>
      <c r="H461">
        <v>0.15</v>
      </c>
      <c r="I461">
        <v>59.5</v>
      </c>
      <c r="J461">
        <v>25.02</v>
      </c>
    </row>
    <row r="462" spans="1:10" x14ac:dyDescent="0.35">
      <c r="A462" t="s">
        <v>589</v>
      </c>
      <c r="B462" s="2">
        <v>45818</v>
      </c>
      <c r="C462" t="s">
        <v>57</v>
      </c>
      <c r="D462" t="s">
        <v>49</v>
      </c>
      <c r="E462" t="s">
        <v>13</v>
      </c>
      <c r="F462" t="s">
        <v>22</v>
      </c>
      <c r="G462">
        <v>3</v>
      </c>
      <c r="H462">
        <v>0.05</v>
      </c>
      <c r="I462">
        <v>199.5</v>
      </c>
      <c r="J462">
        <v>64.58</v>
      </c>
    </row>
    <row r="463" spans="1:10" x14ac:dyDescent="0.35">
      <c r="A463" t="s">
        <v>590</v>
      </c>
      <c r="B463" s="2">
        <v>45986</v>
      </c>
      <c r="C463" t="s">
        <v>62</v>
      </c>
      <c r="D463" t="s">
        <v>38</v>
      </c>
      <c r="E463" t="s">
        <v>13</v>
      </c>
      <c r="F463" t="s">
        <v>22</v>
      </c>
      <c r="G463">
        <v>2</v>
      </c>
      <c r="H463">
        <v>0</v>
      </c>
      <c r="I463">
        <v>640</v>
      </c>
      <c r="J463">
        <v>175.96</v>
      </c>
    </row>
    <row r="464" spans="1:10" x14ac:dyDescent="0.35">
      <c r="A464" t="s">
        <v>591</v>
      </c>
      <c r="B464" s="2">
        <v>45883</v>
      </c>
      <c r="C464" t="s">
        <v>349</v>
      </c>
      <c r="D464" t="s">
        <v>49</v>
      </c>
      <c r="E464" t="s">
        <v>13</v>
      </c>
      <c r="F464" t="s">
        <v>50</v>
      </c>
      <c r="G464">
        <v>2</v>
      </c>
      <c r="H464">
        <v>0.05</v>
      </c>
      <c r="I464">
        <v>133</v>
      </c>
      <c r="J464">
        <v>19.48</v>
      </c>
    </row>
    <row r="465" spans="1:10" x14ac:dyDescent="0.35">
      <c r="A465" t="s">
        <v>592</v>
      </c>
      <c r="B465" s="2">
        <v>45769</v>
      </c>
      <c r="C465" t="s">
        <v>24</v>
      </c>
      <c r="D465" t="s">
        <v>12</v>
      </c>
      <c r="E465" t="s">
        <v>13</v>
      </c>
      <c r="F465" t="s">
        <v>50</v>
      </c>
      <c r="G465">
        <v>1</v>
      </c>
      <c r="H465">
        <v>0.05</v>
      </c>
      <c r="I465">
        <v>33.25</v>
      </c>
      <c r="J465">
        <v>6.71</v>
      </c>
    </row>
    <row r="466" spans="1:10" x14ac:dyDescent="0.35">
      <c r="A466" t="s">
        <v>593</v>
      </c>
      <c r="B466" s="2">
        <v>45837</v>
      </c>
      <c r="C466" t="s">
        <v>192</v>
      </c>
      <c r="D466" t="s">
        <v>99</v>
      </c>
      <c r="E466" t="s">
        <v>18</v>
      </c>
      <c r="F466" t="s">
        <v>14</v>
      </c>
      <c r="G466">
        <v>3</v>
      </c>
      <c r="H466">
        <v>0.05</v>
      </c>
      <c r="I466">
        <v>541.5</v>
      </c>
      <c r="J466">
        <v>199.4</v>
      </c>
    </row>
    <row r="467" spans="1:10" x14ac:dyDescent="0.35">
      <c r="A467" t="s">
        <v>594</v>
      </c>
      <c r="B467" s="2">
        <v>45785</v>
      </c>
      <c r="C467" t="s">
        <v>364</v>
      </c>
      <c r="D467" t="s">
        <v>55</v>
      </c>
      <c r="E467" t="s">
        <v>46</v>
      </c>
      <c r="F467" t="s">
        <v>14</v>
      </c>
      <c r="G467">
        <v>5</v>
      </c>
      <c r="H467">
        <v>0.2</v>
      </c>
      <c r="I467">
        <v>960</v>
      </c>
      <c r="J467">
        <v>203.53</v>
      </c>
    </row>
    <row r="468" spans="1:10" x14ac:dyDescent="0.35">
      <c r="A468" t="s">
        <v>595</v>
      </c>
      <c r="B468" s="2">
        <v>45995</v>
      </c>
      <c r="C468" t="s">
        <v>142</v>
      </c>
      <c r="D468" t="s">
        <v>35</v>
      </c>
      <c r="E468" t="s">
        <v>13</v>
      </c>
      <c r="F468" t="s">
        <v>50</v>
      </c>
      <c r="G468">
        <v>2</v>
      </c>
      <c r="H468">
        <v>0.2</v>
      </c>
      <c r="I468">
        <v>1360</v>
      </c>
      <c r="J468">
        <v>339.61</v>
      </c>
    </row>
    <row r="469" spans="1:10" x14ac:dyDescent="0.35">
      <c r="A469" t="s">
        <v>596</v>
      </c>
      <c r="B469" s="2">
        <v>45809</v>
      </c>
      <c r="C469" t="s">
        <v>183</v>
      </c>
      <c r="D469" t="s">
        <v>38</v>
      </c>
      <c r="E469" t="s">
        <v>13</v>
      </c>
      <c r="F469" t="s">
        <v>22</v>
      </c>
      <c r="G469">
        <v>1</v>
      </c>
      <c r="H469">
        <v>0.05</v>
      </c>
      <c r="I469">
        <v>304</v>
      </c>
      <c r="J469">
        <v>87.15</v>
      </c>
    </row>
    <row r="470" spans="1:10" x14ac:dyDescent="0.35">
      <c r="A470" t="s">
        <v>597</v>
      </c>
      <c r="B470" s="2">
        <v>45913</v>
      </c>
      <c r="C470" t="s">
        <v>62</v>
      </c>
      <c r="D470" t="s">
        <v>38</v>
      </c>
      <c r="E470" t="s">
        <v>13</v>
      </c>
      <c r="F470" t="s">
        <v>25</v>
      </c>
      <c r="G470">
        <v>5</v>
      </c>
      <c r="H470">
        <v>0</v>
      </c>
      <c r="I470">
        <v>1600</v>
      </c>
      <c r="J470">
        <v>441.06</v>
      </c>
    </row>
    <row r="471" spans="1:10" x14ac:dyDescent="0.35">
      <c r="A471" t="s">
        <v>598</v>
      </c>
      <c r="B471" s="2">
        <v>45820</v>
      </c>
      <c r="C471" t="s">
        <v>119</v>
      </c>
      <c r="D471" t="s">
        <v>28</v>
      </c>
      <c r="E471" t="s">
        <v>18</v>
      </c>
      <c r="F471" t="s">
        <v>22</v>
      </c>
      <c r="G471">
        <v>4</v>
      </c>
      <c r="H471">
        <v>0.2</v>
      </c>
      <c r="I471">
        <v>896</v>
      </c>
      <c r="J471">
        <v>278.76</v>
      </c>
    </row>
    <row r="472" spans="1:10" x14ac:dyDescent="0.35">
      <c r="A472" t="s">
        <v>599</v>
      </c>
      <c r="B472" s="2">
        <v>45899</v>
      </c>
      <c r="C472" t="s">
        <v>113</v>
      </c>
      <c r="D472" t="s">
        <v>12</v>
      </c>
      <c r="E472" t="s">
        <v>13</v>
      </c>
      <c r="F472" t="s">
        <v>22</v>
      </c>
      <c r="G472">
        <v>1</v>
      </c>
      <c r="H472">
        <v>0.2</v>
      </c>
      <c r="I472">
        <v>28</v>
      </c>
      <c r="J472">
        <v>11.98</v>
      </c>
    </row>
    <row r="473" spans="1:10" x14ac:dyDescent="0.35">
      <c r="A473" t="s">
        <v>600</v>
      </c>
      <c r="B473" s="2">
        <v>45678</v>
      </c>
      <c r="C473" t="s">
        <v>165</v>
      </c>
      <c r="D473" t="s">
        <v>67</v>
      </c>
      <c r="E473" t="s">
        <v>13</v>
      </c>
      <c r="F473" t="s">
        <v>50</v>
      </c>
      <c r="G473">
        <v>4</v>
      </c>
      <c r="H473">
        <v>0.2</v>
      </c>
      <c r="I473">
        <v>3840</v>
      </c>
      <c r="J473">
        <v>1364.96</v>
      </c>
    </row>
    <row r="474" spans="1:10" x14ac:dyDescent="0.35">
      <c r="A474" t="s">
        <v>601</v>
      </c>
      <c r="B474" s="2">
        <v>45874</v>
      </c>
      <c r="C474" t="s">
        <v>42</v>
      </c>
      <c r="D474" t="s">
        <v>17</v>
      </c>
      <c r="E474" t="s">
        <v>18</v>
      </c>
      <c r="F474" t="s">
        <v>22</v>
      </c>
      <c r="G474">
        <v>4</v>
      </c>
      <c r="H474">
        <v>0</v>
      </c>
      <c r="I474">
        <v>840</v>
      </c>
      <c r="J474">
        <v>200.44</v>
      </c>
    </row>
    <row r="475" spans="1:10" x14ac:dyDescent="0.35">
      <c r="A475" t="s">
        <v>602</v>
      </c>
      <c r="B475" s="2">
        <v>45800</v>
      </c>
      <c r="C475" t="s">
        <v>124</v>
      </c>
      <c r="D475" t="s">
        <v>12</v>
      </c>
      <c r="E475" t="s">
        <v>13</v>
      </c>
      <c r="F475" t="s">
        <v>22</v>
      </c>
      <c r="G475">
        <v>3</v>
      </c>
      <c r="H475">
        <v>0</v>
      </c>
      <c r="I475">
        <v>105</v>
      </c>
      <c r="J475">
        <v>29.53</v>
      </c>
    </row>
    <row r="476" spans="1:10" x14ac:dyDescent="0.35">
      <c r="A476" t="s">
        <v>603</v>
      </c>
      <c r="B476" s="2">
        <v>45932</v>
      </c>
      <c r="C476" t="s">
        <v>196</v>
      </c>
      <c r="D476" t="s">
        <v>49</v>
      </c>
      <c r="E476" t="s">
        <v>13</v>
      </c>
      <c r="F476" t="s">
        <v>14</v>
      </c>
      <c r="G476">
        <v>4</v>
      </c>
      <c r="H476">
        <v>0.2</v>
      </c>
      <c r="I476">
        <v>224</v>
      </c>
      <c r="J476">
        <v>53.91</v>
      </c>
    </row>
    <row r="477" spans="1:10" x14ac:dyDescent="0.35">
      <c r="A477" t="s">
        <v>604</v>
      </c>
      <c r="B477" s="2">
        <v>45816</v>
      </c>
      <c r="C477" t="s">
        <v>315</v>
      </c>
      <c r="D477" t="s">
        <v>17</v>
      </c>
      <c r="E477" t="s">
        <v>18</v>
      </c>
      <c r="F477" t="s">
        <v>50</v>
      </c>
      <c r="G477">
        <v>4</v>
      </c>
      <c r="H477">
        <v>0.05</v>
      </c>
      <c r="I477">
        <v>798</v>
      </c>
      <c r="J477">
        <v>343.85</v>
      </c>
    </row>
    <row r="478" spans="1:10" x14ac:dyDescent="0.35">
      <c r="A478" t="s">
        <v>605</v>
      </c>
      <c r="B478" s="2">
        <v>45717</v>
      </c>
      <c r="C478" t="s">
        <v>78</v>
      </c>
      <c r="D478" t="s">
        <v>45</v>
      </c>
      <c r="E478" t="s">
        <v>46</v>
      </c>
      <c r="F478" t="s">
        <v>22</v>
      </c>
      <c r="G478">
        <v>5</v>
      </c>
      <c r="H478">
        <v>0.2</v>
      </c>
      <c r="I478">
        <v>72</v>
      </c>
      <c r="J478">
        <v>31.09</v>
      </c>
    </row>
    <row r="479" spans="1:10" x14ac:dyDescent="0.35">
      <c r="A479" t="s">
        <v>606</v>
      </c>
      <c r="B479" s="2">
        <v>45719</v>
      </c>
      <c r="C479" t="s">
        <v>30</v>
      </c>
      <c r="D479" t="s">
        <v>67</v>
      </c>
      <c r="E479" t="s">
        <v>13</v>
      </c>
      <c r="F479" t="s">
        <v>25</v>
      </c>
      <c r="G479">
        <v>2</v>
      </c>
      <c r="H479">
        <v>0</v>
      </c>
      <c r="I479">
        <v>2400</v>
      </c>
      <c r="J479">
        <v>950.24</v>
      </c>
    </row>
    <row r="480" spans="1:10" x14ac:dyDescent="0.35">
      <c r="A480" t="s">
        <v>607</v>
      </c>
      <c r="B480" s="2">
        <v>45743</v>
      </c>
      <c r="C480" t="s">
        <v>404</v>
      </c>
      <c r="D480" t="s">
        <v>49</v>
      </c>
      <c r="E480" t="s">
        <v>13</v>
      </c>
      <c r="F480" t="s">
        <v>14</v>
      </c>
      <c r="G480">
        <v>2</v>
      </c>
      <c r="H480">
        <v>0.1</v>
      </c>
      <c r="I480">
        <v>126</v>
      </c>
      <c r="J480">
        <v>26.22</v>
      </c>
    </row>
    <row r="481" spans="1:10" x14ac:dyDescent="0.35">
      <c r="A481" t="s">
        <v>608</v>
      </c>
      <c r="B481" s="2">
        <v>45829</v>
      </c>
      <c r="C481" t="s">
        <v>165</v>
      </c>
      <c r="D481" t="s">
        <v>99</v>
      </c>
      <c r="E481" t="s">
        <v>18</v>
      </c>
      <c r="F481" t="s">
        <v>14</v>
      </c>
      <c r="G481">
        <v>3</v>
      </c>
      <c r="H481">
        <v>0.2</v>
      </c>
      <c r="I481">
        <v>456</v>
      </c>
      <c r="J481">
        <v>195.59</v>
      </c>
    </row>
    <row r="482" spans="1:10" x14ac:dyDescent="0.35">
      <c r="A482" t="s">
        <v>609</v>
      </c>
      <c r="B482" s="2">
        <v>45912</v>
      </c>
      <c r="C482" t="s">
        <v>73</v>
      </c>
      <c r="D482" t="s">
        <v>45</v>
      </c>
      <c r="E482" t="s">
        <v>46</v>
      </c>
      <c r="F482" t="s">
        <v>22</v>
      </c>
      <c r="G482">
        <v>5</v>
      </c>
      <c r="H482">
        <v>0.1</v>
      </c>
      <c r="I482">
        <v>81</v>
      </c>
      <c r="J482">
        <v>34.97</v>
      </c>
    </row>
    <row r="483" spans="1:10" x14ac:dyDescent="0.35">
      <c r="A483" t="s">
        <v>610</v>
      </c>
      <c r="B483" s="2">
        <v>45846</v>
      </c>
      <c r="C483" t="s">
        <v>236</v>
      </c>
      <c r="D483" t="s">
        <v>28</v>
      </c>
      <c r="E483" t="s">
        <v>18</v>
      </c>
      <c r="F483" t="s">
        <v>14</v>
      </c>
      <c r="G483">
        <v>3</v>
      </c>
      <c r="H483">
        <v>0</v>
      </c>
      <c r="I483">
        <v>840</v>
      </c>
      <c r="J483">
        <v>130.11000000000001</v>
      </c>
    </row>
    <row r="484" spans="1:10" x14ac:dyDescent="0.35">
      <c r="A484" t="s">
        <v>611</v>
      </c>
      <c r="B484" s="2">
        <v>45774</v>
      </c>
      <c r="C484" t="s">
        <v>62</v>
      </c>
      <c r="D484" t="s">
        <v>17</v>
      </c>
      <c r="E484" t="s">
        <v>18</v>
      </c>
      <c r="F484" t="s">
        <v>22</v>
      </c>
      <c r="G484">
        <v>5</v>
      </c>
      <c r="H484">
        <v>0</v>
      </c>
      <c r="I484">
        <v>1050</v>
      </c>
      <c r="J484">
        <v>457.24</v>
      </c>
    </row>
    <row r="485" spans="1:10" x14ac:dyDescent="0.35">
      <c r="A485" t="s">
        <v>612</v>
      </c>
      <c r="B485" s="2">
        <v>45681</v>
      </c>
      <c r="C485" t="s">
        <v>238</v>
      </c>
      <c r="D485" t="s">
        <v>45</v>
      </c>
      <c r="E485" t="s">
        <v>46</v>
      </c>
      <c r="F485" t="s">
        <v>14</v>
      </c>
      <c r="G485">
        <v>3</v>
      </c>
      <c r="H485">
        <v>0.15</v>
      </c>
      <c r="I485">
        <v>45.9</v>
      </c>
      <c r="J485">
        <v>6.72</v>
      </c>
    </row>
    <row r="486" spans="1:10" x14ac:dyDescent="0.35">
      <c r="A486" t="s">
        <v>613</v>
      </c>
      <c r="B486" s="2">
        <v>45941</v>
      </c>
      <c r="C486" t="s">
        <v>178</v>
      </c>
      <c r="D486" t="s">
        <v>17</v>
      </c>
      <c r="E486" t="s">
        <v>18</v>
      </c>
      <c r="F486" t="s">
        <v>25</v>
      </c>
      <c r="G486">
        <v>4</v>
      </c>
      <c r="H486">
        <v>0.05</v>
      </c>
      <c r="I486">
        <v>798</v>
      </c>
      <c r="J486">
        <v>274.36</v>
      </c>
    </row>
    <row r="487" spans="1:10" x14ac:dyDescent="0.35">
      <c r="A487" t="s">
        <v>614</v>
      </c>
      <c r="B487" s="2">
        <v>45796</v>
      </c>
      <c r="C487" t="s">
        <v>236</v>
      </c>
      <c r="D487" t="s">
        <v>12</v>
      </c>
      <c r="E487" t="s">
        <v>13</v>
      </c>
      <c r="F487" t="s">
        <v>14</v>
      </c>
      <c r="G487">
        <v>5</v>
      </c>
      <c r="H487">
        <v>0.1</v>
      </c>
      <c r="I487">
        <v>157.5</v>
      </c>
      <c r="J487">
        <v>64.67</v>
      </c>
    </row>
    <row r="488" spans="1:10" x14ac:dyDescent="0.35">
      <c r="A488" t="s">
        <v>615</v>
      </c>
      <c r="B488" s="2">
        <v>45749</v>
      </c>
      <c r="C488" t="s">
        <v>80</v>
      </c>
      <c r="D488" t="s">
        <v>21</v>
      </c>
      <c r="E488" t="s">
        <v>18</v>
      </c>
      <c r="F488" t="s">
        <v>50</v>
      </c>
      <c r="G488">
        <v>5</v>
      </c>
      <c r="H488">
        <v>0</v>
      </c>
      <c r="I488">
        <v>275</v>
      </c>
      <c r="J488">
        <v>37.17</v>
      </c>
    </row>
    <row r="489" spans="1:10" x14ac:dyDescent="0.35">
      <c r="A489" t="s">
        <v>616</v>
      </c>
      <c r="B489" s="2">
        <v>45802</v>
      </c>
      <c r="C489" t="s">
        <v>62</v>
      </c>
      <c r="D489" t="s">
        <v>35</v>
      </c>
      <c r="E489" t="s">
        <v>13</v>
      </c>
      <c r="F489" t="s">
        <v>25</v>
      </c>
      <c r="G489">
        <v>3</v>
      </c>
      <c r="H489">
        <v>0</v>
      </c>
      <c r="I489">
        <v>2550</v>
      </c>
      <c r="J489">
        <v>682.07</v>
      </c>
    </row>
    <row r="490" spans="1:10" x14ac:dyDescent="0.35">
      <c r="A490" t="s">
        <v>617</v>
      </c>
      <c r="B490" s="2">
        <v>45760</v>
      </c>
      <c r="C490" t="s">
        <v>163</v>
      </c>
      <c r="D490" t="s">
        <v>35</v>
      </c>
      <c r="E490" t="s">
        <v>13</v>
      </c>
      <c r="F490" t="s">
        <v>50</v>
      </c>
      <c r="G490">
        <v>5</v>
      </c>
      <c r="H490">
        <v>0.1</v>
      </c>
      <c r="I490">
        <v>3825</v>
      </c>
      <c r="J490">
        <v>787.72</v>
      </c>
    </row>
    <row r="491" spans="1:10" x14ac:dyDescent="0.35">
      <c r="A491" t="s">
        <v>618</v>
      </c>
      <c r="B491" s="2">
        <v>45846</v>
      </c>
      <c r="C491" t="s">
        <v>119</v>
      </c>
      <c r="D491" t="s">
        <v>83</v>
      </c>
      <c r="E491" t="s">
        <v>46</v>
      </c>
      <c r="F491" t="s">
        <v>22</v>
      </c>
      <c r="G491">
        <v>4</v>
      </c>
      <c r="H491">
        <v>0.05</v>
      </c>
      <c r="I491">
        <v>95</v>
      </c>
      <c r="J491">
        <v>19.79</v>
      </c>
    </row>
    <row r="492" spans="1:10" x14ac:dyDescent="0.35">
      <c r="A492" t="s">
        <v>619</v>
      </c>
      <c r="B492" s="2">
        <v>45735</v>
      </c>
      <c r="C492" t="s">
        <v>30</v>
      </c>
      <c r="D492" t="s">
        <v>67</v>
      </c>
      <c r="E492" t="s">
        <v>13</v>
      </c>
      <c r="F492" t="s">
        <v>14</v>
      </c>
      <c r="G492">
        <v>4</v>
      </c>
      <c r="H492">
        <v>0</v>
      </c>
      <c r="I492">
        <v>4800</v>
      </c>
      <c r="J492">
        <v>1790.93</v>
      </c>
    </row>
    <row r="493" spans="1:10" x14ac:dyDescent="0.35">
      <c r="A493" t="s">
        <v>620</v>
      </c>
      <c r="B493" s="2">
        <v>45829</v>
      </c>
      <c r="C493" t="s">
        <v>76</v>
      </c>
      <c r="D493" t="s">
        <v>67</v>
      </c>
      <c r="E493" t="s">
        <v>13</v>
      </c>
      <c r="F493" t="s">
        <v>22</v>
      </c>
      <c r="G493">
        <v>4</v>
      </c>
      <c r="H493">
        <v>0.1</v>
      </c>
      <c r="I493">
        <v>4320</v>
      </c>
      <c r="J493">
        <v>1795.81</v>
      </c>
    </row>
    <row r="494" spans="1:10" x14ac:dyDescent="0.35">
      <c r="A494" t="s">
        <v>621</v>
      </c>
      <c r="B494" s="2">
        <v>45872</v>
      </c>
      <c r="C494" t="s">
        <v>315</v>
      </c>
      <c r="D494" t="s">
        <v>45</v>
      </c>
      <c r="E494" t="s">
        <v>46</v>
      </c>
      <c r="F494" t="s">
        <v>14</v>
      </c>
      <c r="G494">
        <v>1</v>
      </c>
      <c r="H494">
        <v>0.05</v>
      </c>
      <c r="I494">
        <v>17.100000000000001</v>
      </c>
      <c r="J494">
        <v>3.68</v>
      </c>
    </row>
    <row r="495" spans="1:10" x14ac:dyDescent="0.35">
      <c r="A495" t="s">
        <v>622</v>
      </c>
      <c r="B495" s="2">
        <v>45776</v>
      </c>
      <c r="C495" t="s">
        <v>288</v>
      </c>
      <c r="D495" t="s">
        <v>55</v>
      </c>
      <c r="E495" t="s">
        <v>46</v>
      </c>
      <c r="F495" t="s">
        <v>14</v>
      </c>
      <c r="G495">
        <v>4</v>
      </c>
      <c r="H495">
        <v>0.1</v>
      </c>
      <c r="I495">
        <v>864</v>
      </c>
      <c r="J495">
        <v>258.08</v>
      </c>
    </row>
    <row r="496" spans="1:10" x14ac:dyDescent="0.35">
      <c r="A496" t="s">
        <v>623</v>
      </c>
      <c r="B496" s="2">
        <v>45955</v>
      </c>
      <c r="C496" t="s">
        <v>286</v>
      </c>
      <c r="D496" t="s">
        <v>12</v>
      </c>
      <c r="E496" t="s">
        <v>13</v>
      </c>
      <c r="F496" t="s">
        <v>14</v>
      </c>
      <c r="G496">
        <v>5</v>
      </c>
      <c r="H496">
        <v>0.05</v>
      </c>
      <c r="I496">
        <v>166.25</v>
      </c>
      <c r="J496">
        <v>39.85</v>
      </c>
    </row>
    <row r="497" spans="1:10" x14ac:dyDescent="0.35">
      <c r="A497" t="s">
        <v>624</v>
      </c>
      <c r="B497" s="2">
        <v>45961</v>
      </c>
      <c r="C497" t="s">
        <v>115</v>
      </c>
      <c r="D497" t="s">
        <v>83</v>
      </c>
      <c r="E497" t="s">
        <v>46</v>
      </c>
      <c r="F497" t="s">
        <v>22</v>
      </c>
      <c r="G497">
        <v>1</v>
      </c>
      <c r="H497">
        <v>0.15</v>
      </c>
      <c r="I497">
        <v>21.25</v>
      </c>
      <c r="J497">
        <v>4.92</v>
      </c>
    </row>
    <row r="498" spans="1:10" x14ac:dyDescent="0.35">
      <c r="A498" t="s">
        <v>625</v>
      </c>
      <c r="B498" s="2">
        <v>45807</v>
      </c>
      <c r="C498" t="s">
        <v>133</v>
      </c>
      <c r="D498" t="s">
        <v>35</v>
      </c>
      <c r="E498" t="s">
        <v>13</v>
      </c>
      <c r="F498" t="s">
        <v>25</v>
      </c>
      <c r="G498">
        <v>3</v>
      </c>
      <c r="H498">
        <v>0.15</v>
      </c>
      <c r="I498">
        <v>2167.5</v>
      </c>
      <c r="J498">
        <v>474.16</v>
      </c>
    </row>
    <row r="499" spans="1:10" x14ac:dyDescent="0.35">
      <c r="A499" t="s">
        <v>626</v>
      </c>
      <c r="B499" s="2">
        <v>45820</v>
      </c>
      <c r="C499" t="s">
        <v>181</v>
      </c>
      <c r="D499" t="s">
        <v>45</v>
      </c>
      <c r="E499" t="s">
        <v>46</v>
      </c>
      <c r="F499" t="s">
        <v>22</v>
      </c>
      <c r="G499">
        <v>3</v>
      </c>
      <c r="H499">
        <v>0.05</v>
      </c>
      <c r="I499">
        <v>51.3</v>
      </c>
      <c r="J499">
        <v>21.82</v>
      </c>
    </row>
    <row r="500" spans="1:10" x14ac:dyDescent="0.35">
      <c r="A500" t="s">
        <v>627</v>
      </c>
      <c r="B500" s="2">
        <v>45957</v>
      </c>
      <c r="C500" t="s">
        <v>89</v>
      </c>
      <c r="D500" t="s">
        <v>12</v>
      </c>
      <c r="E500" t="s">
        <v>13</v>
      </c>
      <c r="F500" t="s">
        <v>25</v>
      </c>
      <c r="G500">
        <v>2</v>
      </c>
      <c r="H500">
        <v>0</v>
      </c>
      <c r="I500">
        <v>70</v>
      </c>
      <c r="J500">
        <v>27.7</v>
      </c>
    </row>
    <row r="501" spans="1:10" x14ac:dyDescent="0.35">
      <c r="A501" t="s">
        <v>628</v>
      </c>
      <c r="B501" s="2">
        <v>45866</v>
      </c>
      <c r="C501" t="s">
        <v>124</v>
      </c>
      <c r="D501" t="s">
        <v>12</v>
      </c>
      <c r="E501" t="s">
        <v>13</v>
      </c>
      <c r="F501" t="s">
        <v>50</v>
      </c>
      <c r="G501">
        <v>5</v>
      </c>
      <c r="H501">
        <v>0.1</v>
      </c>
      <c r="I501">
        <v>157.5</v>
      </c>
      <c r="J501">
        <v>20.74</v>
      </c>
    </row>
    <row r="502" spans="1:10" x14ac:dyDescent="0.35">
      <c r="A502" t="s">
        <v>629</v>
      </c>
      <c r="B502" s="2">
        <v>45815</v>
      </c>
      <c r="C502" t="s">
        <v>278</v>
      </c>
      <c r="D502" t="s">
        <v>45</v>
      </c>
      <c r="E502" t="s">
        <v>46</v>
      </c>
      <c r="F502" t="s">
        <v>25</v>
      </c>
      <c r="G502">
        <v>3</v>
      </c>
      <c r="H502">
        <v>0</v>
      </c>
      <c r="I502">
        <v>54</v>
      </c>
      <c r="J502">
        <v>22.69</v>
      </c>
    </row>
    <row r="503" spans="1:10" x14ac:dyDescent="0.35">
      <c r="A503" t="s">
        <v>630</v>
      </c>
      <c r="B503" s="2">
        <v>46018</v>
      </c>
      <c r="C503" t="s">
        <v>150</v>
      </c>
      <c r="D503" t="s">
        <v>17</v>
      </c>
      <c r="E503" t="s">
        <v>18</v>
      </c>
      <c r="F503" t="s">
        <v>22</v>
      </c>
      <c r="G503">
        <v>5</v>
      </c>
      <c r="H503">
        <v>0</v>
      </c>
      <c r="I503">
        <v>1050</v>
      </c>
      <c r="J503">
        <v>398</v>
      </c>
    </row>
    <row r="504" spans="1:10" x14ac:dyDescent="0.35">
      <c r="A504" t="s">
        <v>631</v>
      </c>
      <c r="B504" s="2">
        <v>45704</v>
      </c>
      <c r="C504" t="s">
        <v>217</v>
      </c>
      <c r="D504" t="s">
        <v>17</v>
      </c>
      <c r="E504" t="s">
        <v>18</v>
      </c>
      <c r="F504" t="s">
        <v>25</v>
      </c>
      <c r="G504">
        <v>2</v>
      </c>
      <c r="H504">
        <v>0.1</v>
      </c>
      <c r="I504">
        <v>378</v>
      </c>
      <c r="J504">
        <v>120.67</v>
      </c>
    </row>
    <row r="505" spans="1:10" x14ac:dyDescent="0.35">
      <c r="A505" t="s">
        <v>632</v>
      </c>
      <c r="B505" s="2">
        <v>45791</v>
      </c>
      <c r="C505" t="s">
        <v>20</v>
      </c>
      <c r="D505" t="s">
        <v>28</v>
      </c>
      <c r="E505" t="s">
        <v>18</v>
      </c>
      <c r="F505" t="s">
        <v>22</v>
      </c>
      <c r="G505">
        <v>1</v>
      </c>
      <c r="H505">
        <v>0.15</v>
      </c>
      <c r="I505">
        <v>238</v>
      </c>
      <c r="J505">
        <v>39.979999999999997</v>
      </c>
    </row>
    <row r="506" spans="1:10" x14ac:dyDescent="0.35">
      <c r="A506" t="s">
        <v>633</v>
      </c>
      <c r="B506" s="2">
        <v>45706</v>
      </c>
      <c r="C506" t="s">
        <v>105</v>
      </c>
      <c r="D506" t="s">
        <v>45</v>
      </c>
      <c r="E506" t="s">
        <v>46</v>
      </c>
      <c r="F506" t="s">
        <v>22</v>
      </c>
      <c r="G506">
        <v>1</v>
      </c>
      <c r="H506">
        <v>0.05</v>
      </c>
      <c r="I506">
        <v>17.100000000000001</v>
      </c>
      <c r="J506">
        <v>7.01</v>
      </c>
    </row>
    <row r="507" spans="1:10" x14ac:dyDescent="0.35">
      <c r="A507" t="s">
        <v>634</v>
      </c>
      <c r="B507" s="2">
        <v>45724</v>
      </c>
      <c r="C507" t="s">
        <v>192</v>
      </c>
      <c r="D507" t="s">
        <v>21</v>
      </c>
      <c r="E507" t="s">
        <v>18</v>
      </c>
      <c r="F507" t="s">
        <v>14</v>
      </c>
      <c r="G507">
        <v>4</v>
      </c>
      <c r="H507">
        <v>0.1</v>
      </c>
      <c r="I507">
        <v>198</v>
      </c>
      <c r="J507">
        <v>44.26</v>
      </c>
    </row>
    <row r="508" spans="1:10" x14ac:dyDescent="0.35">
      <c r="A508" t="s">
        <v>635</v>
      </c>
      <c r="B508" s="2">
        <v>45956</v>
      </c>
      <c r="C508" t="s">
        <v>80</v>
      </c>
      <c r="D508" t="s">
        <v>83</v>
      </c>
      <c r="E508" t="s">
        <v>46</v>
      </c>
      <c r="F508" t="s">
        <v>22</v>
      </c>
      <c r="G508">
        <v>3</v>
      </c>
      <c r="H508">
        <v>0</v>
      </c>
      <c r="I508">
        <v>75</v>
      </c>
      <c r="J508">
        <v>33.21</v>
      </c>
    </row>
    <row r="509" spans="1:10" x14ac:dyDescent="0.35">
      <c r="A509" t="s">
        <v>636</v>
      </c>
      <c r="B509" s="2">
        <v>45988</v>
      </c>
      <c r="C509" t="s">
        <v>241</v>
      </c>
      <c r="D509" t="s">
        <v>45</v>
      </c>
      <c r="E509" t="s">
        <v>46</v>
      </c>
      <c r="F509" t="s">
        <v>14</v>
      </c>
      <c r="G509">
        <v>2</v>
      </c>
      <c r="H509">
        <v>0</v>
      </c>
      <c r="I509">
        <v>36</v>
      </c>
      <c r="J509">
        <v>5.45</v>
      </c>
    </row>
    <row r="510" spans="1:10" x14ac:dyDescent="0.35">
      <c r="A510" t="s">
        <v>637</v>
      </c>
      <c r="B510" s="2">
        <v>45679</v>
      </c>
      <c r="C510" t="s">
        <v>64</v>
      </c>
      <c r="D510" t="s">
        <v>45</v>
      </c>
      <c r="E510" t="s">
        <v>46</v>
      </c>
      <c r="F510" t="s">
        <v>50</v>
      </c>
      <c r="G510">
        <v>1</v>
      </c>
      <c r="H510">
        <v>0.05</v>
      </c>
      <c r="I510">
        <v>17.100000000000001</v>
      </c>
      <c r="J510">
        <v>2.48</v>
      </c>
    </row>
    <row r="511" spans="1:10" x14ac:dyDescent="0.35">
      <c r="A511" t="s">
        <v>638</v>
      </c>
      <c r="B511" s="2">
        <v>45912</v>
      </c>
      <c r="C511" t="s">
        <v>27</v>
      </c>
      <c r="D511" t="s">
        <v>67</v>
      </c>
      <c r="E511" t="s">
        <v>13</v>
      </c>
      <c r="F511" t="s">
        <v>22</v>
      </c>
      <c r="G511">
        <v>4</v>
      </c>
      <c r="H511">
        <v>0.15</v>
      </c>
      <c r="I511">
        <v>4080</v>
      </c>
      <c r="J511">
        <v>1603.33</v>
      </c>
    </row>
    <row r="512" spans="1:10" x14ac:dyDescent="0.35">
      <c r="A512" t="s">
        <v>639</v>
      </c>
      <c r="B512" s="2">
        <v>45798</v>
      </c>
      <c r="C512" t="s">
        <v>111</v>
      </c>
      <c r="D512" t="s">
        <v>35</v>
      </c>
      <c r="E512" t="s">
        <v>13</v>
      </c>
      <c r="F512" t="s">
        <v>22</v>
      </c>
      <c r="G512">
        <v>4</v>
      </c>
      <c r="H512">
        <v>0.05</v>
      </c>
      <c r="I512">
        <v>3230</v>
      </c>
      <c r="J512">
        <v>1416.57</v>
      </c>
    </row>
    <row r="513" spans="1:10" x14ac:dyDescent="0.35">
      <c r="A513" t="s">
        <v>640</v>
      </c>
      <c r="B513" s="2">
        <v>45989</v>
      </c>
      <c r="C513" t="s">
        <v>641</v>
      </c>
      <c r="D513" t="s">
        <v>35</v>
      </c>
      <c r="E513" t="s">
        <v>13</v>
      </c>
      <c r="F513" t="s">
        <v>14</v>
      </c>
      <c r="G513">
        <v>4</v>
      </c>
      <c r="H513">
        <v>0.15</v>
      </c>
      <c r="I513">
        <v>2890</v>
      </c>
      <c r="J513">
        <v>458.59</v>
      </c>
    </row>
    <row r="514" spans="1:10" x14ac:dyDescent="0.35">
      <c r="A514" t="s">
        <v>642</v>
      </c>
      <c r="B514" s="2">
        <v>45702</v>
      </c>
      <c r="C514" t="s">
        <v>192</v>
      </c>
      <c r="D514" t="s">
        <v>35</v>
      </c>
      <c r="E514" t="s">
        <v>13</v>
      </c>
      <c r="F514" t="s">
        <v>22</v>
      </c>
      <c r="G514">
        <v>4</v>
      </c>
      <c r="H514">
        <v>0.05</v>
      </c>
      <c r="I514">
        <v>3230</v>
      </c>
      <c r="J514">
        <v>1006.64</v>
      </c>
    </row>
    <row r="515" spans="1:10" x14ac:dyDescent="0.35">
      <c r="A515" t="s">
        <v>643</v>
      </c>
      <c r="B515" s="2">
        <v>45980</v>
      </c>
      <c r="C515" t="s">
        <v>40</v>
      </c>
      <c r="D515" t="s">
        <v>55</v>
      </c>
      <c r="E515" t="s">
        <v>46</v>
      </c>
      <c r="F515" t="s">
        <v>50</v>
      </c>
      <c r="G515">
        <v>1</v>
      </c>
      <c r="H515">
        <v>0.15</v>
      </c>
      <c r="I515">
        <v>204</v>
      </c>
      <c r="J515">
        <v>39.159999999999997</v>
      </c>
    </row>
    <row r="516" spans="1:10" x14ac:dyDescent="0.35">
      <c r="A516" t="s">
        <v>644</v>
      </c>
      <c r="B516" s="2">
        <v>45936</v>
      </c>
      <c r="C516" t="s">
        <v>59</v>
      </c>
      <c r="D516" t="s">
        <v>45</v>
      </c>
      <c r="E516" t="s">
        <v>46</v>
      </c>
      <c r="F516" t="s">
        <v>25</v>
      </c>
      <c r="G516">
        <v>3</v>
      </c>
      <c r="H516">
        <v>0.2</v>
      </c>
      <c r="I516">
        <v>43.2</v>
      </c>
      <c r="J516">
        <v>12.28</v>
      </c>
    </row>
    <row r="517" spans="1:10" x14ac:dyDescent="0.35">
      <c r="A517" t="s">
        <v>645</v>
      </c>
      <c r="B517" s="2">
        <v>45750</v>
      </c>
      <c r="C517" t="s">
        <v>387</v>
      </c>
      <c r="D517" t="s">
        <v>67</v>
      </c>
      <c r="E517" t="s">
        <v>13</v>
      </c>
      <c r="F517" t="s">
        <v>25</v>
      </c>
      <c r="G517">
        <v>3</v>
      </c>
      <c r="H517">
        <v>0.2</v>
      </c>
      <c r="I517">
        <v>2880</v>
      </c>
      <c r="J517">
        <v>1087.8399999999999</v>
      </c>
    </row>
    <row r="518" spans="1:10" x14ac:dyDescent="0.35">
      <c r="A518" t="s">
        <v>646</v>
      </c>
      <c r="B518" s="2">
        <v>45687</v>
      </c>
      <c r="C518" t="s">
        <v>37</v>
      </c>
      <c r="D518" t="s">
        <v>45</v>
      </c>
      <c r="E518" t="s">
        <v>46</v>
      </c>
      <c r="F518" t="s">
        <v>22</v>
      </c>
      <c r="G518">
        <v>5</v>
      </c>
      <c r="H518">
        <v>0.1</v>
      </c>
      <c r="I518">
        <v>81</v>
      </c>
      <c r="J518">
        <v>15.95</v>
      </c>
    </row>
    <row r="519" spans="1:10" x14ac:dyDescent="0.35">
      <c r="A519" t="s">
        <v>647</v>
      </c>
      <c r="B519" s="2">
        <v>45709</v>
      </c>
      <c r="C519" t="s">
        <v>133</v>
      </c>
      <c r="D519" t="s">
        <v>21</v>
      </c>
      <c r="E519" t="s">
        <v>18</v>
      </c>
      <c r="F519" t="s">
        <v>14</v>
      </c>
      <c r="G519">
        <v>2</v>
      </c>
      <c r="H519">
        <v>0.1</v>
      </c>
      <c r="I519">
        <v>99</v>
      </c>
      <c r="J519">
        <v>27.11</v>
      </c>
    </row>
    <row r="520" spans="1:10" x14ac:dyDescent="0.35">
      <c r="A520" t="s">
        <v>648</v>
      </c>
      <c r="B520" s="2">
        <v>45770</v>
      </c>
      <c r="C520" t="s">
        <v>238</v>
      </c>
      <c r="D520" t="s">
        <v>83</v>
      </c>
      <c r="E520" t="s">
        <v>46</v>
      </c>
      <c r="F520" t="s">
        <v>22</v>
      </c>
      <c r="G520">
        <v>4</v>
      </c>
      <c r="H520">
        <v>0.1</v>
      </c>
      <c r="I520">
        <v>90</v>
      </c>
      <c r="J520">
        <v>12.72</v>
      </c>
    </row>
    <row r="521" spans="1:10" x14ac:dyDescent="0.35">
      <c r="A521" t="s">
        <v>649</v>
      </c>
      <c r="B521" s="2">
        <v>45779</v>
      </c>
      <c r="C521" t="s">
        <v>369</v>
      </c>
      <c r="D521" t="s">
        <v>83</v>
      </c>
      <c r="E521" t="s">
        <v>46</v>
      </c>
      <c r="F521" t="s">
        <v>25</v>
      </c>
      <c r="G521">
        <v>3</v>
      </c>
      <c r="H521">
        <v>0.1</v>
      </c>
      <c r="I521">
        <v>67.5</v>
      </c>
      <c r="J521">
        <v>10.02</v>
      </c>
    </row>
    <row r="522" spans="1:10" x14ac:dyDescent="0.35">
      <c r="A522" t="s">
        <v>650</v>
      </c>
      <c r="B522" s="2">
        <v>45948</v>
      </c>
      <c r="C522" t="s">
        <v>243</v>
      </c>
      <c r="D522" t="s">
        <v>83</v>
      </c>
      <c r="E522" t="s">
        <v>46</v>
      </c>
      <c r="F522" t="s">
        <v>25</v>
      </c>
      <c r="G522">
        <v>2</v>
      </c>
      <c r="H522">
        <v>0.2</v>
      </c>
      <c r="I522">
        <v>40</v>
      </c>
      <c r="J522">
        <v>5.48</v>
      </c>
    </row>
    <row r="523" spans="1:10" x14ac:dyDescent="0.35">
      <c r="A523" t="s">
        <v>651</v>
      </c>
      <c r="B523" s="2">
        <v>45747</v>
      </c>
      <c r="C523" t="s">
        <v>185</v>
      </c>
      <c r="D523" t="s">
        <v>45</v>
      </c>
      <c r="E523" t="s">
        <v>46</v>
      </c>
      <c r="F523" t="s">
        <v>22</v>
      </c>
      <c r="G523">
        <v>1</v>
      </c>
      <c r="H523">
        <v>0</v>
      </c>
      <c r="I523">
        <v>18</v>
      </c>
      <c r="J523">
        <v>7.77</v>
      </c>
    </row>
    <row r="524" spans="1:10" x14ac:dyDescent="0.35">
      <c r="A524" t="s">
        <v>652</v>
      </c>
      <c r="B524" s="2">
        <v>45668</v>
      </c>
      <c r="C524" t="s">
        <v>349</v>
      </c>
      <c r="D524" t="s">
        <v>55</v>
      </c>
      <c r="E524" t="s">
        <v>46</v>
      </c>
      <c r="F524" t="s">
        <v>22</v>
      </c>
      <c r="G524">
        <v>4</v>
      </c>
      <c r="H524">
        <v>0</v>
      </c>
      <c r="I524">
        <v>960</v>
      </c>
      <c r="J524">
        <v>326.91000000000003</v>
      </c>
    </row>
    <row r="525" spans="1:10" x14ac:dyDescent="0.35">
      <c r="A525" t="s">
        <v>653</v>
      </c>
      <c r="B525" s="2">
        <v>45724</v>
      </c>
      <c r="C525" t="s">
        <v>154</v>
      </c>
      <c r="D525" t="s">
        <v>49</v>
      </c>
      <c r="E525" t="s">
        <v>13</v>
      </c>
      <c r="F525" t="s">
        <v>22</v>
      </c>
      <c r="G525">
        <v>2</v>
      </c>
      <c r="H525">
        <v>0.1</v>
      </c>
      <c r="I525">
        <v>126</v>
      </c>
      <c r="J525">
        <v>54.22</v>
      </c>
    </row>
    <row r="526" spans="1:10" x14ac:dyDescent="0.35">
      <c r="A526" t="s">
        <v>654</v>
      </c>
      <c r="B526" s="2">
        <v>45714</v>
      </c>
      <c r="C526" t="s">
        <v>145</v>
      </c>
      <c r="D526" t="s">
        <v>55</v>
      </c>
      <c r="E526" t="s">
        <v>46</v>
      </c>
      <c r="F526" t="s">
        <v>50</v>
      </c>
      <c r="G526">
        <v>3</v>
      </c>
      <c r="H526">
        <v>0</v>
      </c>
      <c r="I526">
        <v>720</v>
      </c>
      <c r="J526">
        <v>235.23</v>
      </c>
    </row>
    <row r="527" spans="1:10" x14ac:dyDescent="0.35">
      <c r="A527" t="s">
        <v>655</v>
      </c>
      <c r="B527" s="2">
        <v>45958</v>
      </c>
      <c r="C527" t="s">
        <v>273</v>
      </c>
      <c r="D527" t="s">
        <v>12</v>
      </c>
      <c r="E527" t="s">
        <v>13</v>
      </c>
      <c r="F527" t="s">
        <v>50</v>
      </c>
      <c r="G527">
        <v>3</v>
      </c>
      <c r="H527">
        <v>0.1</v>
      </c>
      <c r="I527">
        <v>94.5</v>
      </c>
      <c r="J527">
        <v>32.46</v>
      </c>
    </row>
    <row r="528" spans="1:10" x14ac:dyDescent="0.35">
      <c r="A528" t="s">
        <v>656</v>
      </c>
      <c r="B528" s="2">
        <v>45985</v>
      </c>
      <c r="C528" t="s">
        <v>20</v>
      </c>
      <c r="D528" t="s">
        <v>45</v>
      </c>
      <c r="E528" t="s">
        <v>46</v>
      </c>
      <c r="F528" t="s">
        <v>25</v>
      </c>
      <c r="G528">
        <v>3</v>
      </c>
      <c r="H528">
        <v>0.05</v>
      </c>
      <c r="I528">
        <v>51.3</v>
      </c>
      <c r="J528">
        <v>11.11</v>
      </c>
    </row>
    <row r="529" spans="1:10" x14ac:dyDescent="0.35">
      <c r="A529" t="s">
        <v>657</v>
      </c>
      <c r="B529" s="2">
        <v>45772</v>
      </c>
      <c r="C529" t="s">
        <v>198</v>
      </c>
      <c r="D529" t="s">
        <v>38</v>
      </c>
      <c r="E529" t="s">
        <v>13</v>
      </c>
      <c r="F529" t="s">
        <v>25</v>
      </c>
      <c r="G529">
        <v>5</v>
      </c>
      <c r="H529">
        <v>0.05</v>
      </c>
      <c r="I529">
        <v>1520</v>
      </c>
      <c r="J529">
        <v>494.2</v>
      </c>
    </row>
    <row r="530" spans="1:10" x14ac:dyDescent="0.35">
      <c r="A530" t="s">
        <v>658</v>
      </c>
      <c r="B530" s="2">
        <v>45723</v>
      </c>
      <c r="C530" t="s">
        <v>158</v>
      </c>
      <c r="D530" t="s">
        <v>28</v>
      </c>
      <c r="E530" t="s">
        <v>18</v>
      </c>
      <c r="F530" t="s">
        <v>14</v>
      </c>
      <c r="G530">
        <v>1</v>
      </c>
      <c r="H530">
        <v>0.2</v>
      </c>
      <c r="I530">
        <v>224</v>
      </c>
      <c r="J530">
        <v>71.849999999999994</v>
      </c>
    </row>
    <row r="531" spans="1:10" x14ac:dyDescent="0.35">
      <c r="A531" t="s">
        <v>659</v>
      </c>
      <c r="B531" s="2">
        <v>45751</v>
      </c>
      <c r="C531" t="s">
        <v>73</v>
      </c>
      <c r="D531" t="s">
        <v>83</v>
      </c>
      <c r="E531" t="s">
        <v>46</v>
      </c>
      <c r="F531" t="s">
        <v>14</v>
      </c>
      <c r="G531">
        <v>3</v>
      </c>
      <c r="H531">
        <v>0.2</v>
      </c>
      <c r="I531">
        <v>60</v>
      </c>
      <c r="J531">
        <v>22.63</v>
      </c>
    </row>
    <row r="532" spans="1:10" x14ac:dyDescent="0.35">
      <c r="A532" t="s">
        <v>660</v>
      </c>
      <c r="B532" s="2">
        <v>45912</v>
      </c>
      <c r="C532" t="s">
        <v>48</v>
      </c>
      <c r="D532" t="s">
        <v>28</v>
      </c>
      <c r="E532" t="s">
        <v>18</v>
      </c>
      <c r="F532" t="s">
        <v>22</v>
      </c>
      <c r="G532">
        <v>3</v>
      </c>
      <c r="H532">
        <v>0</v>
      </c>
      <c r="I532">
        <v>840</v>
      </c>
      <c r="J532">
        <v>312.02999999999997</v>
      </c>
    </row>
    <row r="533" spans="1:10" x14ac:dyDescent="0.35">
      <c r="A533" t="s">
        <v>661</v>
      </c>
      <c r="B533" s="2">
        <v>45983</v>
      </c>
      <c r="C533" t="s">
        <v>124</v>
      </c>
      <c r="D533" t="s">
        <v>12</v>
      </c>
      <c r="E533" t="s">
        <v>13</v>
      </c>
      <c r="F533" t="s">
        <v>22</v>
      </c>
      <c r="G533">
        <v>3</v>
      </c>
      <c r="H533">
        <v>0.15</v>
      </c>
      <c r="I533">
        <v>89.25</v>
      </c>
      <c r="J533">
        <v>39.83</v>
      </c>
    </row>
    <row r="534" spans="1:10" x14ac:dyDescent="0.35">
      <c r="A534" t="s">
        <v>662</v>
      </c>
      <c r="B534" s="2">
        <v>46012</v>
      </c>
      <c r="C534" t="s">
        <v>204</v>
      </c>
      <c r="D534" t="s">
        <v>12</v>
      </c>
      <c r="E534" t="s">
        <v>13</v>
      </c>
      <c r="F534" t="s">
        <v>14</v>
      </c>
      <c r="G534">
        <v>3</v>
      </c>
      <c r="H534">
        <v>0.1</v>
      </c>
      <c r="I534">
        <v>94.5</v>
      </c>
      <c r="J534">
        <v>17.98</v>
      </c>
    </row>
    <row r="535" spans="1:10" x14ac:dyDescent="0.35">
      <c r="A535" t="s">
        <v>663</v>
      </c>
      <c r="B535" s="2">
        <v>45682</v>
      </c>
      <c r="C535" t="s">
        <v>87</v>
      </c>
      <c r="D535" t="s">
        <v>99</v>
      </c>
      <c r="E535" t="s">
        <v>18</v>
      </c>
      <c r="F535" t="s">
        <v>50</v>
      </c>
      <c r="G535">
        <v>4</v>
      </c>
      <c r="H535">
        <v>0.15</v>
      </c>
      <c r="I535">
        <v>646</v>
      </c>
      <c r="J535">
        <v>84.11</v>
      </c>
    </row>
    <row r="536" spans="1:10" x14ac:dyDescent="0.35">
      <c r="A536" t="s">
        <v>664</v>
      </c>
      <c r="B536" s="2">
        <v>45851</v>
      </c>
      <c r="C536" t="s">
        <v>641</v>
      </c>
      <c r="D536" t="s">
        <v>49</v>
      </c>
      <c r="E536" t="s">
        <v>13</v>
      </c>
      <c r="F536" t="s">
        <v>22</v>
      </c>
      <c r="G536">
        <v>5</v>
      </c>
      <c r="H536">
        <v>0.15</v>
      </c>
      <c r="I536">
        <v>297.5</v>
      </c>
      <c r="J536">
        <v>123.92</v>
      </c>
    </row>
    <row r="537" spans="1:10" x14ac:dyDescent="0.35">
      <c r="A537" t="s">
        <v>665</v>
      </c>
      <c r="B537" s="2">
        <v>45741</v>
      </c>
      <c r="C537" t="s">
        <v>48</v>
      </c>
      <c r="D537" t="s">
        <v>45</v>
      </c>
      <c r="E537" t="s">
        <v>46</v>
      </c>
      <c r="F537" t="s">
        <v>25</v>
      </c>
      <c r="G537">
        <v>1</v>
      </c>
      <c r="H537">
        <v>0</v>
      </c>
      <c r="I537">
        <v>18</v>
      </c>
      <c r="J537">
        <v>6.35</v>
      </c>
    </row>
    <row r="538" spans="1:10" x14ac:dyDescent="0.35">
      <c r="A538" t="s">
        <v>666</v>
      </c>
      <c r="B538" s="2">
        <v>45711</v>
      </c>
      <c r="C538" t="s">
        <v>273</v>
      </c>
      <c r="D538" t="s">
        <v>12</v>
      </c>
      <c r="E538" t="s">
        <v>13</v>
      </c>
      <c r="F538" t="s">
        <v>14</v>
      </c>
      <c r="G538">
        <v>3</v>
      </c>
      <c r="H538">
        <v>0.05</v>
      </c>
      <c r="I538">
        <v>99.75</v>
      </c>
      <c r="J538">
        <v>15.66</v>
      </c>
    </row>
    <row r="539" spans="1:10" x14ac:dyDescent="0.35">
      <c r="A539" t="s">
        <v>667</v>
      </c>
      <c r="B539" s="2">
        <v>45938</v>
      </c>
      <c r="C539" t="s">
        <v>641</v>
      </c>
      <c r="D539" t="s">
        <v>12</v>
      </c>
      <c r="E539" t="s">
        <v>13</v>
      </c>
      <c r="F539" t="s">
        <v>14</v>
      </c>
      <c r="G539">
        <v>3</v>
      </c>
      <c r="H539">
        <v>0.2</v>
      </c>
      <c r="I539">
        <v>84</v>
      </c>
      <c r="J539">
        <v>10.49</v>
      </c>
    </row>
    <row r="540" spans="1:10" x14ac:dyDescent="0.35">
      <c r="A540" t="s">
        <v>668</v>
      </c>
      <c r="B540" s="2">
        <v>45878</v>
      </c>
      <c r="C540" t="s">
        <v>273</v>
      </c>
      <c r="D540" t="s">
        <v>38</v>
      </c>
      <c r="E540" t="s">
        <v>13</v>
      </c>
      <c r="F540" t="s">
        <v>14</v>
      </c>
      <c r="G540">
        <v>2</v>
      </c>
      <c r="H540">
        <v>0.2</v>
      </c>
      <c r="I540">
        <v>512</v>
      </c>
      <c r="J540">
        <v>80.069999999999993</v>
      </c>
    </row>
    <row r="541" spans="1:10" x14ac:dyDescent="0.35">
      <c r="A541" t="s">
        <v>669</v>
      </c>
      <c r="B541" s="2">
        <v>45709</v>
      </c>
      <c r="C541" t="s">
        <v>95</v>
      </c>
      <c r="D541" t="s">
        <v>49</v>
      </c>
      <c r="E541" t="s">
        <v>13</v>
      </c>
      <c r="F541" t="s">
        <v>25</v>
      </c>
      <c r="G541">
        <v>2</v>
      </c>
      <c r="H541">
        <v>0.05</v>
      </c>
      <c r="I541">
        <v>133</v>
      </c>
      <c r="J541">
        <v>41.89</v>
      </c>
    </row>
    <row r="542" spans="1:10" x14ac:dyDescent="0.35">
      <c r="A542" t="s">
        <v>670</v>
      </c>
      <c r="B542" s="2">
        <v>45996</v>
      </c>
      <c r="C542" t="s">
        <v>286</v>
      </c>
      <c r="D542" t="s">
        <v>35</v>
      </c>
      <c r="E542" t="s">
        <v>13</v>
      </c>
      <c r="F542" t="s">
        <v>50</v>
      </c>
      <c r="G542">
        <v>3</v>
      </c>
      <c r="H542">
        <v>0.05</v>
      </c>
      <c r="I542">
        <v>2422.5</v>
      </c>
      <c r="J542">
        <v>1013.45</v>
      </c>
    </row>
    <row r="543" spans="1:10" x14ac:dyDescent="0.35">
      <c r="A543" t="s">
        <v>671</v>
      </c>
      <c r="B543" s="2">
        <v>45736</v>
      </c>
      <c r="C543" t="s">
        <v>103</v>
      </c>
      <c r="D543" t="s">
        <v>67</v>
      </c>
      <c r="E543" t="s">
        <v>13</v>
      </c>
      <c r="F543" t="s">
        <v>50</v>
      </c>
      <c r="G543">
        <v>3</v>
      </c>
      <c r="H543">
        <v>0</v>
      </c>
      <c r="I543">
        <v>3600</v>
      </c>
      <c r="J543">
        <v>1112</v>
      </c>
    </row>
    <row r="544" spans="1:10" x14ac:dyDescent="0.35">
      <c r="A544" t="s">
        <v>672</v>
      </c>
      <c r="B544" s="2">
        <v>45760</v>
      </c>
      <c r="C544" t="s">
        <v>103</v>
      </c>
      <c r="D544" t="s">
        <v>12</v>
      </c>
      <c r="E544" t="s">
        <v>13</v>
      </c>
      <c r="F544" t="s">
        <v>14</v>
      </c>
      <c r="G544">
        <v>1</v>
      </c>
      <c r="H544">
        <v>0.05</v>
      </c>
      <c r="I544">
        <v>33.25</v>
      </c>
      <c r="J544">
        <v>13.09</v>
      </c>
    </row>
    <row r="545" spans="1:10" x14ac:dyDescent="0.35">
      <c r="A545" t="s">
        <v>673</v>
      </c>
      <c r="B545" s="2">
        <v>45900</v>
      </c>
      <c r="C545" t="s">
        <v>145</v>
      </c>
      <c r="D545" t="s">
        <v>12</v>
      </c>
      <c r="E545" t="s">
        <v>13</v>
      </c>
      <c r="F545" t="s">
        <v>25</v>
      </c>
      <c r="G545">
        <v>3</v>
      </c>
      <c r="H545">
        <v>0.15</v>
      </c>
      <c r="I545">
        <v>89.25</v>
      </c>
      <c r="J545">
        <v>26.29</v>
      </c>
    </row>
    <row r="546" spans="1:10" x14ac:dyDescent="0.35">
      <c r="A546" t="s">
        <v>674</v>
      </c>
      <c r="B546" s="2">
        <v>45704</v>
      </c>
      <c r="C546" t="s">
        <v>32</v>
      </c>
      <c r="D546" t="s">
        <v>38</v>
      </c>
      <c r="E546" t="s">
        <v>13</v>
      </c>
      <c r="F546" t="s">
        <v>25</v>
      </c>
      <c r="G546">
        <v>5</v>
      </c>
      <c r="H546">
        <v>0.15</v>
      </c>
      <c r="I546">
        <v>1360</v>
      </c>
      <c r="J546">
        <v>529.03</v>
      </c>
    </row>
    <row r="547" spans="1:10" x14ac:dyDescent="0.35">
      <c r="A547" t="s">
        <v>675</v>
      </c>
      <c r="B547" s="2">
        <v>45753</v>
      </c>
      <c r="C547" t="s">
        <v>113</v>
      </c>
      <c r="D547" t="s">
        <v>45</v>
      </c>
      <c r="E547" t="s">
        <v>46</v>
      </c>
      <c r="F547" t="s">
        <v>22</v>
      </c>
      <c r="G547">
        <v>1</v>
      </c>
      <c r="H547">
        <v>0.1</v>
      </c>
      <c r="I547">
        <v>16.2</v>
      </c>
      <c r="J547">
        <v>4.9400000000000004</v>
      </c>
    </row>
    <row r="548" spans="1:10" x14ac:dyDescent="0.35">
      <c r="A548" t="s">
        <v>676</v>
      </c>
      <c r="B548" s="2">
        <v>45795</v>
      </c>
      <c r="C548" t="s">
        <v>78</v>
      </c>
      <c r="D548" t="s">
        <v>83</v>
      </c>
      <c r="E548" t="s">
        <v>46</v>
      </c>
      <c r="F548" t="s">
        <v>14</v>
      </c>
      <c r="G548">
        <v>1</v>
      </c>
      <c r="H548">
        <v>0.05</v>
      </c>
      <c r="I548">
        <v>23.75</v>
      </c>
      <c r="J548">
        <v>4.79</v>
      </c>
    </row>
    <row r="549" spans="1:10" x14ac:dyDescent="0.35">
      <c r="A549" t="s">
        <v>677</v>
      </c>
      <c r="B549" s="2">
        <v>45701</v>
      </c>
      <c r="C549" t="s">
        <v>57</v>
      </c>
      <c r="D549" t="s">
        <v>38</v>
      </c>
      <c r="E549" t="s">
        <v>13</v>
      </c>
      <c r="F549" t="s">
        <v>22</v>
      </c>
      <c r="G549">
        <v>3</v>
      </c>
      <c r="H549">
        <v>0.2</v>
      </c>
      <c r="I549">
        <v>768</v>
      </c>
      <c r="J549">
        <v>240.68</v>
      </c>
    </row>
    <row r="550" spans="1:10" x14ac:dyDescent="0.35">
      <c r="A550" t="s">
        <v>678</v>
      </c>
      <c r="B550" s="2">
        <v>45941</v>
      </c>
      <c r="C550" t="s">
        <v>42</v>
      </c>
      <c r="D550" t="s">
        <v>67</v>
      </c>
      <c r="E550" t="s">
        <v>13</v>
      </c>
      <c r="F550" t="s">
        <v>50</v>
      </c>
      <c r="G550">
        <v>4</v>
      </c>
      <c r="H550">
        <v>0.2</v>
      </c>
      <c r="I550">
        <v>3840</v>
      </c>
      <c r="J550">
        <v>1197.51</v>
      </c>
    </row>
    <row r="551" spans="1:10" x14ac:dyDescent="0.35">
      <c r="A551" t="s">
        <v>679</v>
      </c>
      <c r="B551" s="2">
        <v>45951</v>
      </c>
      <c r="C551" t="s">
        <v>165</v>
      </c>
      <c r="D551" t="s">
        <v>21</v>
      </c>
      <c r="E551" t="s">
        <v>18</v>
      </c>
      <c r="F551" t="s">
        <v>14</v>
      </c>
      <c r="G551">
        <v>4</v>
      </c>
      <c r="H551">
        <v>0.1</v>
      </c>
      <c r="I551">
        <v>198</v>
      </c>
      <c r="J551">
        <v>83.94</v>
      </c>
    </row>
    <row r="552" spans="1:10" x14ac:dyDescent="0.35">
      <c r="A552" t="s">
        <v>680</v>
      </c>
      <c r="B552" s="2">
        <v>45915</v>
      </c>
      <c r="C552" t="s">
        <v>111</v>
      </c>
      <c r="D552" t="s">
        <v>83</v>
      </c>
      <c r="E552" t="s">
        <v>46</v>
      </c>
      <c r="F552" t="s">
        <v>22</v>
      </c>
      <c r="G552">
        <v>5</v>
      </c>
      <c r="H552">
        <v>0.2</v>
      </c>
      <c r="I552">
        <v>100</v>
      </c>
      <c r="J552">
        <v>22.64</v>
      </c>
    </row>
    <row r="553" spans="1:10" x14ac:dyDescent="0.35">
      <c r="A553" t="s">
        <v>681</v>
      </c>
      <c r="B553" s="2">
        <v>45719</v>
      </c>
      <c r="C553" t="s">
        <v>142</v>
      </c>
      <c r="D553" t="s">
        <v>45</v>
      </c>
      <c r="E553" t="s">
        <v>46</v>
      </c>
      <c r="F553" t="s">
        <v>22</v>
      </c>
      <c r="G553">
        <v>2</v>
      </c>
      <c r="H553">
        <v>0.05</v>
      </c>
      <c r="I553">
        <v>34.200000000000003</v>
      </c>
      <c r="J553">
        <v>4.42</v>
      </c>
    </row>
    <row r="554" spans="1:10" x14ac:dyDescent="0.35">
      <c r="A554" t="s">
        <v>682</v>
      </c>
      <c r="B554" s="2">
        <v>45679</v>
      </c>
      <c r="C554" t="s">
        <v>189</v>
      </c>
      <c r="D554" t="s">
        <v>99</v>
      </c>
      <c r="E554" t="s">
        <v>18</v>
      </c>
      <c r="F554" t="s">
        <v>22</v>
      </c>
      <c r="G554">
        <v>1</v>
      </c>
      <c r="H554">
        <v>0.15</v>
      </c>
      <c r="I554">
        <v>161.5</v>
      </c>
      <c r="J554">
        <v>61.91</v>
      </c>
    </row>
    <row r="555" spans="1:10" x14ac:dyDescent="0.35">
      <c r="A555" t="s">
        <v>683</v>
      </c>
      <c r="B555" s="2">
        <v>45962</v>
      </c>
      <c r="C555" t="s">
        <v>20</v>
      </c>
      <c r="D555" t="s">
        <v>35</v>
      </c>
      <c r="E555" t="s">
        <v>13</v>
      </c>
      <c r="F555" t="s">
        <v>50</v>
      </c>
      <c r="G555">
        <v>3</v>
      </c>
      <c r="H555">
        <v>0</v>
      </c>
      <c r="I555">
        <v>2550</v>
      </c>
      <c r="J555">
        <v>1074.27</v>
      </c>
    </row>
    <row r="556" spans="1:10" x14ac:dyDescent="0.35">
      <c r="A556" t="s">
        <v>684</v>
      </c>
      <c r="B556" s="2">
        <v>45940</v>
      </c>
      <c r="C556" t="s">
        <v>62</v>
      </c>
      <c r="D556" t="s">
        <v>49</v>
      </c>
      <c r="E556" t="s">
        <v>13</v>
      </c>
      <c r="F556" t="s">
        <v>50</v>
      </c>
      <c r="G556">
        <v>3</v>
      </c>
      <c r="H556">
        <v>0.2</v>
      </c>
      <c r="I556">
        <v>168</v>
      </c>
      <c r="J556">
        <v>50.2</v>
      </c>
    </row>
    <row r="557" spans="1:10" x14ac:dyDescent="0.35">
      <c r="A557" t="s">
        <v>685</v>
      </c>
      <c r="B557" s="2">
        <v>45715</v>
      </c>
      <c r="C557" t="s">
        <v>54</v>
      </c>
      <c r="D557" t="s">
        <v>99</v>
      </c>
      <c r="E557" t="s">
        <v>18</v>
      </c>
      <c r="F557" t="s">
        <v>14</v>
      </c>
      <c r="G557">
        <v>2</v>
      </c>
      <c r="H557">
        <v>0.05</v>
      </c>
      <c r="I557">
        <v>361</v>
      </c>
      <c r="J557">
        <v>94.95</v>
      </c>
    </row>
    <row r="558" spans="1:10" x14ac:dyDescent="0.35">
      <c r="A558" t="s">
        <v>686</v>
      </c>
      <c r="B558" s="2">
        <v>45712</v>
      </c>
      <c r="C558" t="s">
        <v>30</v>
      </c>
      <c r="D558" t="s">
        <v>83</v>
      </c>
      <c r="E558" t="s">
        <v>46</v>
      </c>
      <c r="F558" t="s">
        <v>50</v>
      </c>
      <c r="G558">
        <v>1</v>
      </c>
      <c r="H558">
        <v>0.1</v>
      </c>
      <c r="I558">
        <v>22.5</v>
      </c>
      <c r="J558">
        <v>3.68</v>
      </c>
    </row>
    <row r="559" spans="1:10" x14ac:dyDescent="0.35">
      <c r="A559" t="s">
        <v>687</v>
      </c>
      <c r="B559" s="2">
        <v>45793</v>
      </c>
      <c r="C559" t="s">
        <v>16</v>
      </c>
      <c r="D559" t="s">
        <v>99</v>
      </c>
      <c r="E559" t="s">
        <v>18</v>
      </c>
      <c r="F559" t="s">
        <v>22</v>
      </c>
      <c r="G559">
        <v>4</v>
      </c>
      <c r="H559">
        <v>0.2</v>
      </c>
      <c r="I559">
        <v>608</v>
      </c>
      <c r="J559">
        <v>151.41999999999999</v>
      </c>
    </row>
    <row r="560" spans="1:10" x14ac:dyDescent="0.35">
      <c r="A560" t="s">
        <v>688</v>
      </c>
      <c r="B560" s="2">
        <v>45799</v>
      </c>
      <c r="C560" t="s">
        <v>515</v>
      </c>
      <c r="D560" t="s">
        <v>99</v>
      </c>
      <c r="E560" t="s">
        <v>18</v>
      </c>
      <c r="F560" t="s">
        <v>50</v>
      </c>
      <c r="G560">
        <v>2</v>
      </c>
      <c r="H560">
        <v>0.2</v>
      </c>
      <c r="I560">
        <v>304</v>
      </c>
      <c r="J560">
        <v>75.739999999999995</v>
      </c>
    </row>
    <row r="561" spans="1:10" x14ac:dyDescent="0.35">
      <c r="A561" t="s">
        <v>689</v>
      </c>
      <c r="B561" s="2">
        <v>45677</v>
      </c>
      <c r="C561" t="s">
        <v>253</v>
      </c>
      <c r="D561" t="s">
        <v>99</v>
      </c>
      <c r="E561" t="s">
        <v>18</v>
      </c>
      <c r="F561" t="s">
        <v>25</v>
      </c>
      <c r="G561">
        <v>3</v>
      </c>
      <c r="H561">
        <v>0.05</v>
      </c>
      <c r="I561">
        <v>541.5</v>
      </c>
      <c r="J561">
        <v>234.87</v>
      </c>
    </row>
    <row r="562" spans="1:10" x14ac:dyDescent="0.35">
      <c r="A562" t="s">
        <v>690</v>
      </c>
      <c r="B562" s="2">
        <v>45848</v>
      </c>
      <c r="C562" t="s">
        <v>206</v>
      </c>
      <c r="D562" t="s">
        <v>67</v>
      </c>
      <c r="E562" t="s">
        <v>13</v>
      </c>
      <c r="F562" t="s">
        <v>14</v>
      </c>
      <c r="G562">
        <v>3</v>
      </c>
      <c r="H562">
        <v>0.1</v>
      </c>
      <c r="I562">
        <v>3240</v>
      </c>
      <c r="J562">
        <v>1125.53</v>
      </c>
    </row>
    <row r="563" spans="1:10" x14ac:dyDescent="0.35">
      <c r="A563" t="s">
        <v>691</v>
      </c>
      <c r="B563" s="2">
        <v>45774</v>
      </c>
      <c r="C563" t="s">
        <v>150</v>
      </c>
      <c r="D563" t="s">
        <v>28</v>
      </c>
      <c r="E563" t="s">
        <v>18</v>
      </c>
      <c r="F563" t="s">
        <v>25</v>
      </c>
      <c r="G563">
        <v>3</v>
      </c>
      <c r="H563">
        <v>0.15</v>
      </c>
      <c r="I563">
        <v>714</v>
      </c>
      <c r="J563">
        <v>138.91999999999999</v>
      </c>
    </row>
    <row r="564" spans="1:10" x14ac:dyDescent="0.35">
      <c r="A564" t="s">
        <v>692</v>
      </c>
      <c r="B564" s="2">
        <v>45871</v>
      </c>
      <c r="C564" t="s">
        <v>87</v>
      </c>
      <c r="D564" t="s">
        <v>83</v>
      </c>
      <c r="E564" t="s">
        <v>46</v>
      </c>
      <c r="F564" t="s">
        <v>50</v>
      </c>
      <c r="G564">
        <v>1</v>
      </c>
      <c r="H564">
        <v>0.05</v>
      </c>
      <c r="I564">
        <v>23.75</v>
      </c>
      <c r="J564">
        <v>7.23</v>
      </c>
    </row>
    <row r="565" spans="1:10" x14ac:dyDescent="0.35">
      <c r="A565" t="s">
        <v>693</v>
      </c>
      <c r="B565" s="2">
        <v>45922</v>
      </c>
      <c r="C565" t="s">
        <v>80</v>
      </c>
      <c r="D565" t="s">
        <v>49</v>
      </c>
      <c r="E565" t="s">
        <v>13</v>
      </c>
      <c r="F565" t="s">
        <v>25</v>
      </c>
      <c r="G565">
        <v>1</v>
      </c>
      <c r="H565">
        <v>0.2</v>
      </c>
      <c r="I565">
        <v>56</v>
      </c>
      <c r="J565">
        <v>10.57</v>
      </c>
    </row>
    <row r="566" spans="1:10" x14ac:dyDescent="0.35">
      <c r="A566" t="s">
        <v>694</v>
      </c>
      <c r="B566" s="2">
        <v>46021</v>
      </c>
      <c r="C566" t="s">
        <v>76</v>
      </c>
      <c r="D566" t="s">
        <v>55</v>
      </c>
      <c r="E566" t="s">
        <v>46</v>
      </c>
      <c r="F566" t="s">
        <v>14</v>
      </c>
      <c r="G566">
        <v>4</v>
      </c>
      <c r="H566">
        <v>0.05</v>
      </c>
      <c r="I566">
        <v>912</v>
      </c>
      <c r="J566">
        <v>175.5</v>
      </c>
    </row>
    <row r="567" spans="1:10" x14ac:dyDescent="0.35">
      <c r="A567" t="s">
        <v>695</v>
      </c>
      <c r="B567" s="2">
        <v>45746</v>
      </c>
      <c r="C567" t="s">
        <v>101</v>
      </c>
      <c r="D567" t="s">
        <v>21</v>
      </c>
      <c r="E567" t="s">
        <v>18</v>
      </c>
      <c r="F567" t="s">
        <v>14</v>
      </c>
      <c r="G567">
        <v>2</v>
      </c>
      <c r="H567">
        <v>0</v>
      </c>
      <c r="I567">
        <v>110</v>
      </c>
      <c r="J567">
        <v>40.44</v>
      </c>
    </row>
    <row r="568" spans="1:10" x14ac:dyDescent="0.35">
      <c r="A568" t="s">
        <v>696</v>
      </c>
      <c r="B568" s="2">
        <v>45842</v>
      </c>
      <c r="C568" t="s">
        <v>89</v>
      </c>
      <c r="D568" t="s">
        <v>17</v>
      </c>
      <c r="E568" t="s">
        <v>18</v>
      </c>
      <c r="F568" t="s">
        <v>50</v>
      </c>
      <c r="G568">
        <v>2</v>
      </c>
      <c r="H568">
        <v>0.1</v>
      </c>
      <c r="I568">
        <v>378</v>
      </c>
      <c r="J568">
        <v>124.15</v>
      </c>
    </row>
    <row r="569" spans="1:10" x14ac:dyDescent="0.35">
      <c r="A569" t="s">
        <v>697</v>
      </c>
      <c r="B569" s="2">
        <v>45983</v>
      </c>
      <c r="C569" t="s">
        <v>202</v>
      </c>
      <c r="D569" t="s">
        <v>12</v>
      </c>
      <c r="E569" t="s">
        <v>13</v>
      </c>
      <c r="F569" t="s">
        <v>50</v>
      </c>
      <c r="G569">
        <v>1</v>
      </c>
      <c r="H569">
        <v>0.05</v>
      </c>
      <c r="I569">
        <v>33.25</v>
      </c>
      <c r="J569">
        <v>10.88</v>
      </c>
    </row>
    <row r="570" spans="1:10" x14ac:dyDescent="0.35">
      <c r="A570" t="s">
        <v>698</v>
      </c>
      <c r="B570" s="2">
        <v>45748</v>
      </c>
      <c r="C570" t="s">
        <v>273</v>
      </c>
      <c r="D570" t="s">
        <v>45</v>
      </c>
      <c r="E570" t="s">
        <v>46</v>
      </c>
      <c r="F570" t="s">
        <v>25</v>
      </c>
      <c r="G570">
        <v>5</v>
      </c>
      <c r="H570">
        <v>0.2</v>
      </c>
      <c r="I570">
        <v>72</v>
      </c>
      <c r="J570">
        <v>24.09</v>
      </c>
    </row>
    <row r="571" spans="1:10" x14ac:dyDescent="0.35">
      <c r="A571" t="s">
        <v>699</v>
      </c>
      <c r="B571" s="2">
        <v>46010</v>
      </c>
      <c r="C571" t="s">
        <v>273</v>
      </c>
      <c r="D571" t="s">
        <v>12</v>
      </c>
      <c r="E571" t="s">
        <v>13</v>
      </c>
      <c r="F571" t="s">
        <v>22</v>
      </c>
      <c r="G571">
        <v>3</v>
      </c>
      <c r="H571">
        <v>0</v>
      </c>
      <c r="I571">
        <v>105</v>
      </c>
      <c r="J571">
        <v>33.86</v>
      </c>
    </row>
    <row r="572" spans="1:10" x14ac:dyDescent="0.35">
      <c r="A572" t="s">
        <v>700</v>
      </c>
      <c r="B572" s="2">
        <v>45771</v>
      </c>
      <c r="C572" t="s">
        <v>87</v>
      </c>
      <c r="D572" t="s">
        <v>38</v>
      </c>
      <c r="E572" t="s">
        <v>13</v>
      </c>
      <c r="F572" t="s">
        <v>14</v>
      </c>
      <c r="G572">
        <v>2</v>
      </c>
      <c r="H572">
        <v>0.05</v>
      </c>
      <c r="I572">
        <v>608</v>
      </c>
      <c r="J572">
        <v>219.61</v>
      </c>
    </row>
    <row r="573" spans="1:10" x14ac:dyDescent="0.35">
      <c r="A573" t="s">
        <v>701</v>
      </c>
      <c r="B573" s="2">
        <v>46007</v>
      </c>
      <c r="C573" t="s">
        <v>202</v>
      </c>
      <c r="D573" t="s">
        <v>67</v>
      </c>
      <c r="E573" t="s">
        <v>13</v>
      </c>
      <c r="F573" t="s">
        <v>14</v>
      </c>
      <c r="G573">
        <v>4</v>
      </c>
      <c r="H573">
        <v>0.05</v>
      </c>
      <c r="I573">
        <v>4560</v>
      </c>
      <c r="J573">
        <v>1077.8399999999999</v>
      </c>
    </row>
    <row r="574" spans="1:10" x14ac:dyDescent="0.35">
      <c r="A574" t="s">
        <v>702</v>
      </c>
      <c r="B574" s="2">
        <v>45772</v>
      </c>
      <c r="C574" t="s">
        <v>34</v>
      </c>
      <c r="D574" t="s">
        <v>35</v>
      </c>
      <c r="E574" t="s">
        <v>13</v>
      </c>
      <c r="F574" t="s">
        <v>25</v>
      </c>
      <c r="G574">
        <v>5</v>
      </c>
      <c r="H574">
        <v>0.1</v>
      </c>
      <c r="I574">
        <v>3825</v>
      </c>
      <c r="J574">
        <v>821.59</v>
      </c>
    </row>
    <row r="575" spans="1:10" x14ac:dyDescent="0.35">
      <c r="A575" t="s">
        <v>703</v>
      </c>
      <c r="B575" s="2">
        <v>45874</v>
      </c>
      <c r="C575" t="s">
        <v>89</v>
      </c>
      <c r="D575" t="s">
        <v>99</v>
      </c>
      <c r="E575" t="s">
        <v>18</v>
      </c>
      <c r="F575" t="s">
        <v>25</v>
      </c>
      <c r="G575">
        <v>3</v>
      </c>
      <c r="H575">
        <v>0.15</v>
      </c>
      <c r="I575">
        <v>484.5</v>
      </c>
      <c r="J575">
        <v>177.73</v>
      </c>
    </row>
    <row r="576" spans="1:10" x14ac:dyDescent="0.35">
      <c r="A576" t="s">
        <v>704</v>
      </c>
      <c r="B576" s="2">
        <v>46004</v>
      </c>
      <c r="C576" t="s">
        <v>82</v>
      </c>
      <c r="D576" t="s">
        <v>55</v>
      </c>
      <c r="E576" t="s">
        <v>46</v>
      </c>
      <c r="F576" t="s">
        <v>25</v>
      </c>
      <c r="G576">
        <v>5</v>
      </c>
      <c r="H576">
        <v>0.15</v>
      </c>
      <c r="I576">
        <v>1020</v>
      </c>
      <c r="J576">
        <v>262.26</v>
      </c>
    </row>
    <row r="577" spans="1:10" x14ac:dyDescent="0.35">
      <c r="A577" t="s">
        <v>705</v>
      </c>
      <c r="B577" s="2">
        <v>45945</v>
      </c>
      <c r="C577" t="s">
        <v>278</v>
      </c>
      <c r="D577" t="s">
        <v>38</v>
      </c>
      <c r="E577" t="s">
        <v>13</v>
      </c>
      <c r="F577" t="s">
        <v>14</v>
      </c>
      <c r="G577">
        <v>5</v>
      </c>
      <c r="H577">
        <v>0.2</v>
      </c>
      <c r="I577">
        <v>1280</v>
      </c>
      <c r="J577">
        <v>456.6</v>
      </c>
    </row>
    <row r="578" spans="1:10" x14ac:dyDescent="0.35">
      <c r="A578" t="s">
        <v>706</v>
      </c>
      <c r="B578" s="2">
        <v>45904</v>
      </c>
      <c r="C578" t="s">
        <v>295</v>
      </c>
      <c r="D578" t="s">
        <v>12</v>
      </c>
      <c r="E578" t="s">
        <v>13</v>
      </c>
      <c r="F578" t="s">
        <v>25</v>
      </c>
      <c r="G578">
        <v>3</v>
      </c>
      <c r="H578">
        <v>0.1</v>
      </c>
      <c r="I578">
        <v>94.5</v>
      </c>
      <c r="J578">
        <v>22.55</v>
      </c>
    </row>
    <row r="579" spans="1:10" x14ac:dyDescent="0.35">
      <c r="A579" t="s">
        <v>707</v>
      </c>
      <c r="B579" s="2">
        <v>45993</v>
      </c>
      <c r="C579" t="s">
        <v>213</v>
      </c>
      <c r="D579" t="s">
        <v>17</v>
      </c>
      <c r="E579" t="s">
        <v>18</v>
      </c>
      <c r="F579" t="s">
        <v>22</v>
      </c>
      <c r="G579">
        <v>3</v>
      </c>
      <c r="H579">
        <v>0.05</v>
      </c>
      <c r="I579">
        <v>598.5</v>
      </c>
      <c r="J579">
        <v>239.71</v>
      </c>
    </row>
    <row r="580" spans="1:10" x14ac:dyDescent="0.35">
      <c r="A580" t="s">
        <v>708</v>
      </c>
      <c r="B580" s="2">
        <v>45687</v>
      </c>
      <c r="C580" t="s">
        <v>204</v>
      </c>
      <c r="D580" t="s">
        <v>83</v>
      </c>
      <c r="E580" t="s">
        <v>46</v>
      </c>
      <c r="F580" t="s">
        <v>14</v>
      </c>
      <c r="G580">
        <v>4</v>
      </c>
      <c r="H580">
        <v>0.1</v>
      </c>
      <c r="I580">
        <v>90</v>
      </c>
      <c r="J580">
        <v>20.28</v>
      </c>
    </row>
    <row r="581" spans="1:10" x14ac:dyDescent="0.35">
      <c r="A581" t="s">
        <v>709</v>
      </c>
      <c r="B581" s="2">
        <v>45993</v>
      </c>
      <c r="C581" t="s">
        <v>98</v>
      </c>
      <c r="D581" t="s">
        <v>45</v>
      </c>
      <c r="E581" t="s">
        <v>46</v>
      </c>
      <c r="F581" t="s">
        <v>50</v>
      </c>
      <c r="G581">
        <v>3</v>
      </c>
      <c r="H581">
        <v>0.1</v>
      </c>
      <c r="I581">
        <v>48.6</v>
      </c>
      <c r="J581">
        <v>7.32</v>
      </c>
    </row>
    <row r="582" spans="1:10" x14ac:dyDescent="0.35">
      <c r="A582" t="s">
        <v>710</v>
      </c>
      <c r="B582" s="2">
        <v>45676</v>
      </c>
      <c r="C582" t="s">
        <v>165</v>
      </c>
      <c r="D582" t="s">
        <v>83</v>
      </c>
      <c r="E582" t="s">
        <v>46</v>
      </c>
      <c r="F582" t="s">
        <v>22</v>
      </c>
      <c r="G582">
        <v>5</v>
      </c>
      <c r="H582">
        <v>0.05</v>
      </c>
      <c r="I582">
        <v>118.75</v>
      </c>
      <c r="J582">
        <v>39.99</v>
      </c>
    </row>
    <row r="583" spans="1:10" x14ac:dyDescent="0.35">
      <c r="A583" t="s">
        <v>711</v>
      </c>
      <c r="B583" s="2">
        <v>46009</v>
      </c>
      <c r="C583" t="s">
        <v>412</v>
      </c>
      <c r="D583" t="s">
        <v>55</v>
      </c>
      <c r="E583" t="s">
        <v>46</v>
      </c>
      <c r="F583" t="s">
        <v>22</v>
      </c>
      <c r="G583">
        <v>4</v>
      </c>
      <c r="H583">
        <v>0.1</v>
      </c>
      <c r="I583">
        <v>864</v>
      </c>
      <c r="J583">
        <v>244.15</v>
      </c>
    </row>
    <row r="584" spans="1:10" x14ac:dyDescent="0.35">
      <c r="A584" t="s">
        <v>712</v>
      </c>
      <c r="B584" s="2">
        <v>45808</v>
      </c>
      <c r="C584" t="s">
        <v>204</v>
      </c>
      <c r="D584" t="s">
        <v>12</v>
      </c>
      <c r="E584" t="s">
        <v>13</v>
      </c>
      <c r="F584" t="s">
        <v>22</v>
      </c>
      <c r="G584">
        <v>4</v>
      </c>
      <c r="H584">
        <v>0.05</v>
      </c>
      <c r="I584">
        <v>133</v>
      </c>
      <c r="J584">
        <v>27.33</v>
      </c>
    </row>
    <row r="585" spans="1:10" x14ac:dyDescent="0.35">
      <c r="A585" t="s">
        <v>713</v>
      </c>
      <c r="B585" s="2">
        <v>46006</v>
      </c>
      <c r="C585" t="s">
        <v>288</v>
      </c>
      <c r="D585" t="s">
        <v>49</v>
      </c>
      <c r="E585" t="s">
        <v>13</v>
      </c>
      <c r="F585" t="s">
        <v>25</v>
      </c>
      <c r="G585">
        <v>1</v>
      </c>
      <c r="H585">
        <v>0.05</v>
      </c>
      <c r="I585">
        <v>66.5</v>
      </c>
      <c r="J585">
        <v>22.13</v>
      </c>
    </row>
    <row r="586" spans="1:10" x14ac:dyDescent="0.35">
      <c r="A586" t="s">
        <v>714</v>
      </c>
      <c r="B586" s="2">
        <v>45873</v>
      </c>
      <c r="C586" t="s">
        <v>89</v>
      </c>
      <c r="D586" t="s">
        <v>49</v>
      </c>
      <c r="E586" t="s">
        <v>13</v>
      </c>
      <c r="F586" t="s">
        <v>14</v>
      </c>
      <c r="G586">
        <v>3</v>
      </c>
      <c r="H586">
        <v>0.1</v>
      </c>
      <c r="I586">
        <v>189</v>
      </c>
      <c r="J586">
        <v>48.53</v>
      </c>
    </row>
    <row r="587" spans="1:10" x14ac:dyDescent="0.35">
      <c r="A587" t="s">
        <v>715</v>
      </c>
      <c r="B587" s="2">
        <v>45898</v>
      </c>
      <c r="C587" t="s">
        <v>128</v>
      </c>
      <c r="D587" t="s">
        <v>67</v>
      </c>
      <c r="E587" t="s">
        <v>13</v>
      </c>
      <c r="F587" t="s">
        <v>50</v>
      </c>
      <c r="G587">
        <v>5</v>
      </c>
      <c r="H587">
        <v>0.2</v>
      </c>
      <c r="I587">
        <v>4800</v>
      </c>
      <c r="J587">
        <v>664.23</v>
      </c>
    </row>
    <row r="588" spans="1:10" x14ac:dyDescent="0.35">
      <c r="A588" t="s">
        <v>716</v>
      </c>
      <c r="B588" s="2">
        <v>45757</v>
      </c>
      <c r="C588" t="s">
        <v>87</v>
      </c>
      <c r="D588" t="s">
        <v>55</v>
      </c>
      <c r="E588" t="s">
        <v>46</v>
      </c>
      <c r="F588" t="s">
        <v>14</v>
      </c>
      <c r="G588">
        <v>1</v>
      </c>
      <c r="H588">
        <v>0.15</v>
      </c>
      <c r="I588">
        <v>204</v>
      </c>
      <c r="J588">
        <v>56.13</v>
      </c>
    </row>
    <row r="589" spans="1:10" x14ac:dyDescent="0.35">
      <c r="A589" t="s">
        <v>717</v>
      </c>
      <c r="B589" s="2">
        <v>45735</v>
      </c>
      <c r="C589" t="s">
        <v>73</v>
      </c>
      <c r="D589" t="s">
        <v>28</v>
      </c>
      <c r="E589" t="s">
        <v>18</v>
      </c>
      <c r="F589" t="s">
        <v>50</v>
      </c>
      <c r="G589">
        <v>2</v>
      </c>
      <c r="H589">
        <v>0.1</v>
      </c>
      <c r="I589">
        <v>504</v>
      </c>
      <c r="J589">
        <v>158.74</v>
      </c>
    </row>
    <row r="590" spans="1:10" x14ac:dyDescent="0.35">
      <c r="A590" t="s">
        <v>718</v>
      </c>
      <c r="B590" s="2">
        <v>45731</v>
      </c>
      <c r="C590" t="s">
        <v>189</v>
      </c>
      <c r="D590" t="s">
        <v>49</v>
      </c>
      <c r="E590" t="s">
        <v>13</v>
      </c>
      <c r="F590" t="s">
        <v>22</v>
      </c>
      <c r="G590">
        <v>2</v>
      </c>
      <c r="H590">
        <v>0</v>
      </c>
      <c r="I590">
        <v>140</v>
      </c>
      <c r="J590">
        <v>40.47</v>
      </c>
    </row>
    <row r="591" spans="1:10" x14ac:dyDescent="0.35">
      <c r="A591" t="s">
        <v>719</v>
      </c>
      <c r="B591" s="2">
        <v>45818</v>
      </c>
      <c r="C591" t="s">
        <v>124</v>
      </c>
      <c r="D591" t="s">
        <v>38</v>
      </c>
      <c r="E591" t="s">
        <v>13</v>
      </c>
      <c r="F591" t="s">
        <v>22</v>
      </c>
      <c r="G591">
        <v>1</v>
      </c>
      <c r="H591">
        <v>0</v>
      </c>
      <c r="I591">
        <v>320</v>
      </c>
      <c r="J591">
        <v>96.26</v>
      </c>
    </row>
    <row r="592" spans="1:10" x14ac:dyDescent="0.35">
      <c r="A592" t="s">
        <v>720</v>
      </c>
      <c r="B592" s="2">
        <v>45953</v>
      </c>
      <c r="C592" t="s">
        <v>64</v>
      </c>
      <c r="D592" t="s">
        <v>28</v>
      </c>
      <c r="E592" t="s">
        <v>18</v>
      </c>
      <c r="F592" t="s">
        <v>50</v>
      </c>
      <c r="G592">
        <v>4</v>
      </c>
      <c r="H592">
        <v>0</v>
      </c>
      <c r="I592">
        <v>1120</v>
      </c>
      <c r="J592">
        <v>456.17</v>
      </c>
    </row>
    <row r="593" spans="1:10" x14ac:dyDescent="0.35">
      <c r="A593" t="s">
        <v>721</v>
      </c>
      <c r="B593" s="2">
        <v>45864</v>
      </c>
      <c r="C593" t="s">
        <v>42</v>
      </c>
      <c r="D593" t="s">
        <v>99</v>
      </c>
      <c r="E593" t="s">
        <v>18</v>
      </c>
      <c r="F593" t="s">
        <v>22</v>
      </c>
      <c r="G593">
        <v>4</v>
      </c>
      <c r="H593">
        <v>0.15</v>
      </c>
      <c r="I593">
        <v>646</v>
      </c>
      <c r="J593">
        <v>289.7</v>
      </c>
    </row>
    <row r="594" spans="1:10" x14ac:dyDescent="0.35">
      <c r="A594" t="s">
        <v>722</v>
      </c>
      <c r="B594" s="2">
        <v>45849</v>
      </c>
      <c r="C594" t="s">
        <v>236</v>
      </c>
      <c r="D594" t="s">
        <v>67</v>
      </c>
      <c r="E594" t="s">
        <v>13</v>
      </c>
      <c r="F594" t="s">
        <v>14</v>
      </c>
      <c r="G594">
        <v>3</v>
      </c>
      <c r="H594">
        <v>0.2</v>
      </c>
      <c r="I594">
        <v>2880</v>
      </c>
      <c r="J594">
        <v>1114.8800000000001</v>
      </c>
    </row>
    <row r="595" spans="1:10" x14ac:dyDescent="0.35">
      <c r="A595" t="s">
        <v>723</v>
      </c>
      <c r="B595" s="2">
        <v>45978</v>
      </c>
      <c r="C595" t="s">
        <v>30</v>
      </c>
      <c r="D595" t="s">
        <v>17</v>
      </c>
      <c r="E595" t="s">
        <v>18</v>
      </c>
      <c r="F595" t="s">
        <v>25</v>
      </c>
      <c r="G595">
        <v>2</v>
      </c>
      <c r="H595">
        <v>0.05</v>
      </c>
      <c r="I595">
        <v>399</v>
      </c>
      <c r="J595">
        <v>88.23</v>
      </c>
    </row>
    <row r="596" spans="1:10" x14ac:dyDescent="0.35">
      <c r="A596" t="s">
        <v>724</v>
      </c>
      <c r="B596" s="2">
        <v>45724</v>
      </c>
      <c r="C596" t="s">
        <v>412</v>
      </c>
      <c r="D596" t="s">
        <v>12</v>
      </c>
      <c r="E596" t="s">
        <v>13</v>
      </c>
      <c r="F596" t="s">
        <v>14</v>
      </c>
      <c r="G596">
        <v>4</v>
      </c>
      <c r="H596">
        <v>0.2</v>
      </c>
      <c r="I596">
        <v>112</v>
      </c>
      <c r="J596">
        <v>28.64</v>
      </c>
    </row>
    <row r="597" spans="1:10" x14ac:dyDescent="0.35">
      <c r="A597" t="s">
        <v>725</v>
      </c>
      <c r="B597" s="2">
        <v>45681</v>
      </c>
      <c r="C597" t="s">
        <v>202</v>
      </c>
      <c r="D597" t="s">
        <v>35</v>
      </c>
      <c r="E597" t="s">
        <v>13</v>
      </c>
      <c r="F597" t="s">
        <v>25</v>
      </c>
      <c r="G597">
        <v>3</v>
      </c>
      <c r="H597">
        <v>0.15</v>
      </c>
      <c r="I597">
        <v>2167.5</v>
      </c>
      <c r="J597">
        <v>454.78</v>
      </c>
    </row>
    <row r="598" spans="1:10" x14ac:dyDescent="0.35">
      <c r="A598" t="s">
        <v>726</v>
      </c>
      <c r="B598" s="2">
        <v>45880</v>
      </c>
      <c r="C598" t="s">
        <v>206</v>
      </c>
      <c r="D598" t="s">
        <v>38</v>
      </c>
      <c r="E598" t="s">
        <v>13</v>
      </c>
      <c r="F598" t="s">
        <v>25</v>
      </c>
      <c r="G598">
        <v>2</v>
      </c>
      <c r="H598">
        <v>0.1</v>
      </c>
      <c r="I598">
        <v>576</v>
      </c>
      <c r="J598">
        <v>69.849999999999994</v>
      </c>
    </row>
    <row r="599" spans="1:10" x14ac:dyDescent="0.35">
      <c r="A599" t="s">
        <v>727</v>
      </c>
      <c r="B599" s="2">
        <v>45754</v>
      </c>
      <c r="C599" t="s">
        <v>198</v>
      </c>
      <c r="D599" t="s">
        <v>28</v>
      </c>
      <c r="E599" t="s">
        <v>18</v>
      </c>
      <c r="F599" t="s">
        <v>22</v>
      </c>
      <c r="G599">
        <v>4</v>
      </c>
      <c r="H599">
        <v>0</v>
      </c>
      <c r="I599">
        <v>1120</v>
      </c>
      <c r="J599">
        <v>419.58</v>
      </c>
    </row>
    <row r="600" spans="1:10" x14ac:dyDescent="0.35">
      <c r="A600" t="s">
        <v>728</v>
      </c>
      <c r="B600" s="2">
        <v>45766</v>
      </c>
      <c r="C600" t="s">
        <v>404</v>
      </c>
      <c r="D600" t="s">
        <v>17</v>
      </c>
      <c r="E600" t="s">
        <v>18</v>
      </c>
      <c r="F600" t="s">
        <v>25</v>
      </c>
      <c r="G600">
        <v>1</v>
      </c>
      <c r="H600">
        <v>0.2</v>
      </c>
      <c r="I600">
        <v>168</v>
      </c>
      <c r="J600">
        <v>47.62</v>
      </c>
    </row>
    <row r="601" spans="1:10" x14ac:dyDescent="0.35">
      <c r="A601" t="s">
        <v>729</v>
      </c>
      <c r="B601" s="2">
        <v>46022</v>
      </c>
      <c r="C601" t="s">
        <v>210</v>
      </c>
      <c r="D601" t="s">
        <v>38</v>
      </c>
      <c r="E601" t="s">
        <v>13</v>
      </c>
      <c r="F601" t="s">
        <v>14</v>
      </c>
      <c r="G601">
        <v>1</v>
      </c>
      <c r="H601">
        <v>0.15</v>
      </c>
      <c r="I601">
        <v>272</v>
      </c>
      <c r="J601">
        <v>43.72</v>
      </c>
    </row>
    <row r="602" spans="1:10" x14ac:dyDescent="0.35">
      <c r="A602" t="s">
        <v>730</v>
      </c>
      <c r="B602" s="2">
        <v>45962</v>
      </c>
      <c r="C602" t="s">
        <v>183</v>
      </c>
      <c r="D602" t="s">
        <v>67</v>
      </c>
      <c r="E602" t="s">
        <v>13</v>
      </c>
      <c r="F602" t="s">
        <v>50</v>
      </c>
      <c r="G602">
        <v>1</v>
      </c>
      <c r="H602">
        <v>0</v>
      </c>
      <c r="I602">
        <v>1200</v>
      </c>
      <c r="J602">
        <v>520.9</v>
      </c>
    </row>
    <row r="603" spans="1:10" x14ac:dyDescent="0.35">
      <c r="A603" t="s">
        <v>731</v>
      </c>
      <c r="B603" s="2">
        <v>45885</v>
      </c>
      <c r="C603" t="s">
        <v>135</v>
      </c>
      <c r="D603" t="s">
        <v>99</v>
      </c>
      <c r="E603" t="s">
        <v>18</v>
      </c>
      <c r="F603" t="s">
        <v>22</v>
      </c>
      <c r="G603">
        <v>1</v>
      </c>
      <c r="H603">
        <v>0.2</v>
      </c>
      <c r="I603">
        <v>152</v>
      </c>
      <c r="J603">
        <v>55.72</v>
      </c>
    </row>
    <row r="604" spans="1:10" x14ac:dyDescent="0.35">
      <c r="A604" t="s">
        <v>732</v>
      </c>
      <c r="B604" s="2">
        <v>45763</v>
      </c>
      <c r="C604" t="s">
        <v>733</v>
      </c>
      <c r="D604" t="s">
        <v>17</v>
      </c>
      <c r="E604" t="s">
        <v>18</v>
      </c>
      <c r="F604" t="s">
        <v>25</v>
      </c>
      <c r="G604">
        <v>1</v>
      </c>
      <c r="H604">
        <v>0.1</v>
      </c>
      <c r="I604">
        <v>189</v>
      </c>
      <c r="J604">
        <v>58.8</v>
      </c>
    </row>
    <row r="605" spans="1:10" x14ac:dyDescent="0.35">
      <c r="A605" t="s">
        <v>734</v>
      </c>
      <c r="B605" s="2">
        <v>45976</v>
      </c>
      <c r="C605" t="s">
        <v>122</v>
      </c>
      <c r="D605" t="s">
        <v>83</v>
      </c>
      <c r="E605" t="s">
        <v>46</v>
      </c>
      <c r="F605" t="s">
        <v>14</v>
      </c>
      <c r="G605">
        <v>2</v>
      </c>
      <c r="H605">
        <v>0.15</v>
      </c>
      <c r="I605">
        <v>42.5</v>
      </c>
      <c r="J605">
        <v>7.48</v>
      </c>
    </row>
    <row r="606" spans="1:10" x14ac:dyDescent="0.35">
      <c r="A606" t="s">
        <v>735</v>
      </c>
      <c r="B606" s="2">
        <v>45802</v>
      </c>
      <c r="C606" t="s">
        <v>181</v>
      </c>
      <c r="D606" t="s">
        <v>12</v>
      </c>
      <c r="E606" t="s">
        <v>13</v>
      </c>
      <c r="F606" t="s">
        <v>25</v>
      </c>
      <c r="G606">
        <v>1</v>
      </c>
      <c r="H606">
        <v>0.15</v>
      </c>
      <c r="I606">
        <v>29.75</v>
      </c>
      <c r="J606">
        <v>11.44</v>
      </c>
    </row>
    <row r="607" spans="1:10" x14ac:dyDescent="0.35">
      <c r="A607" t="s">
        <v>736</v>
      </c>
      <c r="B607" s="2">
        <v>45925</v>
      </c>
      <c r="C607" t="s">
        <v>360</v>
      </c>
      <c r="D607" t="s">
        <v>21</v>
      </c>
      <c r="E607" t="s">
        <v>18</v>
      </c>
      <c r="F607" t="s">
        <v>50</v>
      </c>
      <c r="G607">
        <v>3</v>
      </c>
      <c r="H607">
        <v>0.15</v>
      </c>
      <c r="I607">
        <v>140.25</v>
      </c>
      <c r="J607">
        <v>49.44</v>
      </c>
    </row>
    <row r="608" spans="1:10" x14ac:dyDescent="0.35">
      <c r="A608" t="s">
        <v>737</v>
      </c>
      <c r="B608" s="2">
        <v>45764</v>
      </c>
      <c r="C608" t="s">
        <v>62</v>
      </c>
      <c r="D608" t="s">
        <v>17</v>
      </c>
      <c r="E608" t="s">
        <v>18</v>
      </c>
      <c r="F608" t="s">
        <v>14</v>
      </c>
      <c r="G608">
        <v>4</v>
      </c>
      <c r="H608">
        <v>0.1</v>
      </c>
      <c r="I608">
        <v>756</v>
      </c>
      <c r="J608">
        <v>281.7</v>
      </c>
    </row>
    <row r="609" spans="1:10" x14ac:dyDescent="0.35">
      <c r="A609" t="s">
        <v>738</v>
      </c>
      <c r="B609" s="2">
        <v>45714</v>
      </c>
      <c r="C609" t="s">
        <v>387</v>
      </c>
      <c r="D609" t="s">
        <v>83</v>
      </c>
      <c r="E609" t="s">
        <v>46</v>
      </c>
      <c r="F609" t="s">
        <v>14</v>
      </c>
      <c r="G609">
        <v>4</v>
      </c>
      <c r="H609">
        <v>0.05</v>
      </c>
      <c r="I609">
        <v>95</v>
      </c>
      <c r="J609">
        <v>12.98</v>
      </c>
    </row>
    <row r="610" spans="1:10" x14ac:dyDescent="0.35">
      <c r="A610" t="s">
        <v>739</v>
      </c>
      <c r="B610" s="2">
        <v>45709</v>
      </c>
      <c r="C610" t="s">
        <v>103</v>
      </c>
      <c r="D610" t="s">
        <v>35</v>
      </c>
      <c r="E610" t="s">
        <v>13</v>
      </c>
      <c r="F610" t="s">
        <v>25</v>
      </c>
      <c r="G610">
        <v>2</v>
      </c>
      <c r="H610">
        <v>0.15</v>
      </c>
      <c r="I610">
        <v>1445</v>
      </c>
      <c r="J610">
        <v>178.8</v>
      </c>
    </row>
    <row r="611" spans="1:10" x14ac:dyDescent="0.35">
      <c r="A611" t="s">
        <v>740</v>
      </c>
      <c r="B611" s="2">
        <v>45895</v>
      </c>
      <c r="C611" t="s">
        <v>103</v>
      </c>
      <c r="D611" t="s">
        <v>67</v>
      </c>
      <c r="E611" t="s">
        <v>13</v>
      </c>
      <c r="F611" t="s">
        <v>25</v>
      </c>
      <c r="G611">
        <v>1</v>
      </c>
      <c r="H611">
        <v>0.05</v>
      </c>
      <c r="I611">
        <v>1140</v>
      </c>
      <c r="J611">
        <v>184.15</v>
      </c>
    </row>
    <row r="612" spans="1:10" x14ac:dyDescent="0.35">
      <c r="A612" t="s">
        <v>741</v>
      </c>
      <c r="B612" s="2">
        <v>46004</v>
      </c>
      <c r="C612" t="s">
        <v>213</v>
      </c>
      <c r="D612" t="s">
        <v>49</v>
      </c>
      <c r="E612" t="s">
        <v>13</v>
      </c>
      <c r="F612" t="s">
        <v>14</v>
      </c>
      <c r="G612">
        <v>4</v>
      </c>
      <c r="H612">
        <v>0</v>
      </c>
      <c r="I612">
        <v>280</v>
      </c>
      <c r="J612">
        <v>117.22</v>
      </c>
    </row>
    <row r="613" spans="1:10" x14ac:dyDescent="0.35">
      <c r="A613" t="s">
        <v>742</v>
      </c>
      <c r="B613" s="2">
        <v>45662</v>
      </c>
      <c r="C613" t="s">
        <v>342</v>
      </c>
      <c r="D613" t="s">
        <v>28</v>
      </c>
      <c r="E613" t="s">
        <v>18</v>
      </c>
      <c r="F613" t="s">
        <v>25</v>
      </c>
      <c r="G613">
        <v>2</v>
      </c>
      <c r="H613">
        <v>0.1</v>
      </c>
      <c r="I613">
        <v>504</v>
      </c>
      <c r="J613">
        <v>167.34</v>
      </c>
    </row>
    <row r="614" spans="1:10" x14ac:dyDescent="0.35">
      <c r="A614" t="s">
        <v>743</v>
      </c>
      <c r="B614" s="2">
        <v>45705</v>
      </c>
      <c r="C614" t="s">
        <v>98</v>
      </c>
      <c r="D614" t="s">
        <v>49</v>
      </c>
      <c r="E614" t="s">
        <v>13</v>
      </c>
      <c r="F614" t="s">
        <v>50</v>
      </c>
      <c r="G614">
        <v>3</v>
      </c>
      <c r="H614">
        <v>0.05</v>
      </c>
      <c r="I614">
        <v>199.5</v>
      </c>
      <c r="J614">
        <v>82.28</v>
      </c>
    </row>
    <row r="615" spans="1:10" x14ac:dyDescent="0.35">
      <c r="A615" t="s">
        <v>744</v>
      </c>
      <c r="B615" s="2">
        <v>45797</v>
      </c>
      <c r="C615" t="s">
        <v>412</v>
      </c>
      <c r="D615" t="s">
        <v>99</v>
      </c>
      <c r="E615" t="s">
        <v>18</v>
      </c>
      <c r="F615" t="s">
        <v>14</v>
      </c>
      <c r="G615">
        <v>4</v>
      </c>
      <c r="H615">
        <v>0.15</v>
      </c>
      <c r="I615">
        <v>646</v>
      </c>
      <c r="J615">
        <v>152.38</v>
      </c>
    </row>
    <row r="616" spans="1:10" x14ac:dyDescent="0.35">
      <c r="A616" t="s">
        <v>745</v>
      </c>
      <c r="B616" s="2">
        <v>45725</v>
      </c>
      <c r="C616" t="s">
        <v>24</v>
      </c>
      <c r="D616" t="s">
        <v>17</v>
      </c>
      <c r="E616" t="s">
        <v>18</v>
      </c>
      <c r="F616" t="s">
        <v>50</v>
      </c>
      <c r="G616">
        <v>1</v>
      </c>
      <c r="H616">
        <v>0.05</v>
      </c>
      <c r="I616">
        <v>199.5</v>
      </c>
      <c r="J616">
        <v>82.95</v>
      </c>
    </row>
    <row r="617" spans="1:10" x14ac:dyDescent="0.35">
      <c r="A617" t="s">
        <v>746</v>
      </c>
      <c r="B617" s="2">
        <v>45949</v>
      </c>
      <c r="C617" t="s">
        <v>387</v>
      </c>
      <c r="D617" t="s">
        <v>38</v>
      </c>
      <c r="E617" t="s">
        <v>13</v>
      </c>
      <c r="F617" t="s">
        <v>25</v>
      </c>
      <c r="G617">
        <v>4</v>
      </c>
      <c r="H617">
        <v>0.05</v>
      </c>
      <c r="I617">
        <v>1216</v>
      </c>
      <c r="J617">
        <v>301.89</v>
      </c>
    </row>
    <row r="618" spans="1:10" x14ac:dyDescent="0.35">
      <c r="A618" t="s">
        <v>747</v>
      </c>
      <c r="B618" s="2">
        <v>45971</v>
      </c>
      <c r="C618" t="s">
        <v>183</v>
      </c>
      <c r="D618" t="s">
        <v>67</v>
      </c>
      <c r="E618" t="s">
        <v>13</v>
      </c>
      <c r="F618" t="s">
        <v>50</v>
      </c>
      <c r="G618">
        <v>2</v>
      </c>
      <c r="H618">
        <v>0.15</v>
      </c>
      <c r="I618">
        <v>2040</v>
      </c>
      <c r="J618">
        <v>298.39</v>
      </c>
    </row>
    <row r="619" spans="1:10" x14ac:dyDescent="0.35">
      <c r="A619" t="s">
        <v>748</v>
      </c>
      <c r="B619" s="2">
        <v>45883</v>
      </c>
      <c r="C619" t="s">
        <v>62</v>
      </c>
      <c r="D619" t="s">
        <v>67</v>
      </c>
      <c r="E619" t="s">
        <v>13</v>
      </c>
      <c r="F619" t="s">
        <v>22</v>
      </c>
      <c r="G619">
        <v>1</v>
      </c>
      <c r="H619">
        <v>0.1</v>
      </c>
      <c r="I619">
        <v>1080</v>
      </c>
      <c r="J619">
        <v>252.57</v>
      </c>
    </row>
    <row r="620" spans="1:10" x14ac:dyDescent="0.35">
      <c r="A620" t="s">
        <v>749</v>
      </c>
      <c r="B620" s="2">
        <v>46000</v>
      </c>
      <c r="C620" t="s">
        <v>111</v>
      </c>
      <c r="D620" t="s">
        <v>49</v>
      </c>
      <c r="E620" t="s">
        <v>13</v>
      </c>
      <c r="F620" t="s">
        <v>14</v>
      </c>
      <c r="G620">
        <v>5</v>
      </c>
      <c r="H620">
        <v>0.2</v>
      </c>
      <c r="I620">
        <v>280</v>
      </c>
      <c r="J620">
        <v>62.41</v>
      </c>
    </row>
    <row r="621" spans="1:10" x14ac:dyDescent="0.35">
      <c r="A621" t="s">
        <v>750</v>
      </c>
      <c r="B621" s="2">
        <v>45879</v>
      </c>
      <c r="C621" t="s">
        <v>236</v>
      </c>
      <c r="D621" t="s">
        <v>38</v>
      </c>
      <c r="E621" t="s">
        <v>13</v>
      </c>
      <c r="F621" t="s">
        <v>50</v>
      </c>
      <c r="G621">
        <v>2</v>
      </c>
      <c r="H621">
        <v>0.15</v>
      </c>
      <c r="I621">
        <v>544</v>
      </c>
      <c r="J621">
        <v>182.73</v>
      </c>
    </row>
    <row r="622" spans="1:10" x14ac:dyDescent="0.35">
      <c r="A622" t="s">
        <v>751</v>
      </c>
      <c r="B622" s="2">
        <v>45734</v>
      </c>
      <c r="C622" t="s">
        <v>273</v>
      </c>
      <c r="D622" t="s">
        <v>55</v>
      </c>
      <c r="E622" t="s">
        <v>46</v>
      </c>
      <c r="F622" t="s">
        <v>50</v>
      </c>
      <c r="G622">
        <v>5</v>
      </c>
      <c r="H622">
        <v>0</v>
      </c>
      <c r="I622">
        <v>1200</v>
      </c>
      <c r="J622">
        <v>535.39</v>
      </c>
    </row>
    <row r="623" spans="1:10" x14ac:dyDescent="0.35">
      <c r="A623" t="s">
        <v>752</v>
      </c>
      <c r="B623" s="2">
        <v>45911</v>
      </c>
      <c r="C623" t="s">
        <v>241</v>
      </c>
      <c r="D623" t="s">
        <v>28</v>
      </c>
      <c r="E623" t="s">
        <v>18</v>
      </c>
      <c r="F623" t="s">
        <v>25</v>
      </c>
      <c r="G623">
        <v>1</v>
      </c>
      <c r="H623">
        <v>0.15</v>
      </c>
      <c r="I623">
        <v>238</v>
      </c>
      <c r="J623">
        <v>81.92</v>
      </c>
    </row>
    <row r="624" spans="1:10" x14ac:dyDescent="0.35">
      <c r="A624" t="s">
        <v>753</v>
      </c>
      <c r="B624" s="2">
        <v>45683</v>
      </c>
      <c r="C624" t="s">
        <v>98</v>
      </c>
      <c r="D624" t="s">
        <v>55</v>
      </c>
      <c r="E624" t="s">
        <v>46</v>
      </c>
      <c r="F624" t="s">
        <v>22</v>
      </c>
      <c r="G624">
        <v>2</v>
      </c>
      <c r="H624">
        <v>0.2</v>
      </c>
      <c r="I624">
        <v>384</v>
      </c>
      <c r="J624">
        <v>91.28</v>
      </c>
    </row>
    <row r="625" spans="1:10" x14ac:dyDescent="0.35">
      <c r="A625" t="s">
        <v>754</v>
      </c>
      <c r="B625" s="2">
        <v>45698</v>
      </c>
      <c r="C625" t="s">
        <v>243</v>
      </c>
      <c r="D625" t="s">
        <v>45</v>
      </c>
      <c r="E625" t="s">
        <v>46</v>
      </c>
      <c r="F625" t="s">
        <v>50</v>
      </c>
      <c r="G625">
        <v>4</v>
      </c>
      <c r="H625">
        <v>0.2</v>
      </c>
      <c r="I625">
        <v>57.6</v>
      </c>
      <c r="J625">
        <v>17.399999999999999</v>
      </c>
    </row>
    <row r="626" spans="1:10" x14ac:dyDescent="0.35">
      <c r="A626" t="s">
        <v>755</v>
      </c>
      <c r="B626" s="2">
        <v>45819</v>
      </c>
      <c r="C626" t="s">
        <v>87</v>
      </c>
      <c r="D626" t="s">
        <v>12</v>
      </c>
      <c r="E626" t="s">
        <v>13</v>
      </c>
      <c r="F626" t="s">
        <v>14</v>
      </c>
      <c r="G626">
        <v>4</v>
      </c>
      <c r="H626">
        <v>0</v>
      </c>
      <c r="I626">
        <v>140</v>
      </c>
      <c r="J626">
        <v>58.26</v>
      </c>
    </row>
    <row r="627" spans="1:10" x14ac:dyDescent="0.35">
      <c r="A627" t="s">
        <v>756</v>
      </c>
      <c r="B627" s="2">
        <v>45943</v>
      </c>
      <c r="C627" t="s">
        <v>111</v>
      </c>
      <c r="D627" t="s">
        <v>55</v>
      </c>
      <c r="E627" t="s">
        <v>46</v>
      </c>
      <c r="F627" t="s">
        <v>25</v>
      </c>
      <c r="G627">
        <v>1</v>
      </c>
      <c r="H627">
        <v>0</v>
      </c>
      <c r="I627">
        <v>240</v>
      </c>
      <c r="J627">
        <v>45.29</v>
      </c>
    </row>
    <row r="628" spans="1:10" x14ac:dyDescent="0.35">
      <c r="A628" t="s">
        <v>757</v>
      </c>
      <c r="B628" s="2">
        <v>45918</v>
      </c>
      <c r="C628" t="s">
        <v>194</v>
      </c>
      <c r="D628" t="s">
        <v>55</v>
      </c>
      <c r="E628" t="s">
        <v>46</v>
      </c>
      <c r="F628" t="s">
        <v>14</v>
      </c>
      <c r="G628">
        <v>2</v>
      </c>
      <c r="H628">
        <v>0.15</v>
      </c>
      <c r="I628">
        <v>408</v>
      </c>
      <c r="J628">
        <v>55.64</v>
      </c>
    </row>
    <row r="629" spans="1:10" x14ac:dyDescent="0.35">
      <c r="A629" t="s">
        <v>758</v>
      </c>
      <c r="B629" s="2">
        <v>45772</v>
      </c>
      <c r="C629" t="s">
        <v>202</v>
      </c>
      <c r="D629" t="s">
        <v>45</v>
      </c>
      <c r="E629" t="s">
        <v>46</v>
      </c>
      <c r="F629" t="s">
        <v>50</v>
      </c>
      <c r="G629">
        <v>3</v>
      </c>
      <c r="H629">
        <v>0.2</v>
      </c>
      <c r="I629">
        <v>43.2</v>
      </c>
      <c r="J629">
        <v>8.5</v>
      </c>
    </row>
    <row r="630" spans="1:10" x14ac:dyDescent="0.35">
      <c r="A630" t="s">
        <v>759</v>
      </c>
      <c r="B630" s="2">
        <v>45994</v>
      </c>
      <c r="C630" t="s">
        <v>145</v>
      </c>
      <c r="D630" t="s">
        <v>49</v>
      </c>
      <c r="E630" t="s">
        <v>13</v>
      </c>
      <c r="F630" t="s">
        <v>22</v>
      </c>
      <c r="G630">
        <v>4</v>
      </c>
      <c r="H630">
        <v>0</v>
      </c>
      <c r="I630">
        <v>280</v>
      </c>
      <c r="J630">
        <v>117</v>
      </c>
    </row>
    <row r="631" spans="1:10" x14ac:dyDescent="0.35">
      <c r="A631" t="s">
        <v>760</v>
      </c>
      <c r="B631" s="2">
        <v>45659</v>
      </c>
      <c r="C631" t="s">
        <v>69</v>
      </c>
      <c r="D631" t="s">
        <v>49</v>
      </c>
      <c r="E631" t="s">
        <v>13</v>
      </c>
      <c r="F631" t="s">
        <v>14</v>
      </c>
      <c r="G631">
        <v>3</v>
      </c>
      <c r="H631">
        <v>0.1</v>
      </c>
      <c r="I631">
        <v>189</v>
      </c>
      <c r="J631">
        <v>50.89</v>
      </c>
    </row>
    <row r="632" spans="1:10" x14ac:dyDescent="0.35">
      <c r="A632" t="s">
        <v>761</v>
      </c>
      <c r="B632" s="2">
        <v>45681</v>
      </c>
      <c r="C632" t="s">
        <v>288</v>
      </c>
      <c r="D632" t="s">
        <v>28</v>
      </c>
      <c r="E632" t="s">
        <v>18</v>
      </c>
      <c r="F632" t="s">
        <v>50</v>
      </c>
      <c r="G632">
        <v>4</v>
      </c>
      <c r="H632">
        <v>0.05</v>
      </c>
      <c r="I632">
        <v>1064</v>
      </c>
      <c r="J632">
        <v>190.24</v>
      </c>
    </row>
    <row r="633" spans="1:10" x14ac:dyDescent="0.35">
      <c r="A633" t="s">
        <v>762</v>
      </c>
      <c r="B633" s="2">
        <v>45712</v>
      </c>
      <c r="C633" t="s">
        <v>286</v>
      </c>
      <c r="D633" t="s">
        <v>35</v>
      </c>
      <c r="E633" t="s">
        <v>13</v>
      </c>
      <c r="F633" t="s">
        <v>22</v>
      </c>
      <c r="G633">
        <v>5</v>
      </c>
      <c r="H633">
        <v>0.05</v>
      </c>
      <c r="I633">
        <v>4037.5</v>
      </c>
      <c r="J633">
        <v>1567</v>
      </c>
    </row>
    <row r="634" spans="1:10" x14ac:dyDescent="0.35">
      <c r="A634" t="s">
        <v>763</v>
      </c>
      <c r="B634" s="2">
        <v>45892</v>
      </c>
      <c r="C634" t="s">
        <v>360</v>
      </c>
      <c r="D634" t="s">
        <v>21</v>
      </c>
      <c r="E634" t="s">
        <v>18</v>
      </c>
      <c r="F634" t="s">
        <v>14</v>
      </c>
      <c r="G634">
        <v>3</v>
      </c>
      <c r="H634">
        <v>0</v>
      </c>
      <c r="I634">
        <v>165</v>
      </c>
      <c r="J634">
        <v>33.020000000000003</v>
      </c>
    </row>
    <row r="635" spans="1:10" x14ac:dyDescent="0.35">
      <c r="A635" t="s">
        <v>764</v>
      </c>
      <c r="B635" s="2">
        <v>45888</v>
      </c>
      <c r="C635" t="s">
        <v>243</v>
      </c>
      <c r="D635" t="s">
        <v>45</v>
      </c>
      <c r="E635" t="s">
        <v>46</v>
      </c>
      <c r="F635" t="s">
        <v>14</v>
      </c>
      <c r="G635">
        <v>5</v>
      </c>
      <c r="H635">
        <v>0.2</v>
      </c>
      <c r="I635">
        <v>72</v>
      </c>
      <c r="J635">
        <v>29.2</v>
      </c>
    </row>
    <row r="636" spans="1:10" x14ac:dyDescent="0.35">
      <c r="A636" t="s">
        <v>765</v>
      </c>
      <c r="B636" s="2">
        <v>45929</v>
      </c>
      <c r="C636" t="s">
        <v>54</v>
      </c>
      <c r="D636" t="s">
        <v>17</v>
      </c>
      <c r="E636" t="s">
        <v>18</v>
      </c>
      <c r="F636" t="s">
        <v>50</v>
      </c>
      <c r="G636">
        <v>1</v>
      </c>
      <c r="H636">
        <v>0.2</v>
      </c>
      <c r="I636">
        <v>168</v>
      </c>
      <c r="J636">
        <v>23.75</v>
      </c>
    </row>
    <row r="637" spans="1:10" x14ac:dyDescent="0.35">
      <c r="A637" t="s">
        <v>766</v>
      </c>
      <c r="B637" s="2">
        <v>45918</v>
      </c>
      <c r="C637" t="s">
        <v>115</v>
      </c>
      <c r="D637" t="s">
        <v>28</v>
      </c>
      <c r="E637" t="s">
        <v>18</v>
      </c>
      <c r="F637" t="s">
        <v>14</v>
      </c>
      <c r="G637">
        <v>5</v>
      </c>
      <c r="H637">
        <v>0.05</v>
      </c>
      <c r="I637">
        <v>1330</v>
      </c>
      <c r="J637">
        <v>277.89</v>
      </c>
    </row>
    <row r="638" spans="1:10" x14ac:dyDescent="0.35">
      <c r="A638" t="s">
        <v>767</v>
      </c>
      <c r="B638" s="2">
        <v>45856</v>
      </c>
      <c r="C638" t="s">
        <v>66</v>
      </c>
      <c r="D638" t="s">
        <v>38</v>
      </c>
      <c r="E638" t="s">
        <v>13</v>
      </c>
      <c r="F638" t="s">
        <v>50</v>
      </c>
      <c r="G638">
        <v>5</v>
      </c>
      <c r="H638">
        <v>0.2</v>
      </c>
      <c r="I638">
        <v>1280</v>
      </c>
      <c r="J638">
        <v>203.15</v>
      </c>
    </row>
    <row r="639" spans="1:10" x14ac:dyDescent="0.35">
      <c r="A639" t="s">
        <v>768</v>
      </c>
      <c r="B639" s="2">
        <v>45872</v>
      </c>
      <c r="C639" t="s">
        <v>91</v>
      </c>
      <c r="D639" t="s">
        <v>83</v>
      </c>
      <c r="E639" t="s">
        <v>46</v>
      </c>
      <c r="F639" t="s">
        <v>25</v>
      </c>
      <c r="G639">
        <v>2</v>
      </c>
      <c r="H639">
        <v>0.1</v>
      </c>
      <c r="I639">
        <v>45</v>
      </c>
      <c r="J639">
        <v>14.34</v>
      </c>
    </row>
    <row r="640" spans="1:10" x14ac:dyDescent="0.35">
      <c r="A640" t="s">
        <v>769</v>
      </c>
      <c r="B640" s="2">
        <v>45889</v>
      </c>
      <c r="C640" t="s">
        <v>288</v>
      </c>
      <c r="D640" t="s">
        <v>28</v>
      </c>
      <c r="E640" t="s">
        <v>18</v>
      </c>
      <c r="F640" t="s">
        <v>25</v>
      </c>
      <c r="G640">
        <v>2</v>
      </c>
      <c r="H640">
        <v>0.15</v>
      </c>
      <c r="I640">
        <v>476</v>
      </c>
      <c r="J640">
        <v>119.56</v>
      </c>
    </row>
    <row r="641" spans="1:10" x14ac:dyDescent="0.35">
      <c r="A641" t="s">
        <v>770</v>
      </c>
      <c r="B641" s="2">
        <v>46017</v>
      </c>
      <c r="C641" t="s">
        <v>181</v>
      </c>
      <c r="D641" t="s">
        <v>55</v>
      </c>
      <c r="E641" t="s">
        <v>46</v>
      </c>
      <c r="F641" t="s">
        <v>22</v>
      </c>
      <c r="G641">
        <v>3</v>
      </c>
      <c r="H641">
        <v>0.2</v>
      </c>
      <c r="I641">
        <v>576</v>
      </c>
      <c r="J641">
        <v>138.96</v>
      </c>
    </row>
    <row r="642" spans="1:10" x14ac:dyDescent="0.35">
      <c r="A642" t="s">
        <v>771</v>
      </c>
      <c r="B642" s="2">
        <v>45977</v>
      </c>
      <c r="C642" t="s">
        <v>115</v>
      </c>
      <c r="D642" t="s">
        <v>17</v>
      </c>
      <c r="E642" t="s">
        <v>18</v>
      </c>
      <c r="F642" t="s">
        <v>22</v>
      </c>
      <c r="G642">
        <v>3</v>
      </c>
      <c r="H642">
        <v>0.1</v>
      </c>
      <c r="I642">
        <v>567</v>
      </c>
      <c r="J642">
        <v>82.79</v>
      </c>
    </row>
    <row r="643" spans="1:10" x14ac:dyDescent="0.35">
      <c r="A643" t="s">
        <v>772</v>
      </c>
      <c r="B643" s="2">
        <v>45915</v>
      </c>
      <c r="C643" t="s">
        <v>20</v>
      </c>
      <c r="D643" t="s">
        <v>55</v>
      </c>
      <c r="E643" t="s">
        <v>46</v>
      </c>
      <c r="F643" t="s">
        <v>50</v>
      </c>
      <c r="G643">
        <v>3</v>
      </c>
      <c r="H643">
        <v>0</v>
      </c>
      <c r="I643">
        <v>720</v>
      </c>
      <c r="J643">
        <v>143.24</v>
      </c>
    </row>
    <row r="644" spans="1:10" x14ac:dyDescent="0.35">
      <c r="A644" t="s">
        <v>773</v>
      </c>
      <c r="B644" s="2">
        <v>45956</v>
      </c>
      <c r="C644" t="s">
        <v>93</v>
      </c>
      <c r="D644" t="s">
        <v>83</v>
      </c>
      <c r="E644" t="s">
        <v>46</v>
      </c>
      <c r="F644" t="s">
        <v>14</v>
      </c>
      <c r="G644">
        <v>4</v>
      </c>
      <c r="H644">
        <v>0.2</v>
      </c>
      <c r="I644">
        <v>80</v>
      </c>
      <c r="J644">
        <v>28.45</v>
      </c>
    </row>
    <row r="645" spans="1:10" x14ac:dyDescent="0.35">
      <c r="A645" t="s">
        <v>774</v>
      </c>
      <c r="B645" s="2">
        <v>45925</v>
      </c>
      <c r="C645" t="s">
        <v>78</v>
      </c>
      <c r="D645" t="s">
        <v>12</v>
      </c>
      <c r="E645" t="s">
        <v>13</v>
      </c>
      <c r="F645" t="s">
        <v>14</v>
      </c>
      <c r="G645">
        <v>1</v>
      </c>
      <c r="H645">
        <v>0.15</v>
      </c>
      <c r="I645">
        <v>29.75</v>
      </c>
      <c r="J645">
        <v>11.96</v>
      </c>
    </row>
    <row r="646" spans="1:10" x14ac:dyDescent="0.35">
      <c r="A646" t="s">
        <v>775</v>
      </c>
      <c r="B646" s="2">
        <v>45760</v>
      </c>
      <c r="C646" t="s">
        <v>154</v>
      </c>
      <c r="D646" t="s">
        <v>35</v>
      </c>
      <c r="E646" t="s">
        <v>13</v>
      </c>
      <c r="F646" t="s">
        <v>14</v>
      </c>
      <c r="G646">
        <v>2</v>
      </c>
      <c r="H646">
        <v>0.1</v>
      </c>
      <c r="I646">
        <v>1530</v>
      </c>
      <c r="J646">
        <v>343.46</v>
      </c>
    </row>
    <row r="647" spans="1:10" x14ac:dyDescent="0.35">
      <c r="A647" t="s">
        <v>776</v>
      </c>
      <c r="B647" s="2">
        <v>46011</v>
      </c>
      <c r="C647" t="s">
        <v>483</v>
      </c>
      <c r="D647" t="s">
        <v>35</v>
      </c>
      <c r="E647" t="s">
        <v>13</v>
      </c>
      <c r="F647" t="s">
        <v>14</v>
      </c>
      <c r="G647">
        <v>2</v>
      </c>
      <c r="H647">
        <v>0.2</v>
      </c>
      <c r="I647">
        <v>1360</v>
      </c>
      <c r="J647">
        <v>597.5</v>
      </c>
    </row>
    <row r="648" spans="1:10" x14ac:dyDescent="0.35">
      <c r="A648" t="s">
        <v>777</v>
      </c>
      <c r="B648" s="2">
        <v>45973</v>
      </c>
      <c r="C648" t="s">
        <v>20</v>
      </c>
      <c r="D648" t="s">
        <v>38</v>
      </c>
      <c r="E648" t="s">
        <v>13</v>
      </c>
      <c r="F648" t="s">
        <v>50</v>
      </c>
      <c r="G648">
        <v>5</v>
      </c>
      <c r="H648">
        <v>0.05</v>
      </c>
      <c r="I648">
        <v>1520</v>
      </c>
      <c r="J648">
        <v>311.61</v>
      </c>
    </row>
    <row r="649" spans="1:10" x14ac:dyDescent="0.35">
      <c r="A649" t="s">
        <v>778</v>
      </c>
      <c r="B649" s="2">
        <v>45779</v>
      </c>
      <c r="C649" t="s">
        <v>59</v>
      </c>
      <c r="D649" t="s">
        <v>55</v>
      </c>
      <c r="E649" t="s">
        <v>46</v>
      </c>
      <c r="F649" t="s">
        <v>50</v>
      </c>
      <c r="G649">
        <v>3</v>
      </c>
      <c r="H649">
        <v>0</v>
      </c>
      <c r="I649">
        <v>720</v>
      </c>
      <c r="J649">
        <v>103.87</v>
      </c>
    </row>
    <row r="650" spans="1:10" x14ac:dyDescent="0.35">
      <c r="A650" t="s">
        <v>779</v>
      </c>
      <c r="B650" s="2">
        <v>46008</v>
      </c>
      <c r="C650" t="s">
        <v>210</v>
      </c>
      <c r="D650" t="s">
        <v>49</v>
      </c>
      <c r="E650" t="s">
        <v>13</v>
      </c>
      <c r="F650" t="s">
        <v>22</v>
      </c>
      <c r="G650">
        <v>5</v>
      </c>
      <c r="H650">
        <v>0</v>
      </c>
      <c r="I650">
        <v>350</v>
      </c>
      <c r="J650">
        <v>156</v>
      </c>
    </row>
    <row r="651" spans="1:10" x14ac:dyDescent="0.35">
      <c r="A651" t="s">
        <v>780</v>
      </c>
      <c r="B651" s="2">
        <v>45975</v>
      </c>
      <c r="C651" t="s">
        <v>119</v>
      </c>
      <c r="D651" t="s">
        <v>45</v>
      </c>
      <c r="E651" t="s">
        <v>46</v>
      </c>
      <c r="F651" t="s">
        <v>22</v>
      </c>
      <c r="G651">
        <v>2</v>
      </c>
      <c r="H651">
        <v>0.1</v>
      </c>
      <c r="I651">
        <v>32.4</v>
      </c>
      <c r="J651">
        <v>6.51</v>
      </c>
    </row>
    <row r="652" spans="1:10" x14ac:dyDescent="0.35">
      <c r="A652" t="s">
        <v>781</v>
      </c>
      <c r="B652" s="2">
        <v>45757</v>
      </c>
      <c r="C652" t="s">
        <v>128</v>
      </c>
      <c r="D652" t="s">
        <v>35</v>
      </c>
      <c r="E652" t="s">
        <v>13</v>
      </c>
      <c r="F652" t="s">
        <v>22</v>
      </c>
      <c r="G652">
        <v>4</v>
      </c>
      <c r="H652">
        <v>0.05</v>
      </c>
      <c r="J652">
        <v>405.24</v>
      </c>
    </row>
    <row r="653" spans="1:10" x14ac:dyDescent="0.35">
      <c r="A653" t="s">
        <v>782</v>
      </c>
      <c r="B653" s="2">
        <v>45746</v>
      </c>
      <c r="C653" t="s">
        <v>93</v>
      </c>
      <c r="D653" t="s">
        <v>17</v>
      </c>
      <c r="E653" t="s">
        <v>18</v>
      </c>
      <c r="F653" t="s">
        <v>25</v>
      </c>
      <c r="G653">
        <v>5</v>
      </c>
      <c r="H653">
        <v>0</v>
      </c>
      <c r="I653">
        <v>1050</v>
      </c>
      <c r="J653">
        <v>341.8</v>
      </c>
    </row>
    <row r="654" spans="1:10" x14ac:dyDescent="0.35">
      <c r="A654" t="s">
        <v>783</v>
      </c>
      <c r="B654" s="2">
        <v>45942</v>
      </c>
      <c r="C654" t="s">
        <v>210</v>
      </c>
      <c r="D654" t="s">
        <v>35</v>
      </c>
      <c r="E654" t="s">
        <v>13</v>
      </c>
      <c r="F654" t="s">
        <v>14</v>
      </c>
      <c r="G654">
        <v>2</v>
      </c>
      <c r="H654">
        <v>0.05</v>
      </c>
      <c r="I654">
        <v>1615</v>
      </c>
      <c r="J654">
        <v>415.51</v>
      </c>
    </row>
    <row r="655" spans="1:10" x14ac:dyDescent="0.35">
      <c r="A655" t="s">
        <v>784</v>
      </c>
      <c r="B655" s="2">
        <v>45827</v>
      </c>
      <c r="C655" t="s">
        <v>150</v>
      </c>
      <c r="D655" t="s">
        <v>45</v>
      </c>
      <c r="E655" t="s">
        <v>46</v>
      </c>
      <c r="F655" t="s">
        <v>14</v>
      </c>
      <c r="G655">
        <v>2</v>
      </c>
      <c r="H655">
        <v>0</v>
      </c>
      <c r="I655">
        <v>36</v>
      </c>
      <c r="J655">
        <v>14.37</v>
      </c>
    </row>
    <row r="656" spans="1:10" x14ac:dyDescent="0.35">
      <c r="A656" t="s">
        <v>785</v>
      </c>
      <c r="B656" s="2">
        <v>45978</v>
      </c>
      <c r="C656" t="s">
        <v>95</v>
      </c>
      <c r="D656" t="s">
        <v>83</v>
      </c>
      <c r="E656" t="s">
        <v>46</v>
      </c>
      <c r="F656" t="s">
        <v>25</v>
      </c>
      <c r="G656">
        <v>3</v>
      </c>
      <c r="H656">
        <v>0.15</v>
      </c>
      <c r="I656">
        <v>63.75</v>
      </c>
      <c r="J656">
        <v>12.07</v>
      </c>
    </row>
    <row r="657" spans="1:10" x14ac:dyDescent="0.35">
      <c r="A657" t="s">
        <v>786</v>
      </c>
      <c r="B657" s="2">
        <v>45695</v>
      </c>
      <c r="C657" t="s">
        <v>269</v>
      </c>
      <c r="D657" t="s">
        <v>17</v>
      </c>
      <c r="E657" t="s">
        <v>18</v>
      </c>
      <c r="F657" t="s">
        <v>14</v>
      </c>
      <c r="G657">
        <v>3</v>
      </c>
      <c r="H657">
        <v>0.2</v>
      </c>
      <c r="I657">
        <v>504</v>
      </c>
      <c r="J657">
        <v>190.22</v>
      </c>
    </row>
    <row r="658" spans="1:10" x14ac:dyDescent="0.35">
      <c r="A658" t="s">
        <v>787</v>
      </c>
      <c r="B658" s="2">
        <v>45916</v>
      </c>
      <c r="C658" t="s">
        <v>315</v>
      </c>
      <c r="D658" t="s">
        <v>28</v>
      </c>
      <c r="E658" t="s">
        <v>18</v>
      </c>
      <c r="F658" t="s">
        <v>25</v>
      </c>
      <c r="G658">
        <v>4</v>
      </c>
      <c r="H658">
        <v>0.2</v>
      </c>
      <c r="I658">
        <v>896</v>
      </c>
      <c r="J658">
        <v>244.41</v>
      </c>
    </row>
    <row r="659" spans="1:10" x14ac:dyDescent="0.35">
      <c r="A659" t="s">
        <v>788</v>
      </c>
      <c r="B659" s="2">
        <v>45771</v>
      </c>
      <c r="C659" t="s">
        <v>27</v>
      </c>
      <c r="D659" t="s">
        <v>21</v>
      </c>
      <c r="E659" t="s">
        <v>18</v>
      </c>
      <c r="F659" t="s">
        <v>50</v>
      </c>
      <c r="G659">
        <v>3</v>
      </c>
      <c r="H659">
        <v>0.1</v>
      </c>
      <c r="I659">
        <v>148.5</v>
      </c>
      <c r="J659">
        <v>49.14</v>
      </c>
    </row>
    <row r="660" spans="1:10" x14ac:dyDescent="0.35">
      <c r="A660" t="s">
        <v>789</v>
      </c>
      <c r="B660" s="2">
        <v>45945</v>
      </c>
      <c r="C660" t="s">
        <v>483</v>
      </c>
      <c r="D660" t="s">
        <v>38</v>
      </c>
      <c r="E660" t="s">
        <v>13</v>
      </c>
      <c r="F660" t="s">
        <v>22</v>
      </c>
      <c r="G660">
        <v>1</v>
      </c>
      <c r="H660">
        <v>0</v>
      </c>
      <c r="I660">
        <v>320</v>
      </c>
      <c r="J660">
        <v>73.36</v>
      </c>
    </row>
    <row r="661" spans="1:10" x14ac:dyDescent="0.35">
      <c r="A661" t="s">
        <v>790</v>
      </c>
      <c r="B661" s="2">
        <v>45986</v>
      </c>
      <c r="C661" t="s">
        <v>278</v>
      </c>
      <c r="D661" t="s">
        <v>83</v>
      </c>
      <c r="E661" t="s">
        <v>46</v>
      </c>
      <c r="F661" t="s">
        <v>25</v>
      </c>
      <c r="G661">
        <v>5</v>
      </c>
      <c r="H661">
        <v>0.05</v>
      </c>
      <c r="I661">
        <v>118.75</v>
      </c>
      <c r="J661">
        <v>15.86</v>
      </c>
    </row>
    <row r="662" spans="1:10" x14ac:dyDescent="0.35">
      <c r="A662" t="s">
        <v>791</v>
      </c>
      <c r="B662" s="2">
        <v>45853</v>
      </c>
      <c r="C662" t="s">
        <v>364</v>
      </c>
      <c r="D662" t="s">
        <v>12</v>
      </c>
      <c r="E662" t="s">
        <v>13</v>
      </c>
      <c r="F662" t="s">
        <v>14</v>
      </c>
      <c r="G662">
        <v>4</v>
      </c>
      <c r="H662">
        <v>0.1</v>
      </c>
      <c r="I662">
        <v>126</v>
      </c>
      <c r="J662">
        <v>34.24</v>
      </c>
    </row>
    <row r="663" spans="1:10" x14ac:dyDescent="0.35">
      <c r="A663" t="s">
        <v>792</v>
      </c>
      <c r="B663" s="2">
        <v>45922</v>
      </c>
      <c r="C663" t="s">
        <v>360</v>
      </c>
      <c r="D663" t="s">
        <v>49</v>
      </c>
      <c r="E663" t="s">
        <v>13</v>
      </c>
      <c r="F663" t="s">
        <v>25</v>
      </c>
      <c r="G663">
        <v>5</v>
      </c>
      <c r="H663">
        <v>0.2</v>
      </c>
      <c r="I663">
        <v>280</v>
      </c>
      <c r="J663">
        <v>84.83</v>
      </c>
    </row>
    <row r="664" spans="1:10" x14ac:dyDescent="0.35">
      <c r="A664" t="s">
        <v>793</v>
      </c>
      <c r="B664" s="2">
        <v>45991</v>
      </c>
      <c r="C664" t="s">
        <v>733</v>
      </c>
      <c r="D664" t="s">
        <v>21</v>
      </c>
      <c r="E664" t="s">
        <v>18</v>
      </c>
      <c r="F664" t="s">
        <v>22</v>
      </c>
      <c r="G664">
        <v>3</v>
      </c>
      <c r="H664">
        <v>0.2</v>
      </c>
      <c r="I664">
        <v>132</v>
      </c>
      <c r="J664">
        <v>55.81</v>
      </c>
    </row>
    <row r="665" spans="1:10" x14ac:dyDescent="0.35">
      <c r="A665" t="s">
        <v>794</v>
      </c>
      <c r="B665" s="2">
        <v>45933</v>
      </c>
      <c r="C665" t="s">
        <v>189</v>
      </c>
      <c r="D665" t="s">
        <v>55</v>
      </c>
      <c r="E665" t="s">
        <v>46</v>
      </c>
      <c r="F665" t="s">
        <v>22</v>
      </c>
      <c r="G665">
        <v>1</v>
      </c>
      <c r="H665">
        <v>0</v>
      </c>
      <c r="I665">
        <v>240</v>
      </c>
      <c r="J665">
        <v>91.31</v>
      </c>
    </row>
    <row r="666" spans="1:10" x14ac:dyDescent="0.35">
      <c r="A666" t="s">
        <v>795</v>
      </c>
      <c r="B666" s="2">
        <v>46008</v>
      </c>
      <c r="C666" t="s">
        <v>135</v>
      </c>
      <c r="D666" t="s">
        <v>99</v>
      </c>
      <c r="E666" t="s">
        <v>18</v>
      </c>
      <c r="F666" t="s">
        <v>50</v>
      </c>
      <c r="G666">
        <v>1</v>
      </c>
      <c r="H666">
        <v>0.05</v>
      </c>
      <c r="I666">
        <v>180.5</v>
      </c>
      <c r="J666">
        <v>49.19</v>
      </c>
    </row>
    <row r="667" spans="1:10" x14ac:dyDescent="0.35">
      <c r="A667" t="s">
        <v>796</v>
      </c>
      <c r="B667" s="2">
        <v>45989</v>
      </c>
      <c r="C667" t="s">
        <v>241</v>
      </c>
      <c r="D667" t="s">
        <v>12</v>
      </c>
      <c r="E667" t="s">
        <v>13</v>
      </c>
      <c r="F667" t="s">
        <v>14</v>
      </c>
      <c r="G667">
        <v>2</v>
      </c>
      <c r="H667">
        <v>0</v>
      </c>
      <c r="I667">
        <v>70</v>
      </c>
      <c r="J667">
        <v>20.89</v>
      </c>
    </row>
    <row r="668" spans="1:10" x14ac:dyDescent="0.35">
      <c r="A668" t="s">
        <v>797</v>
      </c>
      <c r="B668" s="2">
        <v>45702</v>
      </c>
      <c r="C668" t="s">
        <v>20</v>
      </c>
      <c r="D668" t="s">
        <v>12</v>
      </c>
      <c r="E668" t="s">
        <v>13</v>
      </c>
      <c r="F668" t="s">
        <v>14</v>
      </c>
      <c r="G668">
        <v>1</v>
      </c>
      <c r="H668">
        <v>0.05</v>
      </c>
      <c r="I668">
        <v>33.25</v>
      </c>
      <c r="J668">
        <v>6.25</v>
      </c>
    </row>
    <row r="669" spans="1:10" x14ac:dyDescent="0.35">
      <c r="A669" t="s">
        <v>798</v>
      </c>
      <c r="B669" s="2">
        <v>45952</v>
      </c>
      <c r="C669" t="s">
        <v>189</v>
      </c>
      <c r="D669" t="s">
        <v>21</v>
      </c>
      <c r="E669" t="s">
        <v>18</v>
      </c>
      <c r="F669" t="s">
        <v>50</v>
      </c>
      <c r="G669">
        <v>3</v>
      </c>
      <c r="H669">
        <v>0.15</v>
      </c>
      <c r="I669">
        <v>140.25</v>
      </c>
      <c r="J669">
        <v>45.15</v>
      </c>
    </row>
    <row r="670" spans="1:10" x14ac:dyDescent="0.35">
      <c r="A670" t="s">
        <v>799</v>
      </c>
      <c r="B670" s="2">
        <v>45879</v>
      </c>
      <c r="C670" t="s">
        <v>42</v>
      </c>
      <c r="D670" t="s">
        <v>49</v>
      </c>
      <c r="E670" t="s">
        <v>13</v>
      </c>
      <c r="F670" t="s">
        <v>14</v>
      </c>
      <c r="G670">
        <v>1</v>
      </c>
      <c r="H670">
        <v>0.15</v>
      </c>
      <c r="I670">
        <v>59.5</v>
      </c>
      <c r="J670">
        <v>13.55</v>
      </c>
    </row>
    <row r="671" spans="1:10" x14ac:dyDescent="0.35">
      <c r="A671" t="s">
        <v>800</v>
      </c>
      <c r="B671" s="2">
        <v>45986</v>
      </c>
      <c r="C671" t="s">
        <v>54</v>
      </c>
      <c r="D671" t="s">
        <v>17</v>
      </c>
      <c r="E671" t="s">
        <v>18</v>
      </c>
      <c r="F671" t="s">
        <v>14</v>
      </c>
      <c r="G671">
        <v>5</v>
      </c>
      <c r="H671">
        <v>0</v>
      </c>
      <c r="I671">
        <v>1050</v>
      </c>
      <c r="J671">
        <v>210.56</v>
      </c>
    </row>
    <row r="672" spans="1:10" x14ac:dyDescent="0.35">
      <c r="A672" t="s">
        <v>801</v>
      </c>
      <c r="B672" s="2">
        <v>46016</v>
      </c>
      <c r="C672" t="s">
        <v>278</v>
      </c>
      <c r="D672" t="s">
        <v>12</v>
      </c>
      <c r="E672" t="s">
        <v>13</v>
      </c>
      <c r="F672" t="s">
        <v>25</v>
      </c>
      <c r="G672">
        <v>3</v>
      </c>
      <c r="H672">
        <v>0.2</v>
      </c>
      <c r="I672">
        <v>84</v>
      </c>
      <c r="J672">
        <v>34.86</v>
      </c>
    </row>
    <row r="673" spans="1:10" x14ac:dyDescent="0.35">
      <c r="A673" t="s">
        <v>802</v>
      </c>
      <c r="B673" s="2">
        <v>45968</v>
      </c>
      <c r="C673" t="s">
        <v>145</v>
      </c>
      <c r="D673" t="s">
        <v>12</v>
      </c>
      <c r="E673" t="s">
        <v>13</v>
      </c>
      <c r="F673" t="s">
        <v>14</v>
      </c>
      <c r="G673">
        <v>3</v>
      </c>
      <c r="H673">
        <v>0.15</v>
      </c>
      <c r="I673">
        <v>89.25</v>
      </c>
      <c r="J673">
        <v>28.93</v>
      </c>
    </row>
    <row r="674" spans="1:10" x14ac:dyDescent="0.35">
      <c r="A674" t="s">
        <v>803</v>
      </c>
      <c r="B674" s="2">
        <v>45900</v>
      </c>
      <c r="C674" t="s">
        <v>286</v>
      </c>
      <c r="D674" t="s">
        <v>28</v>
      </c>
      <c r="E674" t="s">
        <v>18</v>
      </c>
      <c r="F674" t="s">
        <v>25</v>
      </c>
      <c r="G674">
        <v>5</v>
      </c>
      <c r="H674">
        <v>0.05</v>
      </c>
      <c r="I674">
        <v>1330</v>
      </c>
      <c r="J674">
        <v>538.64</v>
      </c>
    </row>
    <row r="675" spans="1:10" x14ac:dyDescent="0.35">
      <c r="A675" t="s">
        <v>804</v>
      </c>
      <c r="B675" s="2">
        <v>45982</v>
      </c>
      <c r="C675" t="s">
        <v>62</v>
      </c>
      <c r="D675" t="s">
        <v>28</v>
      </c>
      <c r="E675" t="s">
        <v>18</v>
      </c>
      <c r="F675" t="s">
        <v>22</v>
      </c>
      <c r="G675">
        <v>3</v>
      </c>
      <c r="H675">
        <v>0.1</v>
      </c>
      <c r="I675">
        <v>756</v>
      </c>
      <c r="J675">
        <v>101.35</v>
      </c>
    </row>
    <row r="676" spans="1:10" x14ac:dyDescent="0.35">
      <c r="A676" t="s">
        <v>805</v>
      </c>
      <c r="B676" s="2">
        <v>45721</v>
      </c>
      <c r="C676" t="s">
        <v>42</v>
      </c>
      <c r="D676" t="s">
        <v>67</v>
      </c>
      <c r="E676" t="s">
        <v>13</v>
      </c>
      <c r="F676" t="s">
        <v>14</v>
      </c>
      <c r="G676">
        <v>1</v>
      </c>
      <c r="H676">
        <v>0.2</v>
      </c>
      <c r="I676">
        <v>960</v>
      </c>
      <c r="J676">
        <v>242.98</v>
      </c>
    </row>
    <row r="677" spans="1:10" x14ac:dyDescent="0.35">
      <c r="A677" t="s">
        <v>806</v>
      </c>
      <c r="B677" s="2">
        <v>45814</v>
      </c>
      <c r="C677" t="s">
        <v>192</v>
      </c>
      <c r="D677" t="s">
        <v>21</v>
      </c>
      <c r="E677" t="s">
        <v>18</v>
      </c>
      <c r="F677" t="s">
        <v>22</v>
      </c>
      <c r="G677">
        <v>3</v>
      </c>
      <c r="H677">
        <v>0.05</v>
      </c>
      <c r="I677">
        <v>156.75</v>
      </c>
      <c r="J677">
        <v>49.19</v>
      </c>
    </row>
    <row r="678" spans="1:10" x14ac:dyDescent="0.35">
      <c r="A678" t="s">
        <v>807</v>
      </c>
      <c r="B678" s="2">
        <v>45740</v>
      </c>
      <c r="C678" t="s">
        <v>142</v>
      </c>
      <c r="D678" t="s">
        <v>28</v>
      </c>
      <c r="E678" t="s">
        <v>18</v>
      </c>
      <c r="F678" t="s">
        <v>14</v>
      </c>
      <c r="G678">
        <v>2</v>
      </c>
      <c r="H678">
        <v>0.2</v>
      </c>
      <c r="I678">
        <v>448</v>
      </c>
      <c r="J678">
        <v>78.19</v>
      </c>
    </row>
    <row r="679" spans="1:10" x14ac:dyDescent="0.35">
      <c r="A679" t="s">
        <v>808</v>
      </c>
      <c r="B679" s="2">
        <v>45750</v>
      </c>
      <c r="C679" t="s">
        <v>95</v>
      </c>
      <c r="D679" t="s">
        <v>38</v>
      </c>
      <c r="E679" t="s">
        <v>13</v>
      </c>
      <c r="F679" t="s">
        <v>50</v>
      </c>
      <c r="G679">
        <v>5</v>
      </c>
      <c r="H679">
        <v>0</v>
      </c>
      <c r="I679">
        <v>1600</v>
      </c>
      <c r="J679">
        <v>270.47000000000003</v>
      </c>
    </row>
    <row r="680" spans="1:10" x14ac:dyDescent="0.35">
      <c r="A680" t="s">
        <v>809</v>
      </c>
      <c r="B680" s="2">
        <v>45988</v>
      </c>
      <c r="C680" t="s">
        <v>210</v>
      </c>
      <c r="D680" t="s">
        <v>55</v>
      </c>
      <c r="E680" t="s">
        <v>46</v>
      </c>
      <c r="F680" t="s">
        <v>14</v>
      </c>
      <c r="G680">
        <v>1</v>
      </c>
      <c r="H680">
        <v>0.1</v>
      </c>
      <c r="I680">
        <v>216</v>
      </c>
      <c r="J680">
        <v>49.32</v>
      </c>
    </row>
    <row r="681" spans="1:10" x14ac:dyDescent="0.35">
      <c r="A681" t="s">
        <v>810</v>
      </c>
      <c r="B681" s="2">
        <v>45759</v>
      </c>
      <c r="C681" t="s">
        <v>40</v>
      </c>
      <c r="D681" t="s">
        <v>17</v>
      </c>
      <c r="E681" t="s">
        <v>18</v>
      </c>
      <c r="F681" t="s">
        <v>22</v>
      </c>
      <c r="G681">
        <v>5</v>
      </c>
      <c r="H681">
        <v>0.15</v>
      </c>
      <c r="I681">
        <v>892.5</v>
      </c>
      <c r="J681">
        <v>121.37</v>
      </c>
    </row>
    <row r="682" spans="1:10" x14ac:dyDescent="0.35">
      <c r="A682" t="s">
        <v>811</v>
      </c>
      <c r="B682" s="2">
        <v>46001</v>
      </c>
      <c r="C682" t="s">
        <v>80</v>
      </c>
      <c r="D682" t="s">
        <v>38</v>
      </c>
      <c r="E682" t="s">
        <v>13</v>
      </c>
      <c r="F682" t="s">
        <v>22</v>
      </c>
      <c r="G682">
        <v>2</v>
      </c>
      <c r="H682">
        <v>0</v>
      </c>
      <c r="I682">
        <v>640</v>
      </c>
      <c r="J682">
        <v>227.78</v>
      </c>
    </row>
    <row r="683" spans="1:10" x14ac:dyDescent="0.35">
      <c r="A683" t="s">
        <v>812</v>
      </c>
      <c r="B683" s="2">
        <v>45820</v>
      </c>
      <c r="C683" t="s">
        <v>187</v>
      </c>
      <c r="D683" t="s">
        <v>45</v>
      </c>
      <c r="E683" t="s">
        <v>46</v>
      </c>
      <c r="F683" t="s">
        <v>22</v>
      </c>
      <c r="G683">
        <v>4</v>
      </c>
      <c r="H683">
        <v>0.1</v>
      </c>
      <c r="I683">
        <v>64.8</v>
      </c>
      <c r="J683">
        <v>15.98</v>
      </c>
    </row>
    <row r="684" spans="1:10" x14ac:dyDescent="0.35">
      <c r="A684" t="s">
        <v>813</v>
      </c>
      <c r="B684" s="2">
        <v>45947</v>
      </c>
      <c r="C684" t="s">
        <v>412</v>
      </c>
      <c r="D684" t="s">
        <v>83</v>
      </c>
      <c r="E684" t="s">
        <v>46</v>
      </c>
      <c r="F684" t="s">
        <v>14</v>
      </c>
      <c r="G684">
        <v>3</v>
      </c>
      <c r="H684">
        <v>0.1</v>
      </c>
      <c r="I684">
        <v>67.5</v>
      </c>
      <c r="J684">
        <v>9.02</v>
      </c>
    </row>
    <row r="685" spans="1:10" x14ac:dyDescent="0.35">
      <c r="A685" t="s">
        <v>814</v>
      </c>
      <c r="B685" s="2">
        <v>45818</v>
      </c>
      <c r="C685" t="s">
        <v>194</v>
      </c>
      <c r="D685" t="s">
        <v>21</v>
      </c>
      <c r="E685" t="s">
        <v>18</v>
      </c>
      <c r="F685" t="s">
        <v>22</v>
      </c>
      <c r="G685">
        <v>2</v>
      </c>
      <c r="H685">
        <v>0.15</v>
      </c>
      <c r="I685">
        <v>93.5</v>
      </c>
      <c r="J685">
        <v>33.54</v>
      </c>
    </row>
    <row r="686" spans="1:10" x14ac:dyDescent="0.35">
      <c r="A686" t="s">
        <v>815</v>
      </c>
      <c r="B686" s="2">
        <v>46005</v>
      </c>
      <c r="C686" t="s">
        <v>40</v>
      </c>
      <c r="D686" t="s">
        <v>17</v>
      </c>
      <c r="E686" t="s">
        <v>18</v>
      </c>
      <c r="F686" t="s">
        <v>25</v>
      </c>
      <c r="G686">
        <v>3</v>
      </c>
      <c r="H686">
        <v>0.15</v>
      </c>
      <c r="I686">
        <v>535.5</v>
      </c>
      <c r="J686">
        <v>159.18</v>
      </c>
    </row>
    <row r="687" spans="1:10" x14ac:dyDescent="0.35">
      <c r="A687" t="s">
        <v>816</v>
      </c>
      <c r="B687" s="2">
        <v>45907</v>
      </c>
      <c r="C687" t="s">
        <v>167</v>
      </c>
      <c r="D687" t="s">
        <v>55</v>
      </c>
      <c r="E687" t="s">
        <v>46</v>
      </c>
      <c r="F687" t="s">
        <v>25</v>
      </c>
      <c r="G687">
        <v>1</v>
      </c>
      <c r="H687">
        <v>0.05</v>
      </c>
      <c r="I687">
        <v>228</v>
      </c>
      <c r="J687">
        <v>54.03</v>
      </c>
    </row>
    <row r="688" spans="1:10" x14ac:dyDescent="0.35">
      <c r="A688" t="s">
        <v>817</v>
      </c>
      <c r="B688" s="2">
        <v>45729</v>
      </c>
      <c r="C688" t="s">
        <v>189</v>
      </c>
      <c r="D688" t="s">
        <v>55</v>
      </c>
      <c r="E688" t="s">
        <v>46</v>
      </c>
      <c r="F688" t="s">
        <v>14</v>
      </c>
      <c r="G688">
        <v>2</v>
      </c>
      <c r="H688">
        <v>0.1</v>
      </c>
      <c r="I688">
        <v>432</v>
      </c>
      <c r="J688">
        <v>89.83</v>
      </c>
    </row>
    <row r="689" spans="1:10" x14ac:dyDescent="0.35">
      <c r="A689" t="s">
        <v>818</v>
      </c>
      <c r="B689" s="2">
        <v>45696</v>
      </c>
      <c r="C689" t="s">
        <v>54</v>
      </c>
      <c r="D689" t="s">
        <v>67</v>
      </c>
      <c r="E689" t="s">
        <v>13</v>
      </c>
      <c r="F689" t="s">
        <v>50</v>
      </c>
      <c r="G689">
        <v>5</v>
      </c>
      <c r="H689">
        <v>0</v>
      </c>
      <c r="I689">
        <v>6000</v>
      </c>
      <c r="J689">
        <v>1090.97</v>
      </c>
    </row>
    <row r="690" spans="1:10" x14ac:dyDescent="0.35">
      <c r="A690" t="s">
        <v>819</v>
      </c>
      <c r="B690" s="2">
        <v>45960</v>
      </c>
      <c r="C690" t="s">
        <v>119</v>
      </c>
      <c r="D690" t="s">
        <v>21</v>
      </c>
      <c r="E690" t="s">
        <v>18</v>
      </c>
      <c r="F690" t="s">
        <v>50</v>
      </c>
      <c r="G690">
        <v>1</v>
      </c>
      <c r="H690">
        <v>0.2</v>
      </c>
      <c r="I690">
        <v>44</v>
      </c>
      <c r="J690">
        <v>16.02</v>
      </c>
    </row>
    <row r="691" spans="1:10" x14ac:dyDescent="0.35">
      <c r="A691" t="s">
        <v>820</v>
      </c>
      <c r="B691" s="2">
        <v>45992</v>
      </c>
      <c r="C691" t="s">
        <v>158</v>
      </c>
      <c r="D691" t="s">
        <v>28</v>
      </c>
      <c r="E691" t="s">
        <v>18</v>
      </c>
      <c r="F691" t="s">
        <v>25</v>
      </c>
      <c r="G691">
        <v>3</v>
      </c>
      <c r="H691">
        <v>0.15</v>
      </c>
      <c r="I691">
        <v>714</v>
      </c>
      <c r="J691">
        <v>268.68</v>
      </c>
    </row>
    <row r="692" spans="1:10" x14ac:dyDescent="0.35">
      <c r="A692" t="s">
        <v>821</v>
      </c>
      <c r="B692" s="2">
        <v>45726</v>
      </c>
      <c r="C692" t="s">
        <v>194</v>
      </c>
      <c r="D692" t="s">
        <v>45</v>
      </c>
      <c r="E692" t="s">
        <v>46</v>
      </c>
      <c r="F692" t="s">
        <v>14</v>
      </c>
      <c r="G692">
        <v>5</v>
      </c>
      <c r="H692">
        <v>0.2</v>
      </c>
      <c r="I692">
        <v>72</v>
      </c>
      <c r="J692">
        <v>30.25</v>
      </c>
    </row>
    <row r="693" spans="1:10" x14ac:dyDescent="0.35">
      <c r="A693" t="s">
        <v>822</v>
      </c>
      <c r="B693" s="2">
        <v>45997</v>
      </c>
      <c r="C693" t="s">
        <v>11</v>
      </c>
      <c r="D693" t="s">
        <v>21</v>
      </c>
      <c r="E693" t="s">
        <v>18</v>
      </c>
      <c r="F693" t="s">
        <v>50</v>
      </c>
      <c r="G693">
        <v>5</v>
      </c>
      <c r="H693">
        <v>0.05</v>
      </c>
      <c r="I693">
        <v>261.25</v>
      </c>
      <c r="J693">
        <v>52.28</v>
      </c>
    </row>
    <row r="694" spans="1:10" x14ac:dyDescent="0.35">
      <c r="A694" t="s">
        <v>823</v>
      </c>
      <c r="B694" s="2">
        <v>45739</v>
      </c>
      <c r="C694" t="s">
        <v>154</v>
      </c>
      <c r="D694" t="s">
        <v>28</v>
      </c>
      <c r="E694" t="s">
        <v>18</v>
      </c>
      <c r="F694" t="s">
        <v>50</v>
      </c>
      <c r="G694">
        <v>5</v>
      </c>
      <c r="H694">
        <v>0.2</v>
      </c>
      <c r="I694">
        <v>1120</v>
      </c>
      <c r="J694">
        <v>260.27999999999997</v>
      </c>
    </row>
    <row r="695" spans="1:10" x14ac:dyDescent="0.35">
      <c r="A695" t="s">
        <v>824</v>
      </c>
      <c r="B695" s="2">
        <v>45841</v>
      </c>
      <c r="C695" t="s">
        <v>113</v>
      </c>
      <c r="D695" t="s">
        <v>67</v>
      </c>
      <c r="E695" t="s">
        <v>13</v>
      </c>
      <c r="F695" t="s">
        <v>25</v>
      </c>
      <c r="G695">
        <v>2</v>
      </c>
      <c r="H695">
        <v>0.15</v>
      </c>
      <c r="I695">
        <v>2040</v>
      </c>
      <c r="J695">
        <v>761.99</v>
      </c>
    </row>
    <row r="696" spans="1:10" x14ac:dyDescent="0.35">
      <c r="A696" t="s">
        <v>825</v>
      </c>
      <c r="B696" s="2">
        <v>45777</v>
      </c>
      <c r="C696" t="s">
        <v>194</v>
      </c>
      <c r="D696" t="s">
        <v>67</v>
      </c>
      <c r="E696" t="s">
        <v>13</v>
      </c>
      <c r="F696" t="s">
        <v>50</v>
      </c>
      <c r="G696">
        <v>2</v>
      </c>
      <c r="H696">
        <v>0.2</v>
      </c>
      <c r="I696">
        <v>1920</v>
      </c>
      <c r="J696">
        <v>288.86</v>
      </c>
    </row>
    <row r="697" spans="1:10" x14ac:dyDescent="0.35">
      <c r="A697" t="s">
        <v>826</v>
      </c>
      <c r="B697" s="2">
        <v>45898</v>
      </c>
      <c r="C697" t="s">
        <v>150</v>
      </c>
      <c r="D697" t="s">
        <v>45</v>
      </c>
      <c r="E697" t="s">
        <v>46</v>
      </c>
      <c r="F697" t="s">
        <v>14</v>
      </c>
      <c r="G697">
        <v>1</v>
      </c>
      <c r="H697">
        <v>0</v>
      </c>
      <c r="I697">
        <v>18</v>
      </c>
      <c r="J697">
        <v>2.2799999999999998</v>
      </c>
    </row>
    <row r="698" spans="1:10" x14ac:dyDescent="0.35">
      <c r="A698" t="s">
        <v>827</v>
      </c>
      <c r="B698" s="2">
        <v>46018</v>
      </c>
      <c r="C698" t="s">
        <v>73</v>
      </c>
      <c r="D698" t="s">
        <v>55</v>
      </c>
      <c r="E698" t="s">
        <v>46</v>
      </c>
      <c r="F698" t="s">
        <v>22</v>
      </c>
      <c r="G698">
        <v>3</v>
      </c>
      <c r="H698">
        <v>0.1</v>
      </c>
      <c r="I698">
        <v>648</v>
      </c>
      <c r="J698">
        <v>167.87</v>
      </c>
    </row>
    <row r="699" spans="1:10" x14ac:dyDescent="0.35">
      <c r="A699" t="s">
        <v>828</v>
      </c>
      <c r="B699" s="2">
        <v>45850</v>
      </c>
      <c r="C699" t="s">
        <v>128</v>
      </c>
      <c r="D699" t="s">
        <v>38</v>
      </c>
      <c r="E699" t="s">
        <v>13</v>
      </c>
      <c r="F699" t="s">
        <v>25</v>
      </c>
      <c r="G699">
        <v>4</v>
      </c>
      <c r="H699">
        <v>0.1</v>
      </c>
      <c r="I699">
        <v>1152</v>
      </c>
      <c r="J699">
        <v>294.99</v>
      </c>
    </row>
    <row r="700" spans="1:10" x14ac:dyDescent="0.35">
      <c r="A700" t="s">
        <v>829</v>
      </c>
      <c r="B700" s="2">
        <v>45850</v>
      </c>
      <c r="C700" t="s">
        <v>30</v>
      </c>
      <c r="D700" t="s">
        <v>21</v>
      </c>
      <c r="E700" t="s">
        <v>18</v>
      </c>
      <c r="F700" t="s">
        <v>50</v>
      </c>
      <c r="G700">
        <v>5</v>
      </c>
      <c r="H700">
        <v>0.15</v>
      </c>
      <c r="I700">
        <v>233.75</v>
      </c>
      <c r="J700">
        <v>77.97</v>
      </c>
    </row>
    <row r="701" spans="1:10" x14ac:dyDescent="0.35">
      <c r="A701" t="s">
        <v>830</v>
      </c>
      <c r="B701" s="2">
        <v>45904</v>
      </c>
      <c r="C701" t="s">
        <v>342</v>
      </c>
      <c r="D701" t="s">
        <v>83</v>
      </c>
      <c r="E701" t="s">
        <v>46</v>
      </c>
      <c r="F701" t="s">
        <v>22</v>
      </c>
      <c r="G701">
        <v>1</v>
      </c>
      <c r="H701">
        <v>0.2</v>
      </c>
      <c r="I701">
        <v>20</v>
      </c>
      <c r="J701">
        <v>3.18</v>
      </c>
    </row>
    <row r="702" spans="1:10" x14ac:dyDescent="0.35">
      <c r="A702" t="s">
        <v>831</v>
      </c>
      <c r="B702" s="2">
        <v>45775</v>
      </c>
      <c r="C702" t="s">
        <v>269</v>
      </c>
      <c r="D702" t="s">
        <v>12</v>
      </c>
      <c r="E702" t="s">
        <v>13</v>
      </c>
      <c r="F702" t="s">
        <v>22</v>
      </c>
      <c r="G702">
        <v>5</v>
      </c>
      <c r="H702">
        <v>0.1</v>
      </c>
      <c r="I702">
        <v>157.5</v>
      </c>
      <c r="J702">
        <v>59.88</v>
      </c>
    </row>
    <row r="703" spans="1:10" x14ac:dyDescent="0.35">
      <c r="A703" t="s">
        <v>832</v>
      </c>
      <c r="B703" s="2">
        <v>45843</v>
      </c>
      <c r="C703" t="s">
        <v>241</v>
      </c>
      <c r="D703" t="s">
        <v>83</v>
      </c>
      <c r="E703" t="s">
        <v>46</v>
      </c>
      <c r="F703" t="s">
        <v>14</v>
      </c>
      <c r="G703">
        <v>1</v>
      </c>
      <c r="H703">
        <v>0.05</v>
      </c>
      <c r="I703">
        <v>23.75</v>
      </c>
      <c r="J703">
        <v>7.44</v>
      </c>
    </row>
    <row r="704" spans="1:10" x14ac:dyDescent="0.35">
      <c r="A704" t="s">
        <v>833</v>
      </c>
      <c r="B704" s="2">
        <v>45904</v>
      </c>
      <c r="C704" t="s">
        <v>273</v>
      </c>
      <c r="D704" t="s">
        <v>38</v>
      </c>
      <c r="E704" t="s">
        <v>13</v>
      </c>
      <c r="F704" t="s">
        <v>50</v>
      </c>
      <c r="G704">
        <v>4</v>
      </c>
      <c r="H704">
        <v>0.15</v>
      </c>
      <c r="I704">
        <v>1088</v>
      </c>
      <c r="J704">
        <v>413.95</v>
      </c>
    </row>
    <row r="705" spans="1:10" x14ac:dyDescent="0.35">
      <c r="A705" t="s">
        <v>834</v>
      </c>
      <c r="B705" s="2">
        <v>45669</v>
      </c>
      <c r="C705" t="s">
        <v>273</v>
      </c>
      <c r="D705" t="s">
        <v>21</v>
      </c>
      <c r="E705" t="s">
        <v>18</v>
      </c>
      <c r="F705" t="s">
        <v>22</v>
      </c>
      <c r="G705">
        <v>1</v>
      </c>
      <c r="H705">
        <v>0.05</v>
      </c>
      <c r="I705">
        <v>52.25</v>
      </c>
      <c r="J705">
        <v>13.62</v>
      </c>
    </row>
    <row r="706" spans="1:10" x14ac:dyDescent="0.35">
      <c r="A706" t="s">
        <v>835</v>
      </c>
      <c r="B706" s="2">
        <v>45980</v>
      </c>
      <c r="C706" t="s">
        <v>412</v>
      </c>
      <c r="D706" t="s">
        <v>55</v>
      </c>
      <c r="E706" t="s">
        <v>46</v>
      </c>
      <c r="F706" t="s">
        <v>25</v>
      </c>
      <c r="G706">
        <v>1</v>
      </c>
      <c r="H706">
        <v>0.2</v>
      </c>
      <c r="I706">
        <v>192</v>
      </c>
      <c r="J706">
        <v>77.09</v>
      </c>
    </row>
    <row r="707" spans="1:10" x14ac:dyDescent="0.35">
      <c r="A707" t="s">
        <v>836</v>
      </c>
      <c r="B707" s="2">
        <v>45750</v>
      </c>
      <c r="C707" t="s">
        <v>44</v>
      </c>
      <c r="D707" t="s">
        <v>55</v>
      </c>
      <c r="E707" t="s">
        <v>46</v>
      </c>
      <c r="F707" t="s">
        <v>14</v>
      </c>
      <c r="G707">
        <v>4</v>
      </c>
      <c r="H707">
        <v>0.2</v>
      </c>
      <c r="I707">
        <v>768</v>
      </c>
      <c r="J707">
        <v>99.95</v>
      </c>
    </row>
    <row r="708" spans="1:10" x14ac:dyDescent="0.35">
      <c r="A708" t="s">
        <v>837</v>
      </c>
      <c r="B708" s="2">
        <v>45996</v>
      </c>
      <c r="C708" t="s">
        <v>253</v>
      </c>
      <c r="D708" t="s">
        <v>35</v>
      </c>
      <c r="E708" t="s">
        <v>13</v>
      </c>
      <c r="F708" t="s">
        <v>50</v>
      </c>
      <c r="G708">
        <v>1</v>
      </c>
      <c r="H708">
        <v>0.05</v>
      </c>
      <c r="I708">
        <v>807.5</v>
      </c>
      <c r="J708">
        <v>243.67</v>
      </c>
    </row>
    <row r="709" spans="1:10" x14ac:dyDescent="0.35">
      <c r="A709" t="s">
        <v>838</v>
      </c>
      <c r="B709" s="2">
        <v>45745</v>
      </c>
      <c r="C709" t="s">
        <v>54</v>
      </c>
      <c r="D709" t="s">
        <v>21</v>
      </c>
      <c r="E709" t="s">
        <v>18</v>
      </c>
      <c r="F709" t="s">
        <v>22</v>
      </c>
      <c r="G709">
        <v>4</v>
      </c>
      <c r="H709">
        <v>0.2</v>
      </c>
      <c r="I709">
        <v>176</v>
      </c>
      <c r="J709">
        <v>70.91</v>
      </c>
    </row>
    <row r="710" spans="1:10" x14ac:dyDescent="0.35">
      <c r="A710" t="s">
        <v>839</v>
      </c>
      <c r="B710" s="2">
        <v>45977</v>
      </c>
      <c r="C710" t="s">
        <v>278</v>
      </c>
      <c r="D710" t="s">
        <v>38</v>
      </c>
      <c r="E710" t="s">
        <v>13</v>
      </c>
      <c r="F710" t="s">
        <v>25</v>
      </c>
      <c r="G710">
        <v>5</v>
      </c>
      <c r="H710">
        <v>0.1</v>
      </c>
      <c r="I710">
        <v>1440</v>
      </c>
      <c r="J710">
        <v>568.29999999999995</v>
      </c>
    </row>
    <row r="711" spans="1:10" x14ac:dyDescent="0.35">
      <c r="A711" t="s">
        <v>840</v>
      </c>
      <c r="B711" s="2">
        <v>45890</v>
      </c>
      <c r="C711" t="s">
        <v>59</v>
      </c>
      <c r="D711" t="s">
        <v>83</v>
      </c>
      <c r="E711" t="s">
        <v>46</v>
      </c>
      <c r="F711" t="s">
        <v>22</v>
      </c>
      <c r="G711">
        <v>5</v>
      </c>
      <c r="H711">
        <v>0</v>
      </c>
      <c r="I711">
        <v>125</v>
      </c>
      <c r="J711">
        <v>46.77</v>
      </c>
    </row>
    <row r="712" spans="1:10" x14ac:dyDescent="0.35">
      <c r="A712" t="s">
        <v>841</v>
      </c>
      <c r="B712" s="2">
        <v>45713</v>
      </c>
      <c r="C712" t="s">
        <v>66</v>
      </c>
      <c r="D712" t="s">
        <v>67</v>
      </c>
      <c r="E712" t="s">
        <v>13</v>
      </c>
      <c r="F712" t="s">
        <v>50</v>
      </c>
      <c r="G712">
        <v>2</v>
      </c>
      <c r="H712">
        <v>0.2</v>
      </c>
      <c r="I712">
        <v>1920</v>
      </c>
      <c r="J712">
        <v>319.36</v>
      </c>
    </row>
    <row r="713" spans="1:10" x14ac:dyDescent="0.35">
      <c r="A713" t="s">
        <v>842</v>
      </c>
      <c r="B713" s="2">
        <v>45734</v>
      </c>
      <c r="C713" t="s">
        <v>349</v>
      </c>
      <c r="D713" t="s">
        <v>83</v>
      </c>
      <c r="E713" t="s">
        <v>46</v>
      </c>
      <c r="F713" t="s">
        <v>14</v>
      </c>
      <c r="G713">
        <v>1</v>
      </c>
      <c r="H713">
        <v>0.05</v>
      </c>
      <c r="I713">
        <v>23.75</v>
      </c>
      <c r="J713">
        <v>6.96</v>
      </c>
    </row>
    <row r="714" spans="1:10" x14ac:dyDescent="0.35">
      <c r="A714" t="s">
        <v>843</v>
      </c>
      <c r="B714" s="2">
        <v>45930</v>
      </c>
      <c r="C714" t="s">
        <v>115</v>
      </c>
      <c r="D714" t="s">
        <v>55</v>
      </c>
      <c r="E714" t="s">
        <v>46</v>
      </c>
      <c r="F714" t="s">
        <v>14</v>
      </c>
      <c r="G714">
        <v>1</v>
      </c>
      <c r="H714">
        <v>0</v>
      </c>
      <c r="I714">
        <v>240</v>
      </c>
      <c r="J714">
        <v>69.81</v>
      </c>
    </row>
    <row r="715" spans="1:10" x14ac:dyDescent="0.35">
      <c r="A715" t="s">
        <v>844</v>
      </c>
      <c r="B715" s="2">
        <v>46005</v>
      </c>
      <c r="C715" t="s">
        <v>360</v>
      </c>
      <c r="D715" t="s">
        <v>38</v>
      </c>
      <c r="E715" t="s">
        <v>13</v>
      </c>
      <c r="F715" t="s">
        <v>50</v>
      </c>
      <c r="G715">
        <v>4</v>
      </c>
      <c r="H715">
        <v>0.2</v>
      </c>
      <c r="I715">
        <v>1024</v>
      </c>
      <c r="J715">
        <v>318.64</v>
      </c>
    </row>
    <row r="716" spans="1:10" x14ac:dyDescent="0.35">
      <c r="A716" t="s">
        <v>845</v>
      </c>
      <c r="B716" s="2">
        <v>45775</v>
      </c>
      <c r="C716" t="s">
        <v>133</v>
      </c>
      <c r="D716" t="s">
        <v>45</v>
      </c>
      <c r="E716" t="s">
        <v>46</v>
      </c>
      <c r="F716" t="s">
        <v>14</v>
      </c>
      <c r="G716">
        <v>4</v>
      </c>
      <c r="H716">
        <v>0.1</v>
      </c>
      <c r="I716">
        <v>64.8</v>
      </c>
      <c r="J716">
        <v>16.559999999999999</v>
      </c>
    </row>
    <row r="717" spans="1:10" x14ac:dyDescent="0.35">
      <c r="A717" t="s">
        <v>846</v>
      </c>
      <c r="B717" s="2">
        <v>45875</v>
      </c>
      <c r="C717" t="s">
        <v>167</v>
      </c>
      <c r="D717" t="s">
        <v>28</v>
      </c>
      <c r="E717" t="s">
        <v>18</v>
      </c>
      <c r="F717" t="s">
        <v>25</v>
      </c>
      <c r="G717">
        <v>3</v>
      </c>
      <c r="H717">
        <v>0.15</v>
      </c>
      <c r="I717">
        <v>714</v>
      </c>
      <c r="J717">
        <v>140.85</v>
      </c>
    </row>
    <row r="718" spans="1:10" x14ac:dyDescent="0.35">
      <c r="A718" t="s">
        <v>847</v>
      </c>
      <c r="B718" s="2">
        <v>45964</v>
      </c>
      <c r="C718" t="s">
        <v>34</v>
      </c>
      <c r="D718" t="s">
        <v>55</v>
      </c>
      <c r="E718" t="s">
        <v>46</v>
      </c>
      <c r="F718" t="s">
        <v>14</v>
      </c>
      <c r="G718">
        <v>4</v>
      </c>
      <c r="H718">
        <v>0.1</v>
      </c>
      <c r="I718">
        <v>864</v>
      </c>
      <c r="J718">
        <v>334.91</v>
      </c>
    </row>
    <row r="719" spans="1:10" x14ac:dyDescent="0.35">
      <c r="A719" t="s">
        <v>848</v>
      </c>
      <c r="B719" s="2">
        <v>45953</v>
      </c>
      <c r="C719" t="s">
        <v>196</v>
      </c>
      <c r="D719" t="s">
        <v>55</v>
      </c>
      <c r="E719" t="s">
        <v>46</v>
      </c>
      <c r="F719" t="s">
        <v>22</v>
      </c>
      <c r="G719">
        <v>1</v>
      </c>
      <c r="H719">
        <v>0.2</v>
      </c>
      <c r="I719">
        <v>192</v>
      </c>
      <c r="J719">
        <v>85.94</v>
      </c>
    </row>
    <row r="720" spans="1:10" x14ac:dyDescent="0.35">
      <c r="A720" t="s">
        <v>849</v>
      </c>
      <c r="B720" s="2">
        <v>46010</v>
      </c>
      <c r="C720" t="s">
        <v>93</v>
      </c>
      <c r="D720" t="s">
        <v>49</v>
      </c>
      <c r="E720" t="s">
        <v>13</v>
      </c>
      <c r="F720" t="s">
        <v>25</v>
      </c>
      <c r="G720">
        <v>4</v>
      </c>
      <c r="H720">
        <v>0.1</v>
      </c>
      <c r="I720">
        <v>252</v>
      </c>
      <c r="J720">
        <v>104.54</v>
      </c>
    </row>
    <row r="721" spans="1:10" x14ac:dyDescent="0.35">
      <c r="A721" t="s">
        <v>850</v>
      </c>
      <c r="B721" s="2">
        <v>45791</v>
      </c>
      <c r="C721" t="s">
        <v>295</v>
      </c>
      <c r="D721" t="s">
        <v>55</v>
      </c>
      <c r="E721" t="s">
        <v>46</v>
      </c>
      <c r="F721" t="s">
        <v>50</v>
      </c>
      <c r="G721">
        <v>4</v>
      </c>
      <c r="H721">
        <v>0.2</v>
      </c>
      <c r="I721">
        <v>768</v>
      </c>
      <c r="J721">
        <v>252.93</v>
      </c>
    </row>
    <row r="722" spans="1:10" x14ac:dyDescent="0.35">
      <c r="A722" t="s">
        <v>851</v>
      </c>
      <c r="B722" s="2">
        <v>45762</v>
      </c>
      <c r="C722" t="s">
        <v>69</v>
      </c>
      <c r="D722" t="s">
        <v>99</v>
      </c>
      <c r="E722" t="s">
        <v>18</v>
      </c>
      <c r="F722" t="s">
        <v>50</v>
      </c>
      <c r="G722">
        <v>5</v>
      </c>
      <c r="H722">
        <v>0.2</v>
      </c>
      <c r="I722">
        <v>760</v>
      </c>
      <c r="J722">
        <v>221</v>
      </c>
    </row>
    <row r="723" spans="1:10" x14ac:dyDescent="0.35">
      <c r="A723" t="s">
        <v>852</v>
      </c>
      <c r="B723" s="2">
        <v>45787</v>
      </c>
      <c r="C723" t="s">
        <v>286</v>
      </c>
      <c r="D723" t="s">
        <v>35</v>
      </c>
      <c r="E723" t="s">
        <v>13</v>
      </c>
      <c r="F723" t="s">
        <v>22</v>
      </c>
      <c r="G723">
        <v>5</v>
      </c>
      <c r="H723">
        <v>0.1</v>
      </c>
      <c r="I723">
        <v>3825</v>
      </c>
      <c r="J723">
        <v>744.02</v>
      </c>
    </row>
    <row r="724" spans="1:10" x14ac:dyDescent="0.35">
      <c r="A724" t="s">
        <v>853</v>
      </c>
      <c r="B724" s="2">
        <v>45995</v>
      </c>
      <c r="C724" t="s">
        <v>273</v>
      </c>
      <c r="D724" t="s">
        <v>12</v>
      </c>
      <c r="E724" t="s">
        <v>13</v>
      </c>
      <c r="F724" t="s">
        <v>14</v>
      </c>
      <c r="G724">
        <v>2</v>
      </c>
      <c r="H724">
        <v>0.15</v>
      </c>
      <c r="I724">
        <v>59.5</v>
      </c>
      <c r="J724">
        <v>11.4</v>
      </c>
    </row>
    <row r="725" spans="1:10" x14ac:dyDescent="0.35">
      <c r="A725" t="s">
        <v>854</v>
      </c>
      <c r="B725" s="2">
        <v>45767</v>
      </c>
      <c r="C725" t="s">
        <v>349</v>
      </c>
      <c r="D725" t="s">
        <v>55</v>
      </c>
      <c r="E725" t="s">
        <v>46</v>
      </c>
      <c r="F725" t="s">
        <v>14</v>
      </c>
      <c r="G725">
        <v>4</v>
      </c>
      <c r="H725">
        <v>0.1</v>
      </c>
      <c r="I725">
        <v>864</v>
      </c>
      <c r="J725">
        <v>160.46</v>
      </c>
    </row>
    <row r="726" spans="1:10" x14ac:dyDescent="0.35">
      <c r="A726" t="s">
        <v>855</v>
      </c>
      <c r="B726" s="2">
        <v>45740</v>
      </c>
      <c r="C726" t="s">
        <v>253</v>
      </c>
      <c r="D726" t="s">
        <v>99</v>
      </c>
      <c r="E726" t="s">
        <v>18</v>
      </c>
      <c r="F726" t="s">
        <v>50</v>
      </c>
      <c r="G726">
        <v>1</v>
      </c>
      <c r="H726">
        <v>0</v>
      </c>
      <c r="I726">
        <v>190</v>
      </c>
      <c r="J726">
        <v>33.880000000000003</v>
      </c>
    </row>
    <row r="727" spans="1:10" x14ac:dyDescent="0.35">
      <c r="A727" t="s">
        <v>856</v>
      </c>
      <c r="B727" s="2">
        <v>45703</v>
      </c>
      <c r="C727" t="s">
        <v>185</v>
      </c>
      <c r="D727" t="s">
        <v>12</v>
      </c>
      <c r="E727" t="s">
        <v>13</v>
      </c>
      <c r="F727" t="s">
        <v>14</v>
      </c>
      <c r="G727">
        <v>3</v>
      </c>
      <c r="H727">
        <v>0.05</v>
      </c>
      <c r="I727">
        <v>99.75</v>
      </c>
      <c r="J727">
        <v>32.68</v>
      </c>
    </row>
    <row r="728" spans="1:10" x14ac:dyDescent="0.35">
      <c r="A728" t="s">
        <v>857</v>
      </c>
      <c r="B728" s="2">
        <v>45854</v>
      </c>
      <c r="C728" t="s">
        <v>202</v>
      </c>
      <c r="D728" t="s">
        <v>99</v>
      </c>
      <c r="E728" t="s">
        <v>18</v>
      </c>
      <c r="F728" t="s">
        <v>14</v>
      </c>
      <c r="G728">
        <v>5</v>
      </c>
      <c r="H728">
        <v>0.2</v>
      </c>
      <c r="I728">
        <v>760</v>
      </c>
      <c r="J728">
        <v>270.14999999999998</v>
      </c>
    </row>
    <row r="729" spans="1:10" x14ac:dyDescent="0.35">
      <c r="A729" t="s">
        <v>858</v>
      </c>
      <c r="B729" s="2">
        <v>45747</v>
      </c>
      <c r="C729" t="s">
        <v>145</v>
      </c>
      <c r="D729" t="s">
        <v>38</v>
      </c>
      <c r="E729" t="s">
        <v>13</v>
      </c>
      <c r="F729" t="s">
        <v>25</v>
      </c>
      <c r="G729">
        <v>4</v>
      </c>
      <c r="H729">
        <v>0.15</v>
      </c>
      <c r="I729">
        <v>1088</v>
      </c>
      <c r="J729">
        <v>485.75</v>
      </c>
    </row>
    <row r="730" spans="1:10" x14ac:dyDescent="0.35">
      <c r="A730" t="s">
        <v>859</v>
      </c>
      <c r="B730" s="2">
        <v>45757</v>
      </c>
      <c r="C730" t="s">
        <v>37</v>
      </c>
      <c r="D730" t="s">
        <v>67</v>
      </c>
      <c r="E730" t="s">
        <v>13</v>
      </c>
      <c r="F730" t="s">
        <v>22</v>
      </c>
      <c r="G730">
        <v>5</v>
      </c>
      <c r="H730">
        <v>0.2</v>
      </c>
      <c r="I730">
        <v>4800</v>
      </c>
      <c r="J730">
        <v>1342.95</v>
      </c>
    </row>
    <row r="731" spans="1:10" x14ac:dyDescent="0.35">
      <c r="A731" t="s">
        <v>860</v>
      </c>
      <c r="B731" s="2">
        <v>46003</v>
      </c>
      <c r="C731" t="s">
        <v>273</v>
      </c>
      <c r="D731" t="s">
        <v>67</v>
      </c>
      <c r="E731" t="s">
        <v>13</v>
      </c>
      <c r="F731" t="s">
        <v>14</v>
      </c>
      <c r="G731">
        <v>3</v>
      </c>
      <c r="H731">
        <v>0.05</v>
      </c>
      <c r="I731">
        <v>3420</v>
      </c>
      <c r="J731">
        <v>799.75</v>
      </c>
    </row>
    <row r="732" spans="1:10" x14ac:dyDescent="0.35">
      <c r="A732" t="s">
        <v>861</v>
      </c>
      <c r="B732" s="2">
        <v>45799</v>
      </c>
      <c r="C732" t="s">
        <v>181</v>
      </c>
      <c r="D732" t="s">
        <v>99</v>
      </c>
      <c r="E732" t="s">
        <v>18</v>
      </c>
      <c r="F732" t="s">
        <v>14</v>
      </c>
      <c r="G732">
        <v>3</v>
      </c>
      <c r="H732">
        <v>0.15</v>
      </c>
      <c r="I732">
        <v>484.5</v>
      </c>
      <c r="J732">
        <v>153.19999999999999</v>
      </c>
    </row>
    <row r="733" spans="1:10" x14ac:dyDescent="0.35">
      <c r="A733" t="s">
        <v>862</v>
      </c>
      <c r="B733" s="2">
        <v>46018</v>
      </c>
      <c r="C733" t="s">
        <v>20</v>
      </c>
      <c r="D733" t="s">
        <v>12</v>
      </c>
      <c r="E733" t="s">
        <v>13</v>
      </c>
      <c r="F733" t="s">
        <v>25</v>
      </c>
      <c r="G733">
        <v>1</v>
      </c>
      <c r="H733">
        <v>0.2</v>
      </c>
      <c r="I733">
        <v>28</v>
      </c>
      <c r="J733">
        <v>9.9700000000000006</v>
      </c>
    </row>
    <row r="734" spans="1:10" x14ac:dyDescent="0.35">
      <c r="A734" t="s">
        <v>863</v>
      </c>
      <c r="B734" s="2">
        <v>45835</v>
      </c>
      <c r="C734" t="s">
        <v>101</v>
      </c>
      <c r="D734" t="s">
        <v>35</v>
      </c>
      <c r="E734" t="s">
        <v>13</v>
      </c>
      <c r="F734" t="s">
        <v>50</v>
      </c>
      <c r="G734">
        <v>2</v>
      </c>
      <c r="H734">
        <v>0.2</v>
      </c>
      <c r="I734">
        <v>1360</v>
      </c>
      <c r="J734">
        <v>179.78</v>
      </c>
    </row>
    <row r="735" spans="1:10" x14ac:dyDescent="0.35">
      <c r="A735" t="s">
        <v>864</v>
      </c>
      <c r="B735" s="2">
        <v>45952</v>
      </c>
      <c r="C735" t="s">
        <v>122</v>
      </c>
      <c r="D735" t="s">
        <v>67</v>
      </c>
      <c r="E735" t="s">
        <v>13</v>
      </c>
      <c r="F735" t="s">
        <v>14</v>
      </c>
      <c r="G735">
        <v>3</v>
      </c>
      <c r="H735">
        <v>0.05</v>
      </c>
      <c r="I735">
        <v>3420</v>
      </c>
      <c r="J735">
        <v>1079.51</v>
      </c>
    </row>
    <row r="736" spans="1:10" x14ac:dyDescent="0.35">
      <c r="A736" t="s">
        <v>865</v>
      </c>
      <c r="B736" s="2">
        <v>45915</v>
      </c>
      <c r="C736" t="s">
        <v>210</v>
      </c>
      <c r="D736" t="s">
        <v>35</v>
      </c>
      <c r="E736" t="s">
        <v>13</v>
      </c>
      <c r="F736" t="s">
        <v>25</v>
      </c>
      <c r="G736">
        <v>3</v>
      </c>
      <c r="H736">
        <v>0</v>
      </c>
      <c r="I736">
        <v>2550</v>
      </c>
      <c r="J736">
        <v>471.82</v>
      </c>
    </row>
    <row r="737" spans="1:10" x14ac:dyDescent="0.35">
      <c r="A737" t="s">
        <v>866</v>
      </c>
      <c r="B737" s="2">
        <v>46013</v>
      </c>
      <c r="C737" t="s">
        <v>163</v>
      </c>
      <c r="D737" t="s">
        <v>45</v>
      </c>
      <c r="E737" t="s">
        <v>46</v>
      </c>
      <c r="F737" t="s">
        <v>25</v>
      </c>
      <c r="G737">
        <v>4</v>
      </c>
      <c r="H737">
        <v>0.2</v>
      </c>
      <c r="I737">
        <v>57.6</v>
      </c>
      <c r="J737">
        <v>16.73</v>
      </c>
    </row>
    <row r="738" spans="1:10" x14ac:dyDescent="0.35">
      <c r="A738" t="s">
        <v>867</v>
      </c>
      <c r="B738" s="2">
        <v>45892</v>
      </c>
      <c r="C738" t="s">
        <v>641</v>
      </c>
      <c r="D738" t="s">
        <v>38</v>
      </c>
      <c r="E738" t="s">
        <v>13</v>
      </c>
      <c r="F738" t="s">
        <v>14</v>
      </c>
      <c r="G738">
        <v>4</v>
      </c>
      <c r="H738">
        <v>0.2</v>
      </c>
      <c r="I738">
        <v>1024</v>
      </c>
      <c r="J738">
        <v>169.51</v>
      </c>
    </row>
    <row r="739" spans="1:10" x14ac:dyDescent="0.35">
      <c r="A739" t="s">
        <v>868</v>
      </c>
      <c r="B739" s="2">
        <v>45790</v>
      </c>
      <c r="C739" t="s">
        <v>37</v>
      </c>
      <c r="D739" t="s">
        <v>12</v>
      </c>
      <c r="E739" t="s">
        <v>13</v>
      </c>
      <c r="F739" t="s">
        <v>25</v>
      </c>
      <c r="G739">
        <v>4</v>
      </c>
      <c r="H739">
        <v>0.05</v>
      </c>
      <c r="I739">
        <v>133</v>
      </c>
      <c r="J739">
        <v>30.14</v>
      </c>
    </row>
    <row r="740" spans="1:10" x14ac:dyDescent="0.35">
      <c r="A740" t="s">
        <v>869</v>
      </c>
      <c r="B740" s="2">
        <v>45869</v>
      </c>
      <c r="C740" t="s">
        <v>113</v>
      </c>
      <c r="D740" t="s">
        <v>49</v>
      </c>
      <c r="E740" t="s">
        <v>13</v>
      </c>
      <c r="F740" t="s">
        <v>22</v>
      </c>
      <c r="G740">
        <v>5</v>
      </c>
      <c r="H740">
        <v>0.2</v>
      </c>
      <c r="I740">
        <v>280</v>
      </c>
      <c r="J740">
        <v>125.1</v>
      </c>
    </row>
    <row r="741" spans="1:10" x14ac:dyDescent="0.35">
      <c r="A741" t="s">
        <v>870</v>
      </c>
      <c r="B741" s="2">
        <v>45805</v>
      </c>
      <c r="C741" t="s">
        <v>238</v>
      </c>
      <c r="D741" t="s">
        <v>12</v>
      </c>
      <c r="E741" t="s">
        <v>13</v>
      </c>
      <c r="F741" t="s">
        <v>50</v>
      </c>
      <c r="G741">
        <v>4</v>
      </c>
      <c r="H741">
        <v>0.1</v>
      </c>
      <c r="I741">
        <v>126</v>
      </c>
      <c r="J741">
        <v>53.54</v>
      </c>
    </row>
    <row r="742" spans="1:10" x14ac:dyDescent="0.35">
      <c r="A742" t="s">
        <v>871</v>
      </c>
      <c r="B742" s="2">
        <v>45818</v>
      </c>
      <c r="C742" t="s">
        <v>288</v>
      </c>
      <c r="D742" t="s">
        <v>49</v>
      </c>
      <c r="E742" t="s">
        <v>13</v>
      </c>
      <c r="F742" t="s">
        <v>22</v>
      </c>
      <c r="G742">
        <v>2</v>
      </c>
      <c r="H742">
        <v>0.2</v>
      </c>
      <c r="I742">
        <v>112</v>
      </c>
      <c r="J742">
        <v>40.450000000000003</v>
      </c>
    </row>
    <row r="743" spans="1:10" x14ac:dyDescent="0.35">
      <c r="A743" t="s">
        <v>872</v>
      </c>
      <c r="B743" s="2">
        <v>45913</v>
      </c>
      <c r="C743" t="s">
        <v>113</v>
      </c>
      <c r="D743" t="s">
        <v>17</v>
      </c>
      <c r="E743" t="s">
        <v>18</v>
      </c>
      <c r="F743" t="s">
        <v>22</v>
      </c>
      <c r="G743">
        <v>2</v>
      </c>
      <c r="H743">
        <v>0.05</v>
      </c>
      <c r="I743">
        <v>399</v>
      </c>
      <c r="J743">
        <v>82.72</v>
      </c>
    </row>
    <row r="744" spans="1:10" x14ac:dyDescent="0.35">
      <c r="A744" t="s">
        <v>873</v>
      </c>
      <c r="B744" s="2">
        <v>45775</v>
      </c>
      <c r="C744" t="s">
        <v>387</v>
      </c>
      <c r="D744" t="s">
        <v>21</v>
      </c>
      <c r="E744" t="s">
        <v>18</v>
      </c>
      <c r="F744" t="s">
        <v>14</v>
      </c>
      <c r="G744">
        <v>2</v>
      </c>
      <c r="H744">
        <v>0.2</v>
      </c>
      <c r="I744">
        <v>88</v>
      </c>
      <c r="J744">
        <v>29.26</v>
      </c>
    </row>
    <row r="745" spans="1:10" x14ac:dyDescent="0.35">
      <c r="A745" t="s">
        <v>874</v>
      </c>
      <c r="B745" s="2">
        <v>45719</v>
      </c>
      <c r="C745" t="s">
        <v>119</v>
      </c>
      <c r="D745" t="s">
        <v>12</v>
      </c>
      <c r="E745" t="s">
        <v>13</v>
      </c>
      <c r="F745" t="s">
        <v>14</v>
      </c>
      <c r="G745">
        <v>4</v>
      </c>
      <c r="H745">
        <v>0.2</v>
      </c>
      <c r="I745">
        <v>112</v>
      </c>
      <c r="J745">
        <v>50.16</v>
      </c>
    </row>
    <row r="746" spans="1:10" x14ac:dyDescent="0.35">
      <c r="A746" t="s">
        <v>875</v>
      </c>
      <c r="B746" s="2">
        <v>45904</v>
      </c>
      <c r="C746" t="s">
        <v>219</v>
      </c>
      <c r="D746" t="s">
        <v>49</v>
      </c>
      <c r="E746" t="s">
        <v>13</v>
      </c>
      <c r="F746" t="s">
        <v>25</v>
      </c>
      <c r="G746">
        <v>5</v>
      </c>
      <c r="H746">
        <v>0.1</v>
      </c>
      <c r="I746">
        <v>315</v>
      </c>
      <c r="J746">
        <v>90.57</v>
      </c>
    </row>
    <row r="747" spans="1:10" x14ac:dyDescent="0.35">
      <c r="A747" t="s">
        <v>876</v>
      </c>
      <c r="B747" s="2">
        <v>45909</v>
      </c>
      <c r="C747" t="s">
        <v>57</v>
      </c>
      <c r="D747" t="s">
        <v>28</v>
      </c>
      <c r="E747" t="s">
        <v>18</v>
      </c>
      <c r="F747" t="s">
        <v>22</v>
      </c>
      <c r="G747">
        <v>5</v>
      </c>
      <c r="H747">
        <v>0.1</v>
      </c>
      <c r="I747">
        <v>1260</v>
      </c>
      <c r="J747">
        <v>401.56</v>
      </c>
    </row>
    <row r="748" spans="1:10" x14ac:dyDescent="0.35">
      <c r="A748" t="s">
        <v>877</v>
      </c>
      <c r="B748" s="2">
        <v>45685</v>
      </c>
      <c r="C748" t="s">
        <v>16</v>
      </c>
      <c r="D748" t="s">
        <v>55</v>
      </c>
      <c r="E748" t="s">
        <v>46</v>
      </c>
      <c r="F748" t="s">
        <v>25</v>
      </c>
      <c r="G748">
        <v>4</v>
      </c>
      <c r="H748">
        <v>0.15</v>
      </c>
      <c r="I748">
        <v>816</v>
      </c>
      <c r="J748">
        <v>114.17</v>
      </c>
    </row>
    <row r="749" spans="1:10" x14ac:dyDescent="0.35">
      <c r="A749" t="s">
        <v>878</v>
      </c>
      <c r="B749" s="2">
        <v>45859</v>
      </c>
      <c r="C749" t="s">
        <v>135</v>
      </c>
      <c r="D749" t="s">
        <v>38</v>
      </c>
      <c r="E749" t="s">
        <v>13</v>
      </c>
      <c r="F749" t="s">
        <v>50</v>
      </c>
      <c r="G749">
        <v>2</v>
      </c>
      <c r="H749">
        <v>0.15</v>
      </c>
      <c r="I749">
        <v>544</v>
      </c>
      <c r="J749">
        <v>69.5</v>
      </c>
    </row>
    <row r="750" spans="1:10" x14ac:dyDescent="0.35">
      <c r="A750" t="s">
        <v>879</v>
      </c>
      <c r="B750" s="2">
        <v>45819</v>
      </c>
      <c r="C750" t="s">
        <v>32</v>
      </c>
      <c r="D750" t="s">
        <v>17</v>
      </c>
      <c r="E750" t="s">
        <v>18</v>
      </c>
      <c r="F750" t="s">
        <v>14</v>
      </c>
      <c r="G750">
        <v>1</v>
      </c>
      <c r="H750">
        <v>0</v>
      </c>
      <c r="I750">
        <v>210</v>
      </c>
      <c r="J750">
        <v>47.78</v>
      </c>
    </row>
    <row r="751" spans="1:10" x14ac:dyDescent="0.35">
      <c r="A751" t="s">
        <v>880</v>
      </c>
      <c r="B751" s="2">
        <v>45824</v>
      </c>
      <c r="C751" t="s">
        <v>113</v>
      </c>
      <c r="D751" t="s">
        <v>49</v>
      </c>
      <c r="E751" t="s">
        <v>13</v>
      </c>
      <c r="F751" t="s">
        <v>22</v>
      </c>
      <c r="G751">
        <v>5</v>
      </c>
      <c r="H751">
        <v>0.1</v>
      </c>
      <c r="I751">
        <v>315</v>
      </c>
      <c r="J751">
        <v>122.3</v>
      </c>
    </row>
    <row r="752" spans="1:10" x14ac:dyDescent="0.35">
      <c r="A752" t="s">
        <v>881</v>
      </c>
      <c r="B752" s="2">
        <v>45795</v>
      </c>
      <c r="C752" t="s">
        <v>243</v>
      </c>
      <c r="D752" t="s">
        <v>45</v>
      </c>
      <c r="E752" t="s">
        <v>46</v>
      </c>
      <c r="F752" t="s">
        <v>50</v>
      </c>
      <c r="G752">
        <v>5</v>
      </c>
      <c r="H752">
        <v>0.1</v>
      </c>
      <c r="I752">
        <v>81</v>
      </c>
      <c r="J752">
        <v>26.67</v>
      </c>
    </row>
    <row r="753" spans="1:10" x14ac:dyDescent="0.35">
      <c r="A753" t="s">
        <v>882</v>
      </c>
      <c r="B753" s="2">
        <v>45765</v>
      </c>
      <c r="C753" t="s">
        <v>295</v>
      </c>
      <c r="D753" t="s">
        <v>99</v>
      </c>
      <c r="E753" t="s">
        <v>18</v>
      </c>
      <c r="F753" t="s">
        <v>50</v>
      </c>
      <c r="G753">
        <v>3</v>
      </c>
      <c r="H753">
        <v>0.1</v>
      </c>
      <c r="I753">
        <v>513</v>
      </c>
      <c r="J753">
        <v>86.22</v>
      </c>
    </row>
    <row r="754" spans="1:10" x14ac:dyDescent="0.35">
      <c r="A754" t="s">
        <v>883</v>
      </c>
      <c r="B754" s="2">
        <v>45750</v>
      </c>
      <c r="C754" t="s">
        <v>733</v>
      </c>
      <c r="D754" t="s">
        <v>83</v>
      </c>
      <c r="E754" t="s">
        <v>46</v>
      </c>
      <c r="F754" t="s">
        <v>25</v>
      </c>
      <c r="G754">
        <v>2</v>
      </c>
      <c r="H754">
        <v>0.2</v>
      </c>
      <c r="I754">
        <v>40</v>
      </c>
      <c r="J754">
        <v>8.94</v>
      </c>
    </row>
    <row r="755" spans="1:10" x14ac:dyDescent="0.35">
      <c r="A755" t="s">
        <v>884</v>
      </c>
      <c r="B755" s="2">
        <v>45778</v>
      </c>
      <c r="C755" t="s">
        <v>133</v>
      </c>
      <c r="D755" t="s">
        <v>55</v>
      </c>
      <c r="E755" t="s">
        <v>46</v>
      </c>
      <c r="F755" t="s">
        <v>22</v>
      </c>
      <c r="G755">
        <v>4</v>
      </c>
      <c r="H755">
        <v>0.15</v>
      </c>
      <c r="I755">
        <v>816</v>
      </c>
      <c r="J755">
        <v>314.39999999999998</v>
      </c>
    </row>
    <row r="756" spans="1:10" x14ac:dyDescent="0.35">
      <c r="A756" t="s">
        <v>885</v>
      </c>
      <c r="B756" s="2">
        <v>45900</v>
      </c>
      <c r="C756" t="s">
        <v>189</v>
      </c>
      <c r="D756" t="s">
        <v>67</v>
      </c>
      <c r="E756" t="s">
        <v>13</v>
      </c>
      <c r="F756" t="s">
        <v>25</v>
      </c>
      <c r="G756">
        <v>2</v>
      </c>
      <c r="H756">
        <v>0.15</v>
      </c>
      <c r="I756">
        <v>2040</v>
      </c>
      <c r="J756">
        <v>581.66999999999996</v>
      </c>
    </row>
    <row r="757" spans="1:10" x14ac:dyDescent="0.35">
      <c r="A757" t="s">
        <v>886</v>
      </c>
      <c r="B757" s="2">
        <v>45907</v>
      </c>
      <c r="C757" t="s">
        <v>217</v>
      </c>
      <c r="D757" t="s">
        <v>35</v>
      </c>
      <c r="E757" t="s">
        <v>13</v>
      </c>
      <c r="F757" t="s">
        <v>50</v>
      </c>
      <c r="G757">
        <v>3</v>
      </c>
      <c r="H757">
        <v>0.2</v>
      </c>
      <c r="I757">
        <v>2040</v>
      </c>
      <c r="J757">
        <v>340.06</v>
      </c>
    </row>
    <row r="758" spans="1:10" x14ac:dyDescent="0.35">
      <c r="A758" t="s">
        <v>887</v>
      </c>
      <c r="B758" s="2">
        <v>45708</v>
      </c>
      <c r="C758" t="s">
        <v>210</v>
      </c>
      <c r="D758" t="s">
        <v>17</v>
      </c>
      <c r="E758" t="s">
        <v>18</v>
      </c>
      <c r="F758" t="s">
        <v>50</v>
      </c>
      <c r="G758">
        <v>2</v>
      </c>
      <c r="H758">
        <v>0</v>
      </c>
      <c r="I758">
        <v>420</v>
      </c>
      <c r="J758">
        <v>159.13999999999999</v>
      </c>
    </row>
    <row r="759" spans="1:10" x14ac:dyDescent="0.35">
      <c r="A759" t="s">
        <v>888</v>
      </c>
      <c r="B759" s="2">
        <v>45980</v>
      </c>
      <c r="C759" t="s">
        <v>194</v>
      </c>
      <c r="D759" t="s">
        <v>12</v>
      </c>
      <c r="E759" t="s">
        <v>13</v>
      </c>
      <c r="F759" t="s">
        <v>25</v>
      </c>
      <c r="G759">
        <v>4</v>
      </c>
      <c r="H759">
        <v>0.1</v>
      </c>
      <c r="I759">
        <v>126</v>
      </c>
      <c r="J759">
        <v>45.9</v>
      </c>
    </row>
    <row r="760" spans="1:10" x14ac:dyDescent="0.35">
      <c r="A760" t="s">
        <v>889</v>
      </c>
      <c r="B760" s="2">
        <v>45834</v>
      </c>
      <c r="C760" t="s">
        <v>236</v>
      </c>
      <c r="D760" t="s">
        <v>67</v>
      </c>
      <c r="E760" t="s">
        <v>13</v>
      </c>
      <c r="F760" t="s">
        <v>22</v>
      </c>
      <c r="G760">
        <v>4</v>
      </c>
      <c r="H760">
        <v>0</v>
      </c>
      <c r="I760">
        <v>4800</v>
      </c>
      <c r="J760">
        <v>1603.87</v>
      </c>
    </row>
    <row r="761" spans="1:10" x14ac:dyDescent="0.35">
      <c r="A761" t="s">
        <v>890</v>
      </c>
      <c r="B761" s="2">
        <v>45953</v>
      </c>
      <c r="C761" t="s">
        <v>364</v>
      </c>
      <c r="D761" t="s">
        <v>83</v>
      </c>
      <c r="E761" t="s">
        <v>46</v>
      </c>
      <c r="F761" t="s">
        <v>25</v>
      </c>
      <c r="G761">
        <v>5</v>
      </c>
      <c r="H761">
        <v>0.05</v>
      </c>
      <c r="I761">
        <v>118.75</v>
      </c>
      <c r="J761">
        <v>15.06</v>
      </c>
    </row>
    <row r="762" spans="1:10" x14ac:dyDescent="0.35">
      <c r="A762" t="s">
        <v>891</v>
      </c>
      <c r="B762" s="2">
        <v>45824</v>
      </c>
      <c r="C762" t="s">
        <v>483</v>
      </c>
      <c r="D762" t="s">
        <v>38</v>
      </c>
      <c r="E762" t="s">
        <v>13</v>
      </c>
      <c r="F762" t="s">
        <v>14</v>
      </c>
      <c r="G762">
        <v>5</v>
      </c>
      <c r="H762">
        <v>0.15</v>
      </c>
      <c r="I762">
        <v>1360</v>
      </c>
      <c r="J762">
        <v>264.29000000000002</v>
      </c>
    </row>
    <row r="763" spans="1:10" x14ac:dyDescent="0.35">
      <c r="A763" t="s">
        <v>892</v>
      </c>
      <c r="B763" s="2">
        <v>45853</v>
      </c>
      <c r="C763" t="s">
        <v>154</v>
      </c>
      <c r="D763" t="s">
        <v>83</v>
      </c>
      <c r="E763" t="s">
        <v>46</v>
      </c>
      <c r="F763" t="s">
        <v>22</v>
      </c>
      <c r="G763">
        <v>3</v>
      </c>
      <c r="H763">
        <v>0.15</v>
      </c>
      <c r="I763">
        <v>63.75</v>
      </c>
      <c r="J763">
        <v>15.4</v>
      </c>
    </row>
    <row r="764" spans="1:10" x14ac:dyDescent="0.35">
      <c r="A764" t="s">
        <v>893</v>
      </c>
      <c r="B764" s="2">
        <v>45985</v>
      </c>
      <c r="C764" t="s">
        <v>128</v>
      </c>
      <c r="D764" t="s">
        <v>49</v>
      </c>
      <c r="E764" t="s">
        <v>13</v>
      </c>
      <c r="F764" t="s">
        <v>14</v>
      </c>
      <c r="G764">
        <v>4</v>
      </c>
      <c r="H764">
        <v>0.2</v>
      </c>
      <c r="I764">
        <v>224</v>
      </c>
      <c r="J764">
        <v>58.54</v>
      </c>
    </row>
    <row r="765" spans="1:10" x14ac:dyDescent="0.35">
      <c r="A765" t="s">
        <v>894</v>
      </c>
      <c r="B765" s="2">
        <v>45740</v>
      </c>
      <c r="C765" t="s">
        <v>103</v>
      </c>
      <c r="D765" t="s">
        <v>49</v>
      </c>
      <c r="E765" t="s">
        <v>13</v>
      </c>
      <c r="F765" t="s">
        <v>25</v>
      </c>
      <c r="G765">
        <v>2</v>
      </c>
      <c r="H765">
        <v>0.1</v>
      </c>
      <c r="I765">
        <v>126</v>
      </c>
      <c r="J765">
        <v>43.52</v>
      </c>
    </row>
    <row r="766" spans="1:10" x14ac:dyDescent="0.35">
      <c r="A766" t="s">
        <v>895</v>
      </c>
      <c r="B766" s="2">
        <v>45967</v>
      </c>
      <c r="C766" t="s">
        <v>387</v>
      </c>
      <c r="D766" t="s">
        <v>38</v>
      </c>
      <c r="E766" t="s">
        <v>13</v>
      </c>
      <c r="F766" t="s">
        <v>25</v>
      </c>
      <c r="G766">
        <v>4</v>
      </c>
      <c r="H766">
        <v>0.1</v>
      </c>
      <c r="I766">
        <v>1152</v>
      </c>
      <c r="J766">
        <v>180.94</v>
      </c>
    </row>
    <row r="767" spans="1:10" x14ac:dyDescent="0.35">
      <c r="A767" t="s">
        <v>896</v>
      </c>
      <c r="B767" s="2">
        <v>45958</v>
      </c>
      <c r="C767" t="s">
        <v>71</v>
      </c>
      <c r="D767" t="s">
        <v>55</v>
      </c>
      <c r="E767" t="s">
        <v>46</v>
      </c>
      <c r="F767" t="s">
        <v>22</v>
      </c>
      <c r="G767">
        <v>4</v>
      </c>
      <c r="H767">
        <v>0.15</v>
      </c>
      <c r="I767">
        <v>816</v>
      </c>
      <c r="J767">
        <v>322.14</v>
      </c>
    </row>
    <row r="768" spans="1:10" x14ac:dyDescent="0.35">
      <c r="A768" t="s">
        <v>897</v>
      </c>
      <c r="B768" s="2">
        <v>45778</v>
      </c>
      <c r="C768" t="s">
        <v>286</v>
      </c>
      <c r="D768" t="s">
        <v>38</v>
      </c>
      <c r="E768" t="s">
        <v>13</v>
      </c>
      <c r="F768" t="s">
        <v>14</v>
      </c>
      <c r="G768">
        <v>3</v>
      </c>
      <c r="H768">
        <v>0</v>
      </c>
      <c r="I768">
        <v>960</v>
      </c>
      <c r="J768">
        <v>365.29</v>
      </c>
    </row>
    <row r="769" spans="1:10" x14ac:dyDescent="0.35">
      <c r="A769" t="s">
        <v>898</v>
      </c>
      <c r="B769" s="2">
        <v>45706</v>
      </c>
      <c r="C769" t="s">
        <v>158</v>
      </c>
      <c r="D769" t="s">
        <v>12</v>
      </c>
      <c r="E769" t="s">
        <v>13</v>
      </c>
      <c r="F769" t="s">
        <v>50</v>
      </c>
      <c r="G769">
        <v>4</v>
      </c>
      <c r="H769">
        <v>0.2</v>
      </c>
      <c r="I769">
        <v>112</v>
      </c>
      <c r="J769">
        <v>48.41</v>
      </c>
    </row>
    <row r="770" spans="1:10" x14ac:dyDescent="0.35">
      <c r="A770" t="s">
        <v>899</v>
      </c>
      <c r="B770" s="2">
        <v>45926</v>
      </c>
      <c r="C770" t="s">
        <v>167</v>
      </c>
      <c r="D770" t="s">
        <v>12</v>
      </c>
      <c r="E770" t="s">
        <v>13</v>
      </c>
      <c r="F770" t="s">
        <v>50</v>
      </c>
      <c r="G770">
        <v>1</v>
      </c>
      <c r="H770">
        <v>0.1</v>
      </c>
      <c r="I770">
        <v>31.5</v>
      </c>
      <c r="J770">
        <v>7.75</v>
      </c>
    </row>
    <row r="771" spans="1:10" x14ac:dyDescent="0.35">
      <c r="A771" t="s">
        <v>900</v>
      </c>
      <c r="B771" s="2">
        <v>45816</v>
      </c>
      <c r="C771" t="s">
        <v>115</v>
      </c>
      <c r="D771" t="s">
        <v>21</v>
      </c>
      <c r="E771" t="s">
        <v>18</v>
      </c>
      <c r="F771" t="s">
        <v>22</v>
      </c>
      <c r="G771">
        <v>2</v>
      </c>
      <c r="H771">
        <v>0.1</v>
      </c>
      <c r="I771">
        <v>99</v>
      </c>
      <c r="J771">
        <v>30.07</v>
      </c>
    </row>
    <row r="772" spans="1:10" x14ac:dyDescent="0.35">
      <c r="A772" t="s">
        <v>901</v>
      </c>
      <c r="B772" s="2">
        <v>45927</v>
      </c>
      <c r="C772" t="s">
        <v>150</v>
      </c>
      <c r="D772" t="s">
        <v>28</v>
      </c>
      <c r="E772" t="s">
        <v>18</v>
      </c>
      <c r="F772" t="s">
        <v>50</v>
      </c>
      <c r="G772">
        <v>1</v>
      </c>
      <c r="H772">
        <v>0</v>
      </c>
      <c r="I772">
        <v>280</v>
      </c>
      <c r="J772">
        <v>64.69</v>
      </c>
    </row>
    <row r="773" spans="1:10" x14ac:dyDescent="0.35">
      <c r="A773" t="s">
        <v>902</v>
      </c>
      <c r="B773" s="2">
        <v>45897</v>
      </c>
      <c r="C773" t="s">
        <v>135</v>
      </c>
      <c r="D773" t="s">
        <v>55</v>
      </c>
      <c r="E773" t="s">
        <v>46</v>
      </c>
      <c r="F773" t="s">
        <v>22</v>
      </c>
      <c r="G773">
        <v>3</v>
      </c>
      <c r="H773">
        <v>0.2</v>
      </c>
      <c r="I773">
        <v>576</v>
      </c>
      <c r="J773">
        <v>174.64</v>
      </c>
    </row>
    <row r="774" spans="1:10" x14ac:dyDescent="0.35">
      <c r="A774" t="s">
        <v>903</v>
      </c>
      <c r="B774" s="2">
        <v>45960</v>
      </c>
      <c r="C774" t="s">
        <v>44</v>
      </c>
      <c r="D774" t="s">
        <v>83</v>
      </c>
      <c r="E774" t="s">
        <v>46</v>
      </c>
      <c r="F774" t="s">
        <v>25</v>
      </c>
      <c r="G774">
        <v>4</v>
      </c>
      <c r="H774">
        <v>0.2</v>
      </c>
      <c r="I774">
        <v>80</v>
      </c>
      <c r="J774">
        <v>24.52</v>
      </c>
    </row>
    <row r="775" spans="1:10" x14ac:dyDescent="0.35">
      <c r="A775" t="s">
        <v>904</v>
      </c>
      <c r="B775" s="2">
        <v>45835</v>
      </c>
      <c r="C775" t="s">
        <v>342</v>
      </c>
      <c r="D775" t="s">
        <v>45</v>
      </c>
      <c r="E775" t="s">
        <v>46</v>
      </c>
      <c r="F775" t="s">
        <v>25</v>
      </c>
      <c r="G775">
        <v>5</v>
      </c>
      <c r="H775">
        <v>0.05</v>
      </c>
      <c r="I775">
        <v>85.5</v>
      </c>
      <c r="J775">
        <v>15.77</v>
      </c>
    </row>
    <row r="776" spans="1:10" x14ac:dyDescent="0.35">
      <c r="A776" t="s">
        <v>905</v>
      </c>
      <c r="B776" s="2">
        <v>45845</v>
      </c>
      <c r="C776" t="s">
        <v>82</v>
      </c>
      <c r="D776" t="s">
        <v>99</v>
      </c>
      <c r="E776" t="s">
        <v>18</v>
      </c>
      <c r="F776" t="s">
        <v>22</v>
      </c>
      <c r="G776">
        <v>3</v>
      </c>
      <c r="H776">
        <v>0.05</v>
      </c>
      <c r="I776">
        <v>541.5</v>
      </c>
      <c r="J776">
        <v>189.43</v>
      </c>
    </row>
    <row r="777" spans="1:10" x14ac:dyDescent="0.35">
      <c r="A777" t="s">
        <v>906</v>
      </c>
      <c r="B777" s="2">
        <v>45834</v>
      </c>
      <c r="C777" t="s">
        <v>206</v>
      </c>
      <c r="D777" t="s">
        <v>35</v>
      </c>
      <c r="E777" t="s">
        <v>13</v>
      </c>
      <c r="F777" t="s">
        <v>50</v>
      </c>
      <c r="G777">
        <v>4</v>
      </c>
      <c r="H777">
        <v>0.2</v>
      </c>
      <c r="I777">
        <v>2720</v>
      </c>
      <c r="J777">
        <v>1216.53</v>
      </c>
    </row>
    <row r="778" spans="1:10" x14ac:dyDescent="0.35">
      <c r="A778" t="s">
        <v>907</v>
      </c>
      <c r="B778" s="2">
        <v>45811</v>
      </c>
      <c r="C778" t="s">
        <v>82</v>
      </c>
      <c r="D778" t="s">
        <v>67</v>
      </c>
      <c r="E778" t="s">
        <v>13</v>
      </c>
      <c r="F778" t="s">
        <v>25</v>
      </c>
      <c r="G778">
        <v>4</v>
      </c>
      <c r="H778">
        <v>0.1</v>
      </c>
      <c r="I778">
        <v>4320</v>
      </c>
      <c r="J778">
        <v>1092.9100000000001</v>
      </c>
    </row>
    <row r="779" spans="1:10" x14ac:dyDescent="0.35">
      <c r="A779" t="s">
        <v>908</v>
      </c>
      <c r="B779" s="2">
        <v>45754</v>
      </c>
      <c r="C779" t="s">
        <v>273</v>
      </c>
      <c r="D779" t="s">
        <v>99</v>
      </c>
      <c r="E779" t="s">
        <v>18</v>
      </c>
      <c r="F779" t="s">
        <v>50</v>
      </c>
      <c r="G779">
        <v>5</v>
      </c>
      <c r="H779">
        <v>0.15</v>
      </c>
      <c r="I779">
        <v>807.5</v>
      </c>
      <c r="J779">
        <v>258.18</v>
      </c>
    </row>
    <row r="780" spans="1:10" x14ac:dyDescent="0.35">
      <c r="A780" t="s">
        <v>909</v>
      </c>
      <c r="B780" s="2">
        <v>45851</v>
      </c>
      <c r="C780" t="s">
        <v>109</v>
      </c>
      <c r="D780" t="s">
        <v>21</v>
      </c>
      <c r="E780" t="s">
        <v>18</v>
      </c>
      <c r="F780" t="s">
        <v>25</v>
      </c>
      <c r="G780">
        <v>3</v>
      </c>
      <c r="H780">
        <v>0</v>
      </c>
      <c r="I780">
        <v>165</v>
      </c>
      <c r="J780">
        <v>51.26</v>
      </c>
    </row>
    <row r="781" spans="1:10" x14ac:dyDescent="0.35">
      <c r="A781" t="s">
        <v>910</v>
      </c>
      <c r="B781" s="2">
        <v>45803</v>
      </c>
      <c r="C781" t="s">
        <v>80</v>
      </c>
      <c r="D781" t="s">
        <v>38</v>
      </c>
      <c r="E781" t="s">
        <v>13</v>
      </c>
      <c r="F781" t="s">
        <v>22</v>
      </c>
      <c r="G781">
        <v>5</v>
      </c>
      <c r="H781">
        <v>0.1</v>
      </c>
      <c r="I781">
        <v>1440</v>
      </c>
      <c r="J781">
        <v>451.79</v>
      </c>
    </row>
    <row r="782" spans="1:10" x14ac:dyDescent="0.35">
      <c r="A782" t="s">
        <v>911</v>
      </c>
      <c r="B782" s="2">
        <v>45727</v>
      </c>
      <c r="C782" t="s">
        <v>231</v>
      </c>
      <c r="D782" t="s">
        <v>35</v>
      </c>
      <c r="E782" t="s">
        <v>13</v>
      </c>
      <c r="F782" t="s">
        <v>50</v>
      </c>
      <c r="G782">
        <v>1</v>
      </c>
      <c r="H782">
        <v>0.15</v>
      </c>
      <c r="I782">
        <v>722.5</v>
      </c>
      <c r="J782">
        <v>177.84</v>
      </c>
    </row>
    <row r="783" spans="1:10" x14ac:dyDescent="0.35">
      <c r="A783" t="s">
        <v>912</v>
      </c>
      <c r="B783" s="2">
        <v>45754</v>
      </c>
      <c r="C783" t="s">
        <v>42</v>
      </c>
      <c r="D783" t="s">
        <v>49</v>
      </c>
      <c r="E783" t="s">
        <v>13</v>
      </c>
      <c r="F783" t="s">
        <v>14</v>
      </c>
      <c r="G783">
        <v>1</v>
      </c>
      <c r="H783">
        <v>0.05</v>
      </c>
      <c r="I783">
        <v>66.5</v>
      </c>
      <c r="J783">
        <v>28.84</v>
      </c>
    </row>
    <row r="784" spans="1:10" x14ac:dyDescent="0.35">
      <c r="A784" t="s">
        <v>913</v>
      </c>
      <c r="B784" s="2">
        <v>45753</v>
      </c>
      <c r="C784" t="s">
        <v>342</v>
      </c>
      <c r="D784" t="s">
        <v>12</v>
      </c>
      <c r="E784" t="s">
        <v>13</v>
      </c>
      <c r="F784" t="s">
        <v>14</v>
      </c>
      <c r="G784">
        <v>3</v>
      </c>
      <c r="H784">
        <v>0.1</v>
      </c>
      <c r="I784">
        <v>94.5</v>
      </c>
      <c r="J784">
        <v>38.630000000000003</v>
      </c>
    </row>
    <row r="785" spans="1:10" x14ac:dyDescent="0.35">
      <c r="A785" t="s">
        <v>914</v>
      </c>
      <c r="B785" s="2">
        <v>45777</v>
      </c>
      <c r="C785" t="s">
        <v>91</v>
      </c>
      <c r="D785" t="s">
        <v>12</v>
      </c>
      <c r="E785" t="s">
        <v>13</v>
      </c>
      <c r="F785" t="s">
        <v>50</v>
      </c>
      <c r="G785">
        <v>2</v>
      </c>
      <c r="H785">
        <v>0</v>
      </c>
      <c r="I785">
        <v>70</v>
      </c>
      <c r="J785">
        <v>20.100000000000001</v>
      </c>
    </row>
    <row r="786" spans="1:10" x14ac:dyDescent="0.35">
      <c r="A786" t="s">
        <v>915</v>
      </c>
      <c r="B786" s="2">
        <v>45817</v>
      </c>
      <c r="C786" t="s">
        <v>16</v>
      </c>
      <c r="D786" t="s">
        <v>45</v>
      </c>
      <c r="E786" t="s">
        <v>46</v>
      </c>
      <c r="F786" t="s">
        <v>25</v>
      </c>
      <c r="G786">
        <v>3</v>
      </c>
      <c r="H786">
        <v>0.15</v>
      </c>
      <c r="I786">
        <v>45.9</v>
      </c>
      <c r="J786">
        <v>10.1</v>
      </c>
    </row>
    <row r="787" spans="1:10" x14ac:dyDescent="0.35">
      <c r="A787" t="s">
        <v>916</v>
      </c>
      <c r="B787" s="2">
        <v>45699</v>
      </c>
      <c r="C787" t="s">
        <v>128</v>
      </c>
      <c r="D787" t="s">
        <v>28</v>
      </c>
      <c r="E787" t="s">
        <v>18</v>
      </c>
      <c r="F787" t="s">
        <v>50</v>
      </c>
      <c r="G787">
        <v>1</v>
      </c>
      <c r="H787">
        <v>0.1</v>
      </c>
      <c r="I787">
        <v>252</v>
      </c>
      <c r="J787">
        <v>48.9</v>
      </c>
    </row>
    <row r="788" spans="1:10" x14ac:dyDescent="0.35">
      <c r="A788" t="s">
        <v>917</v>
      </c>
      <c r="B788" s="2">
        <v>45750</v>
      </c>
      <c r="C788" t="s">
        <v>404</v>
      </c>
      <c r="D788" t="s">
        <v>21</v>
      </c>
      <c r="E788" t="s">
        <v>18</v>
      </c>
      <c r="F788" t="s">
        <v>22</v>
      </c>
      <c r="G788">
        <v>3</v>
      </c>
      <c r="H788">
        <v>0.15</v>
      </c>
      <c r="I788">
        <v>140.25</v>
      </c>
      <c r="J788">
        <v>24.78</v>
      </c>
    </row>
    <row r="789" spans="1:10" x14ac:dyDescent="0.35">
      <c r="A789" t="s">
        <v>918</v>
      </c>
      <c r="B789" s="2">
        <v>45855</v>
      </c>
      <c r="C789" t="s">
        <v>133</v>
      </c>
      <c r="D789" t="s">
        <v>45</v>
      </c>
      <c r="E789" t="s">
        <v>46</v>
      </c>
      <c r="F789" t="s">
        <v>14</v>
      </c>
      <c r="G789">
        <v>2</v>
      </c>
      <c r="H789">
        <v>0</v>
      </c>
      <c r="I789">
        <v>36</v>
      </c>
      <c r="J789">
        <v>13.83</v>
      </c>
    </row>
    <row r="790" spans="1:10" x14ac:dyDescent="0.35">
      <c r="A790" t="s">
        <v>919</v>
      </c>
      <c r="B790" s="2">
        <v>45924</v>
      </c>
      <c r="C790" t="s">
        <v>187</v>
      </c>
      <c r="D790" t="s">
        <v>38</v>
      </c>
      <c r="E790" t="s">
        <v>13</v>
      </c>
      <c r="F790" t="s">
        <v>25</v>
      </c>
      <c r="G790">
        <v>2</v>
      </c>
      <c r="H790">
        <v>0.15</v>
      </c>
      <c r="I790">
        <v>544</v>
      </c>
      <c r="J790">
        <v>174.94</v>
      </c>
    </row>
    <row r="791" spans="1:10" x14ac:dyDescent="0.35">
      <c r="A791" t="s">
        <v>920</v>
      </c>
      <c r="B791" s="2">
        <v>45739</v>
      </c>
      <c r="C791" t="s">
        <v>210</v>
      </c>
      <c r="D791" t="s">
        <v>38</v>
      </c>
      <c r="E791" t="s">
        <v>13</v>
      </c>
      <c r="F791" t="s">
        <v>50</v>
      </c>
      <c r="G791">
        <v>1</v>
      </c>
      <c r="H791">
        <v>0.2</v>
      </c>
      <c r="I791">
        <v>256</v>
      </c>
      <c r="J791">
        <v>71.19</v>
      </c>
    </row>
    <row r="792" spans="1:10" x14ac:dyDescent="0.35">
      <c r="A792" t="s">
        <v>921</v>
      </c>
      <c r="B792" s="2">
        <v>45984</v>
      </c>
      <c r="C792" t="s">
        <v>78</v>
      </c>
      <c r="D792" t="s">
        <v>35</v>
      </c>
      <c r="E792" t="s">
        <v>13</v>
      </c>
      <c r="F792" t="s">
        <v>22</v>
      </c>
      <c r="G792">
        <v>2</v>
      </c>
      <c r="H792">
        <v>0.1</v>
      </c>
      <c r="I792">
        <v>1530</v>
      </c>
      <c r="J792">
        <v>240.39</v>
      </c>
    </row>
    <row r="793" spans="1:10" x14ac:dyDescent="0.35">
      <c r="A793" t="s">
        <v>922</v>
      </c>
      <c r="B793" s="2">
        <v>45715</v>
      </c>
      <c r="C793" t="s">
        <v>295</v>
      </c>
      <c r="D793" t="s">
        <v>21</v>
      </c>
      <c r="E793" t="s">
        <v>18</v>
      </c>
      <c r="F793" t="s">
        <v>14</v>
      </c>
      <c r="G793">
        <v>4</v>
      </c>
      <c r="H793">
        <v>0.1</v>
      </c>
      <c r="I793">
        <v>198</v>
      </c>
      <c r="J793">
        <v>88.12</v>
      </c>
    </row>
    <row r="794" spans="1:10" x14ac:dyDescent="0.35">
      <c r="A794" t="s">
        <v>923</v>
      </c>
      <c r="B794" s="2">
        <v>45860</v>
      </c>
      <c r="C794" t="s">
        <v>515</v>
      </c>
      <c r="D794" t="s">
        <v>21</v>
      </c>
      <c r="E794" t="s">
        <v>18</v>
      </c>
      <c r="F794" t="s">
        <v>50</v>
      </c>
      <c r="G794">
        <v>1</v>
      </c>
      <c r="H794">
        <v>0</v>
      </c>
      <c r="I794">
        <v>55</v>
      </c>
      <c r="J794">
        <v>14.2</v>
      </c>
    </row>
    <row r="795" spans="1:10" x14ac:dyDescent="0.35">
      <c r="A795" t="s">
        <v>924</v>
      </c>
      <c r="B795" s="2">
        <v>46010</v>
      </c>
      <c r="C795" t="s">
        <v>163</v>
      </c>
      <c r="D795" t="s">
        <v>83</v>
      </c>
      <c r="E795" t="s">
        <v>46</v>
      </c>
      <c r="F795" t="s">
        <v>22</v>
      </c>
      <c r="G795">
        <v>2</v>
      </c>
      <c r="H795">
        <v>0.1</v>
      </c>
      <c r="I795">
        <v>45</v>
      </c>
      <c r="J795">
        <v>8.8000000000000007</v>
      </c>
    </row>
    <row r="796" spans="1:10" x14ac:dyDescent="0.35">
      <c r="A796" t="s">
        <v>925</v>
      </c>
      <c r="B796" s="2">
        <v>45913</v>
      </c>
      <c r="C796" t="s">
        <v>213</v>
      </c>
      <c r="D796" t="s">
        <v>12</v>
      </c>
      <c r="E796" t="s">
        <v>13</v>
      </c>
      <c r="F796" t="s">
        <v>14</v>
      </c>
      <c r="G796">
        <v>5</v>
      </c>
      <c r="H796">
        <v>0.1</v>
      </c>
      <c r="I796">
        <v>157.5</v>
      </c>
      <c r="J796">
        <v>22.49</v>
      </c>
    </row>
    <row r="797" spans="1:10" x14ac:dyDescent="0.35">
      <c r="A797" t="s">
        <v>926</v>
      </c>
      <c r="B797" s="2">
        <v>45688</v>
      </c>
      <c r="C797" t="s">
        <v>115</v>
      </c>
      <c r="D797" t="s">
        <v>49</v>
      </c>
      <c r="E797" t="s">
        <v>13</v>
      </c>
      <c r="F797" t="s">
        <v>50</v>
      </c>
      <c r="G797">
        <v>2</v>
      </c>
      <c r="H797">
        <v>0.2</v>
      </c>
      <c r="I797">
        <v>112</v>
      </c>
      <c r="J797">
        <v>21.15</v>
      </c>
    </row>
    <row r="798" spans="1:10" x14ac:dyDescent="0.35">
      <c r="A798" t="s">
        <v>927</v>
      </c>
      <c r="B798" s="2">
        <v>45777</v>
      </c>
      <c r="C798" t="s">
        <v>342</v>
      </c>
      <c r="D798" t="s">
        <v>49</v>
      </c>
      <c r="E798" t="s">
        <v>13</v>
      </c>
      <c r="F798" t="s">
        <v>22</v>
      </c>
      <c r="G798">
        <v>5</v>
      </c>
      <c r="H798">
        <v>0.1</v>
      </c>
      <c r="I798">
        <v>315</v>
      </c>
      <c r="J798">
        <v>58.02</v>
      </c>
    </row>
    <row r="799" spans="1:10" x14ac:dyDescent="0.35">
      <c r="A799" t="s">
        <v>928</v>
      </c>
      <c r="B799" s="2">
        <v>45668</v>
      </c>
      <c r="C799" t="s">
        <v>210</v>
      </c>
      <c r="D799" t="s">
        <v>17</v>
      </c>
      <c r="E799" t="s">
        <v>18</v>
      </c>
      <c r="F799" t="s">
        <v>14</v>
      </c>
      <c r="G799">
        <v>4</v>
      </c>
      <c r="H799">
        <v>0.1</v>
      </c>
      <c r="I799">
        <v>756</v>
      </c>
      <c r="J799">
        <v>159.47999999999999</v>
      </c>
    </row>
    <row r="800" spans="1:10" x14ac:dyDescent="0.35">
      <c r="A800" t="s">
        <v>929</v>
      </c>
      <c r="B800" s="2">
        <v>45906</v>
      </c>
      <c r="C800" t="s">
        <v>135</v>
      </c>
      <c r="D800" t="s">
        <v>17</v>
      </c>
      <c r="E800" t="s">
        <v>18</v>
      </c>
      <c r="F800" t="s">
        <v>50</v>
      </c>
      <c r="G800">
        <v>4</v>
      </c>
      <c r="H800">
        <v>0.2</v>
      </c>
      <c r="I800">
        <v>672</v>
      </c>
      <c r="J800">
        <v>237.04</v>
      </c>
    </row>
    <row r="801" spans="1:10" x14ac:dyDescent="0.35">
      <c r="A801" t="s">
        <v>930</v>
      </c>
      <c r="B801" s="2">
        <v>45755</v>
      </c>
      <c r="C801" t="s">
        <v>198</v>
      </c>
      <c r="D801" t="s">
        <v>83</v>
      </c>
      <c r="E801" t="s">
        <v>46</v>
      </c>
      <c r="F801" t="s">
        <v>50</v>
      </c>
      <c r="G801">
        <v>2</v>
      </c>
      <c r="H801">
        <v>0.2</v>
      </c>
      <c r="I801">
        <v>40</v>
      </c>
      <c r="J801">
        <v>13.41</v>
      </c>
    </row>
    <row r="802" spans="1:10" x14ac:dyDescent="0.35">
      <c r="A802" t="s">
        <v>931</v>
      </c>
      <c r="B802" s="2">
        <v>45798</v>
      </c>
      <c r="C802" t="s">
        <v>251</v>
      </c>
      <c r="D802" t="s">
        <v>83</v>
      </c>
      <c r="E802" t="s">
        <v>46</v>
      </c>
      <c r="F802" t="s">
        <v>50</v>
      </c>
      <c r="G802">
        <v>5</v>
      </c>
      <c r="H802">
        <v>0.05</v>
      </c>
      <c r="I802">
        <v>118.75</v>
      </c>
      <c r="J802">
        <v>50.74</v>
      </c>
    </row>
    <row r="803" spans="1:10" x14ac:dyDescent="0.35">
      <c r="A803" t="s">
        <v>932</v>
      </c>
      <c r="B803" s="2">
        <v>45809</v>
      </c>
      <c r="C803" t="s">
        <v>387</v>
      </c>
      <c r="D803" t="s">
        <v>35</v>
      </c>
      <c r="E803" t="s">
        <v>13</v>
      </c>
      <c r="F803" t="s">
        <v>50</v>
      </c>
      <c r="G803">
        <v>5</v>
      </c>
      <c r="H803">
        <v>0.1</v>
      </c>
      <c r="I803">
        <v>3825</v>
      </c>
      <c r="J803">
        <v>1148.0899999999999</v>
      </c>
    </row>
    <row r="804" spans="1:10" x14ac:dyDescent="0.35">
      <c r="A804" t="s">
        <v>933</v>
      </c>
      <c r="B804" s="2">
        <v>45752</v>
      </c>
      <c r="C804" t="s">
        <v>109</v>
      </c>
      <c r="D804" t="s">
        <v>67</v>
      </c>
      <c r="E804" t="s">
        <v>13</v>
      </c>
      <c r="F804" t="s">
        <v>25</v>
      </c>
      <c r="G804">
        <v>5</v>
      </c>
      <c r="H804">
        <v>0.1</v>
      </c>
      <c r="I804">
        <v>5400</v>
      </c>
      <c r="J804">
        <v>1047.1400000000001</v>
      </c>
    </row>
    <row r="805" spans="1:10" x14ac:dyDescent="0.35">
      <c r="A805" t="s">
        <v>934</v>
      </c>
      <c r="B805" s="2">
        <v>45690</v>
      </c>
      <c r="C805" t="s">
        <v>278</v>
      </c>
      <c r="D805" t="s">
        <v>38</v>
      </c>
      <c r="E805" t="s">
        <v>13</v>
      </c>
      <c r="F805" t="s">
        <v>50</v>
      </c>
      <c r="G805">
        <v>5</v>
      </c>
      <c r="H805">
        <v>0.15</v>
      </c>
      <c r="I805">
        <v>1360</v>
      </c>
      <c r="J805">
        <v>526.79</v>
      </c>
    </row>
    <row r="806" spans="1:10" x14ac:dyDescent="0.35">
      <c r="A806" t="s">
        <v>935</v>
      </c>
      <c r="B806" s="2">
        <v>45940</v>
      </c>
      <c r="C806" t="s">
        <v>192</v>
      </c>
      <c r="D806" t="s">
        <v>28</v>
      </c>
      <c r="E806" t="s">
        <v>18</v>
      </c>
      <c r="F806" t="s">
        <v>25</v>
      </c>
      <c r="G806">
        <v>5</v>
      </c>
      <c r="H806">
        <v>0.1</v>
      </c>
      <c r="I806">
        <v>1260</v>
      </c>
      <c r="J806">
        <v>432.86</v>
      </c>
    </row>
    <row r="807" spans="1:10" x14ac:dyDescent="0.35">
      <c r="A807" t="s">
        <v>936</v>
      </c>
      <c r="B807" s="2">
        <v>45714</v>
      </c>
      <c r="C807" t="s">
        <v>115</v>
      </c>
      <c r="D807" t="s">
        <v>12</v>
      </c>
      <c r="E807" t="s">
        <v>13</v>
      </c>
      <c r="F807" t="s">
        <v>22</v>
      </c>
      <c r="G807">
        <v>5</v>
      </c>
      <c r="H807">
        <v>0</v>
      </c>
      <c r="I807">
        <v>175</v>
      </c>
      <c r="J807">
        <v>76.22</v>
      </c>
    </row>
    <row r="808" spans="1:10" x14ac:dyDescent="0.35">
      <c r="A808" t="s">
        <v>937</v>
      </c>
      <c r="B808" s="2">
        <v>45674</v>
      </c>
      <c r="C808" t="s">
        <v>16</v>
      </c>
      <c r="D808" t="s">
        <v>21</v>
      </c>
      <c r="E808" t="s">
        <v>18</v>
      </c>
      <c r="F808" t="s">
        <v>50</v>
      </c>
      <c r="G808">
        <v>1</v>
      </c>
      <c r="H808">
        <v>0.15</v>
      </c>
      <c r="I808">
        <v>46.75</v>
      </c>
      <c r="J808">
        <v>18.079999999999998</v>
      </c>
    </row>
    <row r="809" spans="1:10" x14ac:dyDescent="0.35">
      <c r="A809" t="s">
        <v>938</v>
      </c>
      <c r="B809" s="2">
        <v>45994</v>
      </c>
      <c r="C809" t="s">
        <v>210</v>
      </c>
      <c r="D809" t="s">
        <v>45</v>
      </c>
      <c r="E809" t="s">
        <v>46</v>
      </c>
      <c r="F809" t="s">
        <v>14</v>
      </c>
      <c r="G809">
        <v>5</v>
      </c>
      <c r="H809">
        <v>0.2</v>
      </c>
      <c r="I809">
        <v>72</v>
      </c>
      <c r="J809">
        <v>15.74</v>
      </c>
    </row>
    <row r="810" spans="1:10" x14ac:dyDescent="0.35">
      <c r="A810" t="s">
        <v>939</v>
      </c>
      <c r="B810" s="2">
        <v>45845</v>
      </c>
      <c r="C810" t="s">
        <v>124</v>
      </c>
      <c r="D810" t="s">
        <v>21</v>
      </c>
      <c r="E810" t="s">
        <v>18</v>
      </c>
      <c r="F810" t="s">
        <v>50</v>
      </c>
      <c r="G810">
        <v>5</v>
      </c>
      <c r="H810">
        <v>0</v>
      </c>
      <c r="I810">
        <v>275</v>
      </c>
      <c r="J810">
        <v>122.56</v>
      </c>
    </row>
    <row r="811" spans="1:10" x14ac:dyDescent="0.35">
      <c r="A811" t="s">
        <v>940</v>
      </c>
      <c r="B811" s="2">
        <v>45698</v>
      </c>
      <c r="C811" t="s">
        <v>178</v>
      </c>
      <c r="D811" t="s">
        <v>45</v>
      </c>
      <c r="E811" t="s">
        <v>46</v>
      </c>
      <c r="F811" t="s">
        <v>25</v>
      </c>
      <c r="G811">
        <v>1</v>
      </c>
      <c r="H811">
        <v>0.1</v>
      </c>
      <c r="I811">
        <v>16.2</v>
      </c>
      <c r="J811">
        <v>4.3099999999999996</v>
      </c>
    </row>
    <row r="812" spans="1:10" x14ac:dyDescent="0.35">
      <c r="A812" t="s">
        <v>941</v>
      </c>
      <c r="B812" s="2">
        <v>46020</v>
      </c>
      <c r="C812" t="s">
        <v>198</v>
      </c>
      <c r="D812" t="s">
        <v>67</v>
      </c>
      <c r="E812" t="s">
        <v>13</v>
      </c>
      <c r="F812" t="s">
        <v>14</v>
      </c>
      <c r="G812">
        <v>5</v>
      </c>
      <c r="H812">
        <v>0.1</v>
      </c>
      <c r="I812">
        <v>5400</v>
      </c>
      <c r="J812">
        <v>1487.28</v>
      </c>
    </row>
    <row r="813" spans="1:10" x14ac:dyDescent="0.35">
      <c r="A813" t="s">
        <v>942</v>
      </c>
      <c r="B813" s="2">
        <v>45813</v>
      </c>
      <c r="C813" t="s">
        <v>204</v>
      </c>
      <c r="D813" t="s">
        <v>12</v>
      </c>
      <c r="E813" t="s">
        <v>13</v>
      </c>
      <c r="F813" t="s">
        <v>22</v>
      </c>
      <c r="G813">
        <v>2</v>
      </c>
      <c r="H813">
        <v>0.2</v>
      </c>
      <c r="I813">
        <v>56</v>
      </c>
      <c r="J813">
        <v>23.41</v>
      </c>
    </row>
    <row r="814" spans="1:10" x14ac:dyDescent="0.35">
      <c r="A814" t="s">
        <v>943</v>
      </c>
      <c r="B814" s="2">
        <v>45930</v>
      </c>
      <c r="C814" t="s">
        <v>163</v>
      </c>
      <c r="D814" t="s">
        <v>99</v>
      </c>
      <c r="E814" t="s">
        <v>18</v>
      </c>
      <c r="F814" t="s">
        <v>22</v>
      </c>
      <c r="G814">
        <v>2</v>
      </c>
      <c r="H814">
        <v>0.05</v>
      </c>
      <c r="I814">
        <v>361</v>
      </c>
      <c r="J814">
        <v>99.76</v>
      </c>
    </row>
    <row r="815" spans="1:10" x14ac:dyDescent="0.35">
      <c r="A815" t="s">
        <v>944</v>
      </c>
      <c r="B815" s="2">
        <v>45943</v>
      </c>
      <c r="C815" t="s">
        <v>158</v>
      </c>
      <c r="D815" t="s">
        <v>17</v>
      </c>
      <c r="E815" t="s">
        <v>18</v>
      </c>
      <c r="F815" t="s">
        <v>25</v>
      </c>
      <c r="G815">
        <v>5</v>
      </c>
      <c r="H815">
        <v>0.15</v>
      </c>
      <c r="I815">
        <v>892.5</v>
      </c>
      <c r="J815">
        <v>181.88</v>
      </c>
    </row>
    <row r="816" spans="1:10" x14ac:dyDescent="0.35">
      <c r="A816" t="s">
        <v>945</v>
      </c>
      <c r="B816" s="2">
        <v>46003</v>
      </c>
      <c r="C816" t="s">
        <v>269</v>
      </c>
      <c r="D816" t="s">
        <v>45</v>
      </c>
      <c r="E816" t="s">
        <v>46</v>
      </c>
      <c r="F816" t="s">
        <v>50</v>
      </c>
      <c r="G816">
        <v>4</v>
      </c>
      <c r="H816">
        <v>0</v>
      </c>
      <c r="I816">
        <v>72</v>
      </c>
      <c r="J816">
        <v>28.44</v>
      </c>
    </row>
    <row r="817" spans="1:10" x14ac:dyDescent="0.35">
      <c r="A817" t="s">
        <v>946</v>
      </c>
      <c r="B817" s="2">
        <v>45916</v>
      </c>
      <c r="C817" t="s">
        <v>342</v>
      </c>
      <c r="D817" t="s">
        <v>49</v>
      </c>
      <c r="E817" t="s">
        <v>13</v>
      </c>
      <c r="F817" t="s">
        <v>25</v>
      </c>
      <c r="G817">
        <v>2</v>
      </c>
      <c r="H817">
        <v>0.2</v>
      </c>
      <c r="I817">
        <v>112</v>
      </c>
      <c r="J817">
        <v>13.5</v>
      </c>
    </row>
    <row r="818" spans="1:10" x14ac:dyDescent="0.35">
      <c r="A818" t="s">
        <v>947</v>
      </c>
      <c r="B818" s="2">
        <v>45819</v>
      </c>
      <c r="C818" t="s">
        <v>44</v>
      </c>
      <c r="D818" t="s">
        <v>55</v>
      </c>
      <c r="E818" t="s">
        <v>46</v>
      </c>
      <c r="F818" t="s">
        <v>50</v>
      </c>
      <c r="G818">
        <v>3</v>
      </c>
      <c r="H818">
        <v>0.1</v>
      </c>
      <c r="I818">
        <v>648</v>
      </c>
      <c r="J818">
        <v>203.42</v>
      </c>
    </row>
    <row r="819" spans="1:10" x14ac:dyDescent="0.35">
      <c r="A819" t="s">
        <v>948</v>
      </c>
      <c r="B819" s="2">
        <v>45823</v>
      </c>
      <c r="C819" t="s">
        <v>32</v>
      </c>
      <c r="D819" t="s">
        <v>83</v>
      </c>
      <c r="E819" t="s">
        <v>46</v>
      </c>
      <c r="F819" t="s">
        <v>25</v>
      </c>
      <c r="G819">
        <v>2</v>
      </c>
      <c r="H819">
        <v>0.2</v>
      </c>
      <c r="I819">
        <v>40</v>
      </c>
      <c r="J819">
        <v>10.8</v>
      </c>
    </row>
    <row r="820" spans="1:10" x14ac:dyDescent="0.35">
      <c r="A820" t="s">
        <v>949</v>
      </c>
      <c r="B820" s="2">
        <v>45842</v>
      </c>
      <c r="C820" t="s">
        <v>16</v>
      </c>
      <c r="D820" t="s">
        <v>45</v>
      </c>
      <c r="E820" t="s">
        <v>46</v>
      </c>
      <c r="F820" t="s">
        <v>25</v>
      </c>
      <c r="G820">
        <v>4</v>
      </c>
      <c r="H820">
        <v>0.15</v>
      </c>
      <c r="I820">
        <v>61.2</v>
      </c>
      <c r="J820">
        <v>27.54</v>
      </c>
    </row>
    <row r="821" spans="1:10" x14ac:dyDescent="0.35">
      <c r="A821" t="s">
        <v>950</v>
      </c>
      <c r="B821" s="2">
        <v>45963</v>
      </c>
      <c r="C821" t="s">
        <v>215</v>
      </c>
      <c r="D821" t="s">
        <v>67</v>
      </c>
      <c r="E821" t="s">
        <v>13</v>
      </c>
      <c r="F821" t="s">
        <v>14</v>
      </c>
      <c r="G821">
        <v>5</v>
      </c>
      <c r="H821">
        <v>0.05</v>
      </c>
      <c r="I821">
        <v>5700</v>
      </c>
      <c r="J821">
        <v>696.39</v>
      </c>
    </row>
    <row r="822" spans="1:10" x14ac:dyDescent="0.35">
      <c r="A822" t="s">
        <v>951</v>
      </c>
      <c r="B822" s="2">
        <v>45811</v>
      </c>
      <c r="C822" t="s">
        <v>515</v>
      </c>
      <c r="D822" t="s">
        <v>21</v>
      </c>
      <c r="E822" t="s">
        <v>18</v>
      </c>
      <c r="F822" t="s">
        <v>25</v>
      </c>
      <c r="G822">
        <v>2</v>
      </c>
      <c r="H822">
        <v>0.1</v>
      </c>
      <c r="I822">
        <v>99</v>
      </c>
      <c r="J822">
        <v>43.84</v>
      </c>
    </row>
    <row r="823" spans="1:10" x14ac:dyDescent="0.35">
      <c r="A823" t="s">
        <v>952</v>
      </c>
      <c r="B823" s="2">
        <v>45941</v>
      </c>
      <c r="C823" t="s">
        <v>251</v>
      </c>
      <c r="D823" t="s">
        <v>55</v>
      </c>
      <c r="E823" t="s">
        <v>46</v>
      </c>
      <c r="F823" t="s">
        <v>14</v>
      </c>
      <c r="G823">
        <v>5</v>
      </c>
      <c r="H823">
        <v>0.2</v>
      </c>
      <c r="I823">
        <v>960</v>
      </c>
      <c r="J823">
        <v>138.66999999999999</v>
      </c>
    </row>
    <row r="824" spans="1:10" x14ac:dyDescent="0.35">
      <c r="A824" t="s">
        <v>953</v>
      </c>
      <c r="B824" s="2">
        <v>45677</v>
      </c>
      <c r="C824" t="s">
        <v>194</v>
      </c>
      <c r="D824" t="s">
        <v>45</v>
      </c>
      <c r="E824" t="s">
        <v>46</v>
      </c>
      <c r="F824" t="s">
        <v>22</v>
      </c>
      <c r="G824">
        <v>3</v>
      </c>
      <c r="H824">
        <v>0.05</v>
      </c>
      <c r="I824">
        <v>51.3</v>
      </c>
      <c r="J824">
        <v>20.74</v>
      </c>
    </row>
    <row r="825" spans="1:10" x14ac:dyDescent="0.35">
      <c r="A825" t="s">
        <v>954</v>
      </c>
      <c r="B825" s="2">
        <v>45777</v>
      </c>
      <c r="C825" t="s">
        <v>73</v>
      </c>
      <c r="D825" t="s">
        <v>35</v>
      </c>
      <c r="E825" t="s">
        <v>13</v>
      </c>
      <c r="F825" t="s">
        <v>22</v>
      </c>
      <c r="G825">
        <v>3</v>
      </c>
      <c r="H825">
        <v>0</v>
      </c>
      <c r="I825">
        <v>2550</v>
      </c>
      <c r="J825">
        <v>667.44</v>
      </c>
    </row>
    <row r="826" spans="1:10" x14ac:dyDescent="0.35">
      <c r="A826" t="s">
        <v>955</v>
      </c>
      <c r="B826" s="2">
        <v>45697</v>
      </c>
      <c r="C826" t="s">
        <v>515</v>
      </c>
      <c r="D826" t="s">
        <v>17</v>
      </c>
      <c r="E826" t="s">
        <v>18</v>
      </c>
      <c r="F826" t="s">
        <v>14</v>
      </c>
      <c r="G826">
        <v>3</v>
      </c>
      <c r="H826">
        <v>0.15</v>
      </c>
      <c r="I826">
        <v>535.5</v>
      </c>
      <c r="J826">
        <v>210.42</v>
      </c>
    </row>
    <row r="827" spans="1:10" x14ac:dyDescent="0.35">
      <c r="A827" t="s">
        <v>956</v>
      </c>
      <c r="B827" s="2">
        <v>45962</v>
      </c>
      <c r="C827" t="s">
        <v>219</v>
      </c>
      <c r="D827" t="s">
        <v>38</v>
      </c>
      <c r="E827" t="s">
        <v>13</v>
      </c>
      <c r="F827" t="s">
        <v>50</v>
      </c>
      <c r="G827">
        <v>3</v>
      </c>
      <c r="H827">
        <v>0</v>
      </c>
      <c r="I827">
        <v>960</v>
      </c>
      <c r="J827">
        <v>200.49</v>
      </c>
    </row>
    <row r="828" spans="1:10" x14ac:dyDescent="0.35">
      <c r="A828" t="s">
        <v>957</v>
      </c>
      <c r="B828" s="2">
        <v>45698</v>
      </c>
      <c r="C828" t="s">
        <v>64</v>
      </c>
      <c r="D828" t="s">
        <v>67</v>
      </c>
      <c r="E828" t="s">
        <v>13</v>
      </c>
      <c r="F828" t="s">
        <v>50</v>
      </c>
      <c r="G828">
        <v>3</v>
      </c>
      <c r="H828">
        <v>0.1</v>
      </c>
      <c r="I828">
        <v>3240</v>
      </c>
      <c r="J828">
        <v>517.33000000000004</v>
      </c>
    </row>
    <row r="829" spans="1:10" x14ac:dyDescent="0.35">
      <c r="A829" t="s">
        <v>958</v>
      </c>
      <c r="B829" s="2">
        <v>45719</v>
      </c>
      <c r="C829" t="s">
        <v>189</v>
      </c>
      <c r="D829" t="s">
        <v>21</v>
      </c>
      <c r="E829" t="s">
        <v>18</v>
      </c>
      <c r="F829" t="s">
        <v>50</v>
      </c>
      <c r="G829">
        <v>5</v>
      </c>
      <c r="H829">
        <v>0</v>
      </c>
      <c r="I829">
        <v>275</v>
      </c>
      <c r="J829">
        <v>66.22</v>
      </c>
    </row>
    <row r="830" spans="1:10" x14ac:dyDescent="0.35">
      <c r="A830" t="s">
        <v>959</v>
      </c>
      <c r="B830" s="2">
        <v>45685</v>
      </c>
      <c r="C830" t="s">
        <v>73</v>
      </c>
      <c r="D830" t="s">
        <v>35</v>
      </c>
      <c r="E830" t="s">
        <v>13</v>
      </c>
      <c r="F830" t="s">
        <v>22</v>
      </c>
      <c r="G830">
        <v>5</v>
      </c>
      <c r="H830">
        <v>0</v>
      </c>
      <c r="I830">
        <v>4250</v>
      </c>
      <c r="J830">
        <v>1464.66</v>
      </c>
    </row>
    <row r="831" spans="1:10" x14ac:dyDescent="0.35">
      <c r="A831" t="s">
        <v>960</v>
      </c>
      <c r="B831" s="2">
        <v>45825</v>
      </c>
      <c r="C831" t="s">
        <v>198</v>
      </c>
      <c r="D831" t="s">
        <v>55</v>
      </c>
      <c r="E831" t="s">
        <v>46</v>
      </c>
      <c r="F831" t="s">
        <v>50</v>
      </c>
      <c r="G831">
        <v>2</v>
      </c>
      <c r="H831">
        <v>0.05</v>
      </c>
      <c r="I831">
        <v>456</v>
      </c>
      <c r="J831">
        <v>197.6</v>
      </c>
    </row>
    <row r="832" spans="1:10" x14ac:dyDescent="0.35">
      <c r="A832" t="s">
        <v>961</v>
      </c>
      <c r="B832" s="2">
        <v>45886</v>
      </c>
      <c r="C832" t="s">
        <v>64</v>
      </c>
      <c r="D832" t="s">
        <v>83</v>
      </c>
      <c r="E832" t="s">
        <v>46</v>
      </c>
      <c r="F832" t="s">
        <v>25</v>
      </c>
      <c r="G832">
        <v>5</v>
      </c>
      <c r="H832">
        <v>0.2</v>
      </c>
      <c r="I832">
        <v>100</v>
      </c>
      <c r="J832">
        <v>42.03</v>
      </c>
    </row>
    <row r="833" spans="1:10" x14ac:dyDescent="0.35">
      <c r="A833" t="s">
        <v>962</v>
      </c>
      <c r="B833" s="2">
        <v>45859</v>
      </c>
      <c r="C833" t="s">
        <v>219</v>
      </c>
      <c r="D833" t="s">
        <v>28</v>
      </c>
      <c r="E833" t="s">
        <v>18</v>
      </c>
      <c r="F833" t="s">
        <v>14</v>
      </c>
      <c r="G833">
        <v>2</v>
      </c>
      <c r="H833">
        <v>0.1</v>
      </c>
      <c r="I833">
        <v>504</v>
      </c>
      <c r="J833">
        <v>213.07</v>
      </c>
    </row>
    <row r="834" spans="1:10" x14ac:dyDescent="0.35">
      <c r="A834" t="s">
        <v>963</v>
      </c>
      <c r="B834" s="2">
        <v>45938</v>
      </c>
      <c r="C834" t="s">
        <v>64</v>
      </c>
      <c r="D834" t="s">
        <v>99</v>
      </c>
      <c r="E834" t="s">
        <v>18</v>
      </c>
      <c r="F834" t="s">
        <v>22</v>
      </c>
      <c r="G834">
        <v>3</v>
      </c>
      <c r="H834">
        <v>0</v>
      </c>
      <c r="I834">
        <v>570</v>
      </c>
      <c r="J834">
        <v>181.54</v>
      </c>
    </row>
    <row r="835" spans="1:10" x14ac:dyDescent="0.35">
      <c r="A835" t="s">
        <v>964</v>
      </c>
      <c r="B835" s="2">
        <v>45727</v>
      </c>
      <c r="C835" t="s">
        <v>196</v>
      </c>
      <c r="D835" t="s">
        <v>45</v>
      </c>
      <c r="E835" t="s">
        <v>46</v>
      </c>
      <c r="F835" t="s">
        <v>22</v>
      </c>
      <c r="G835">
        <v>5</v>
      </c>
      <c r="H835">
        <v>0.05</v>
      </c>
      <c r="I835">
        <v>85.5</v>
      </c>
      <c r="J835">
        <v>24.71</v>
      </c>
    </row>
    <row r="836" spans="1:10" x14ac:dyDescent="0.35">
      <c r="A836" t="s">
        <v>965</v>
      </c>
      <c r="B836" s="2">
        <v>45945</v>
      </c>
      <c r="C836" t="s">
        <v>231</v>
      </c>
      <c r="D836" t="s">
        <v>83</v>
      </c>
      <c r="E836" t="s">
        <v>46</v>
      </c>
      <c r="F836" t="s">
        <v>50</v>
      </c>
      <c r="G836">
        <v>5</v>
      </c>
      <c r="H836">
        <v>0.05</v>
      </c>
      <c r="I836">
        <v>118.75</v>
      </c>
      <c r="J836">
        <v>43.94</v>
      </c>
    </row>
    <row r="837" spans="1:10" x14ac:dyDescent="0.35">
      <c r="A837" t="s">
        <v>966</v>
      </c>
      <c r="B837" s="2">
        <v>45823</v>
      </c>
      <c r="C837" t="s">
        <v>87</v>
      </c>
      <c r="D837" t="s">
        <v>38</v>
      </c>
      <c r="E837" t="s">
        <v>13</v>
      </c>
      <c r="F837" t="s">
        <v>50</v>
      </c>
      <c r="G837">
        <v>5</v>
      </c>
      <c r="H837">
        <v>0</v>
      </c>
      <c r="I837">
        <v>1600</v>
      </c>
      <c r="J837">
        <v>660.58</v>
      </c>
    </row>
    <row r="838" spans="1:10" x14ac:dyDescent="0.35">
      <c r="A838" t="s">
        <v>967</v>
      </c>
      <c r="B838" s="2">
        <v>45845</v>
      </c>
      <c r="C838" t="s">
        <v>196</v>
      </c>
      <c r="D838" t="s">
        <v>49</v>
      </c>
      <c r="E838" t="s">
        <v>13</v>
      </c>
      <c r="F838" t="s">
        <v>14</v>
      </c>
      <c r="G838">
        <v>2</v>
      </c>
      <c r="H838">
        <v>0.1</v>
      </c>
      <c r="I838">
        <v>126</v>
      </c>
      <c r="J838">
        <v>42.37</v>
      </c>
    </row>
    <row r="839" spans="1:10" x14ac:dyDescent="0.35">
      <c r="A839" t="s">
        <v>968</v>
      </c>
      <c r="B839" s="2">
        <v>45814</v>
      </c>
      <c r="C839" t="s">
        <v>342</v>
      </c>
      <c r="D839" t="s">
        <v>28</v>
      </c>
      <c r="E839" t="s">
        <v>18</v>
      </c>
      <c r="F839" t="s">
        <v>22</v>
      </c>
      <c r="G839">
        <v>3</v>
      </c>
      <c r="H839">
        <v>0.2</v>
      </c>
      <c r="I839">
        <v>672</v>
      </c>
      <c r="J839">
        <v>120.21</v>
      </c>
    </row>
    <row r="840" spans="1:10" x14ac:dyDescent="0.35">
      <c r="A840" t="s">
        <v>969</v>
      </c>
      <c r="B840" s="2">
        <v>45883</v>
      </c>
      <c r="C840" t="s">
        <v>251</v>
      </c>
      <c r="D840" t="s">
        <v>67</v>
      </c>
      <c r="E840" t="s">
        <v>13</v>
      </c>
      <c r="F840" t="s">
        <v>14</v>
      </c>
      <c r="G840">
        <v>2</v>
      </c>
      <c r="H840">
        <v>0.05</v>
      </c>
      <c r="I840">
        <v>2280</v>
      </c>
      <c r="J840">
        <v>510.34</v>
      </c>
    </row>
    <row r="841" spans="1:10" x14ac:dyDescent="0.35">
      <c r="A841" t="s">
        <v>970</v>
      </c>
      <c r="B841" s="2">
        <v>45715</v>
      </c>
      <c r="C841" t="s">
        <v>154</v>
      </c>
      <c r="D841" t="s">
        <v>17</v>
      </c>
      <c r="E841" t="s">
        <v>18</v>
      </c>
      <c r="F841" t="s">
        <v>25</v>
      </c>
      <c r="G841">
        <v>1</v>
      </c>
      <c r="H841">
        <v>0.05</v>
      </c>
      <c r="I841">
        <v>199.5</v>
      </c>
      <c r="J841">
        <v>27.3</v>
      </c>
    </row>
    <row r="842" spans="1:10" x14ac:dyDescent="0.35">
      <c r="A842" t="s">
        <v>971</v>
      </c>
      <c r="B842" s="2">
        <v>45665</v>
      </c>
      <c r="C842" t="s">
        <v>71</v>
      </c>
      <c r="D842" t="s">
        <v>49</v>
      </c>
      <c r="E842" t="s">
        <v>13</v>
      </c>
      <c r="F842" t="s">
        <v>25</v>
      </c>
      <c r="G842">
        <v>1</v>
      </c>
      <c r="H842">
        <v>0.1</v>
      </c>
      <c r="I842">
        <v>63</v>
      </c>
      <c r="J842">
        <v>18.989999999999998</v>
      </c>
    </row>
    <row r="843" spans="1:10" x14ac:dyDescent="0.35">
      <c r="A843" t="s">
        <v>972</v>
      </c>
      <c r="B843" s="2">
        <v>45765</v>
      </c>
      <c r="C843" t="s">
        <v>409</v>
      </c>
      <c r="D843" t="s">
        <v>17</v>
      </c>
      <c r="E843" t="s">
        <v>18</v>
      </c>
      <c r="F843" t="s">
        <v>25</v>
      </c>
      <c r="G843">
        <v>5</v>
      </c>
      <c r="H843">
        <v>0.05</v>
      </c>
      <c r="I843">
        <v>997.5</v>
      </c>
      <c r="J843">
        <v>381.79</v>
      </c>
    </row>
    <row r="844" spans="1:10" x14ac:dyDescent="0.35">
      <c r="A844" t="s">
        <v>973</v>
      </c>
      <c r="B844" s="2">
        <v>45938</v>
      </c>
      <c r="C844" t="s">
        <v>78</v>
      </c>
      <c r="D844" t="s">
        <v>45</v>
      </c>
      <c r="E844" t="s">
        <v>46</v>
      </c>
      <c r="F844" t="s">
        <v>14</v>
      </c>
      <c r="G844">
        <v>5</v>
      </c>
      <c r="H844">
        <v>0.05</v>
      </c>
      <c r="I844">
        <v>85.5</v>
      </c>
      <c r="J844">
        <v>18.86</v>
      </c>
    </row>
    <row r="845" spans="1:10" x14ac:dyDescent="0.35">
      <c r="A845" t="s">
        <v>974</v>
      </c>
      <c r="B845" s="2">
        <v>45850</v>
      </c>
      <c r="C845" t="s">
        <v>105</v>
      </c>
      <c r="D845" t="s">
        <v>83</v>
      </c>
      <c r="E845" t="s">
        <v>46</v>
      </c>
      <c r="F845" t="s">
        <v>25</v>
      </c>
      <c r="G845">
        <v>5</v>
      </c>
      <c r="H845">
        <v>0</v>
      </c>
      <c r="I845">
        <v>125</v>
      </c>
      <c r="J845">
        <v>45.71</v>
      </c>
    </row>
    <row r="846" spans="1:10" x14ac:dyDescent="0.35">
      <c r="A846" t="s">
        <v>975</v>
      </c>
      <c r="B846" s="2">
        <v>45760</v>
      </c>
      <c r="C846" t="s">
        <v>196</v>
      </c>
      <c r="D846" t="s">
        <v>17</v>
      </c>
      <c r="E846" t="s">
        <v>18</v>
      </c>
      <c r="F846" t="s">
        <v>14</v>
      </c>
      <c r="G846">
        <v>5</v>
      </c>
      <c r="H846">
        <v>0.1</v>
      </c>
      <c r="I846">
        <v>945</v>
      </c>
      <c r="J846">
        <v>408.7</v>
      </c>
    </row>
    <row r="847" spans="1:10" x14ac:dyDescent="0.35">
      <c r="A847" t="s">
        <v>976</v>
      </c>
      <c r="B847" s="2">
        <v>45692</v>
      </c>
      <c r="C847" t="s">
        <v>71</v>
      </c>
      <c r="D847" t="s">
        <v>99</v>
      </c>
      <c r="E847" t="s">
        <v>18</v>
      </c>
      <c r="F847" t="s">
        <v>25</v>
      </c>
      <c r="G847">
        <v>3</v>
      </c>
      <c r="H847">
        <v>0.1</v>
      </c>
      <c r="I847">
        <v>513</v>
      </c>
      <c r="J847">
        <v>84.54</v>
      </c>
    </row>
    <row r="848" spans="1:10" x14ac:dyDescent="0.35">
      <c r="A848" t="s">
        <v>977</v>
      </c>
      <c r="B848" s="2">
        <v>45990</v>
      </c>
      <c r="C848" t="s">
        <v>34</v>
      </c>
      <c r="D848" t="s">
        <v>99</v>
      </c>
      <c r="E848" t="s">
        <v>18</v>
      </c>
      <c r="F848" t="s">
        <v>14</v>
      </c>
      <c r="G848">
        <v>2</v>
      </c>
      <c r="H848">
        <v>0.15</v>
      </c>
      <c r="I848">
        <v>323</v>
      </c>
      <c r="J848">
        <v>91.14</v>
      </c>
    </row>
    <row r="849" spans="1:10" x14ac:dyDescent="0.35">
      <c r="A849" t="s">
        <v>978</v>
      </c>
      <c r="B849" s="2">
        <v>45819</v>
      </c>
      <c r="C849" t="s">
        <v>181</v>
      </c>
      <c r="D849" t="s">
        <v>45</v>
      </c>
      <c r="E849" t="s">
        <v>46</v>
      </c>
      <c r="F849" t="s">
        <v>50</v>
      </c>
      <c r="G849">
        <v>5</v>
      </c>
      <c r="H849">
        <v>0.2</v>
      </c>
      <c r="I849">
        <v>72</v>
      </c>
      <c r="J849">
        <v>30.31</v>
      </c>
    </row>
    <row r="850" spans="1:10" x14ac:dyDescent="0.35">
      <c r="A850" t="s">
        <v>979</v>
      </c>
      <c r="B850" s="2">
        <v>45945</v>
      </c>
      <c r="C850" t="s">
        <v>76</v>
      </c>
      <c r="D850" t="s">
        <v>17</v>
      </c>
      <c r="E850" t="s">
        <v>18</v>
      </c>
      <c r="F850" t="s">
        <v>25</v>
      </c>
      <c r="G850">
        <v>1</v>
      </c>
      <c r="H850">
        <v>0</v>
      </c>
      <c r="I850">
        <v>210</v>
      </c>
      <c r="J850">
        <v>77.36</v>
      </c>
    </row>
    <row r="851" spans="1:10" x14ac:dyDescent="0.35">
      <c r="A851" t="s">
        <v>980</v>
      </c>
      <c r="B851" s="2">
        <v>45828</v>
      </c>
      <c r="C851" t="s">
        <v>278</v>
      </c>
      <c r="D851" t="s">
        <v>45</v>
      </c>
      <c r="E851" t="s">
        <v>46</v>
      </c>
      <c r="F851" t="s">
        <v>25</v>
      </c>
      <c r="G851">
        <v>4</v>
      </c>
      <c r="H851">
        <v>0.05</v>
      </c>
      <c r="I851">
        <v>68.400000000000006</v>
      </c>
      <c r="J851">
        <v>30.37</v>
      </c>
    </row>
    <row r="852" spans="1:10" x14ac:dyDescent="0.35">
      <c r="A852" t="s">
        <v>981</v>
      </c>
      <c r="B852" s="2">
        <v>45839</v>
      </c>
      <c r="C852" t="s">
        <v>66</v>
      </c>
      <c r="D852" t="s">
        <v>38</v>
      </c>
      <c r="E852" t="s">
        <v>13</v>
      </c>
      <c r="F852" t="s">
        <v>25</v>
      </c>
      <c r="G852">
        <v>3</v>
      </c>
      <c r="H852">
        <v>0.05</v>
      </c>
      <c r="I852">
        <v>912</v>
      </c>
      <c r="J852">
        <v>110.65</v>
      </c>
    </row>
    <row r="853" spans="1:10" x14ac:dyDescent="0.35">
      <c r="A853" t="s">
        <v>982</v>
      </c>
      <c r="B853" s="2">
        <v>45689</v>
      </c>
      <c r="C853" t="s">
        <v>369</v>
      </c>
      <c r="D853" t="s">
        <v>38</v>
      </c>
      <c r="E853" t="s">
        <v>13</v>
      </c>
      <c r="F853" t="s">
        <v>25</v>
      </c>
      <c r="G853">
        <v>3</v>
      </c>
      <c r="H853">
        <v>0.15</v>
      </c>
      <c r="I853">
        <v>816</v>
      </c>
      <c r="J853">
        <v>127.43</v>
      </c>
    </row>
    <row r="854" spans="1:10" x14ac:dyDescent="0.35">
      <c r="A854" t="s">
        <v>983</v>
      </c>
      <c r="B854" s="2">
        <v>45773</v>
      </c>
      <c r="C854" t="s">
        <v>315</v>
      </c>
      <c r="D854" t="s">
        <v>28</v>
      </c>
      <c r="E854" t="s">
        <v>18</v>
      </c>
      <c r="F854" t="s">
        <v>50</v>
      </c>
      <c r="G854">
        <v>3</v>
      </c>
      <c r="H854">
        <v>0.15</v>
      </c>
      <c r="I854">
        <v>714</v>
      </c>
      <c r="J854">
        <v>166.51</v>
      </c>
    </row>
    <row r="855" spans="1:10" x14ac:dyDescent="0.35">
      <c r="A855" t="s">
        <v>984</v>
      </c>
      <c r="B855" s="2">
        <v>45924</v>
      </c>
      <c r="C855" t="s">
        <v>219</v>
      </c>
      <c r="D855" t="s">
        <v>38</v>
      </c>
      <c r="E855" t="s">
        <v>13</v>
      </c>
      <c r="F855" t="s">
        <v>22</v>
      </c>
      <c r="G855">
        <v>5</v>
      </c>
      <c r="H855">
        <v>0.05</v>
      </c>
      <c r="I855">
        <v>1520</v>
      </c>
      <c r="J855">
        <v>474.67</v>
      </c>
    </row>
    <row r="856" spans="1:10" x14ac:dyDescent="0.35">
      <c r="A856" t="s">
        <v>985</v>
      </c>
      <c r="B856" s="2">
        <v>45876</v>
      </c>
      <c r="C856" t="s">
        <v>115</v>
      </c>
      <c r="D856" t="s">
        <v>35</v>
      </c>
      <c r="E856" t="s">
        <v>13</v>
      </c>
      <c r="F856" t="s">
        <v>22</v>
      </c>
      <c r="G856">
        <v>5</v>
      </c>
      <c r="H856">
        <v>0.1</v>
      </c>
      <c r="I856">
        <v>3825</v>
      </c>
      <c r="J856">
        <v>1154.29</v>
      </c>
    </row>
    <row r="857" spans="1:10" x14ac:dyDescent="0.35">
      <c r="A857" t="s">
        <v>986</v>
      </c>
      <c r="B857" s="2">
        <v>45992</v>
      </c>
      <c r="C857" t="s">
        <v>181</v>
      </c>
      <c r="D857" t="s">
        <v>28</v>
      </c>
      <c r="E857" t="s">
        <v>18</v>
      </c>
      <c r="F857" t="s">
        <v>22</v>
      </c>
      <c r="G857">
        <v>5</v>
      </c>
      <c r="H857">
        <v>0.2</v>
      </c>
      <c r="I857">
        <v>1120</v>
      </c>
      <c r="J857">
        <v>251.18</v>
      </c>
    </row>
    <row r="858" spans="1:10" x14ac:dyDescent="0.35">
      <c r="A858" t="s">
        <v>987</v>
      </c>
      <c r="B858" s="2">
        <v>45816</v>
      </c>
      <c r="C858" t="s">
        <v>158</v>
      </c>
      <c r="D858" t="s">
        <v>17</v>
      </c>
      <c r="E858" t="s">
        <v>18</v>
      </c>
      <c r="F858" t="s">
        <v>22</v>
      </c>
      <c r="G858">
        <v>5</v>
      </c>
      <c r="H858">
        <v>0.05</v>
      </c>
      <c r="I858">
        <v>997.5</v>
      </c>
      <c r="J858">
        <v>307.31</v>
      </c>
    </row>
    <row r="859" spans="1:10" x14ac:dyDescent="0.35">
      <c r="A859" t="s">
        <v>988</v>
      </c>
      <c r="B859" s="2">
        <v>45993</v>
      </c>
      <c r="C859" t="s">
        <v>42</v>
      </c>
      <c r="D859" t="s">
        <v>83</v>
      </c>
      <c r="E859" t="s">
        <v>46</v>
      </c>
      <c r="F859" t="s">
        <v>14</v>
      </c>
      <c r="G859">
        <v>2</v>
      </c>
      <c r="H859">
        <v>0.1</v>
      </c>
      <c r="I859">
        <v>45</v>
      </c>
      <c r="J859">
        <v>19.239999999999998</v>
      </c>
    </row>
    <row r="860" spans="1:10" x14ac:dyDescent="0.35">
      <c r="A860" t="s">
        <v>989</v>
      </c>
      <c r="B860" s="2">
        <v>45752</v>
      </c>
      <c r="C860" t="s">
        <v>87</v>
      </c>
      <c r="D860" t="s">
        <v>49</v>
      </c>
      <c r="E860" t="s">
        <v>13</v>
      </c>
      <c r="F860" t="s">
        <v>50</v>
      </c>
      <c r="G860">
        <v>2</v>
      </c>
      <c r="H860">
        <v>0</v>
      </c>
      <c r="I860">
        <v>140</v>
      </c>
      <c r="J860">
        <v>27.64</v>
      </c>
    </row>
    <row r="861" spans="1:10" x14ac:dyDescent="0.35">
      <c r="A861" t="s">
        <v>990</v>
      </c>
      <c r="B861" s="2">
        <v>45813</v>
      </c>
      <c r="C861" t="s">
        <v>122</v>
      </c>
      <c r="D861" t="s">
        <v>45</v>
      </c>
      <c r="E861" t="s">
        <v>46</v>
      </c>
      <c r="F861" t="s">
        <v>22</v>
      </c>
      <c r="G861">
        <v>3</v>
      </c>
      <c r="H861">
        <v>0.05</v>
      </c>
      <c r="I861">
        <v>51.3</v>
      </c>
      <c r="J861">
        <v>9.9</v>
      </c>
    </row>
    <row r="862" spans="1:10" x14ac:dyDescent="0.35">
      <c r="A862" t="s">
        <v>991</v>
      </c>
      <c r="B862" s="2">
        <v>45752</v>
      </c>
      <c r="C862" t="s">
        <v>73</v>
      </c>
      <c r="D862" t="s">
        <v>67</v>
      </c>
      <c r="E862" t="s">
        <v>13</v>
      </c>
      <c r="F862" t="s">
        <v>22</v>
      </c>
      <c r="G862">
        <v>5</v>
      </c>
      <c r="H862">
        <v>0.2</v>
      </c>
      <c r="I862">
        <v>4800</v>
      </c>
      <c r="J862">
        <v>1737.29</v>
      </c>
    </row>
    <row r="863" spans="1:10" x14ac:dyDescent="0.35">
      <c r="A863" t="s">
        <v>992</v>
      </c>
      <c r="B863" s="2">
        <v>45963</v>
      </c>
      <c r="C863" t="s">
        <v>515</v>
      </c>
      <c r="D863" t="s">
        <v>21</v>
      </c>
      <c r="E863" t="s">
        <v>18</v>
      </c>
      <c r="F863" t="s">
        <v>50</v>
      </c>
      <c r="G863">
        <v>2</v>
      </c>
      <c r="H863">
        <v>0</v>
      </c>
      <c r="I863">
        <v>110</v>
      </c>
      <c r="J863">
        <v>36.46</v>
      </c>
    </row>
    <row r="864" spans="1:10" x14ac:dyDescent="0.35">
      <c r="A864" t="s">
        <v>993</v>
      </c>
      <c r="B864" s="2">
        <v>45726</v>
      </c>
      <c r="C864" t="s">
        <v>69</v>
      </c>
      <c r="D864" t="s">
        <v>55</v>
      </c>
      <c r="E864" t="s">
        <v>46</v>
      </c>
      <c r="F864" t="s">
        <v>22</v>
      </c>
      <c r="G864">
        <v>5</v>
      </c>
      <c r="H864">
        <v>0.15</v>
      </c>
      <c r="I864">
        <v>1020</v>
      </c>
      <c r="J864">
        <v>219.33</v>
      </c>
    </row>
    <row r="865" spans="1:10" x14ac:dyDescent="0.35">
      <c r="A865" t="s">
        <v>994</v>
      </c>
      <c r="B865" s="2">
        <v>45856</v>
      </c>
      <c r="C865" t="s">
        <v>224</v>
      </c>
      <c r="D865" t="s">
        <v>45</v>
      </c>
      <c r="E865" t="s">
        <v>46</v>
      </c>
      <c r="F865" t="s">
        <v>14</v>
      </c>
      <c r="G865">
        <v>4</v>
      </c>
      <c r="H865">
        <v>0.05</v>
      </c>
      <c r="I865">
        <v>68.400000000000006</v>
      </c>
      <c r="J865">
        <v>27.08</v>
      </c>
    </row>
    <row r="866" spans="1:10" x14ac:dyDescent="0.35">
      <c r="A866" t="s">
        <v>995</v>
      </c>
      <c r="B866" s="2">
        <v>45867</v>
      </c>
      <c r="C866" t="s">
        <v>78</v>
      </c>
      <c r="D866" t="s">
        <v>67</v>
      </c>
      <c r="E866" t="s">
        <v>13</v>
      </c>
      <c r="F866" t="s">
        <v>22</v>
      </c>
      <c r="G866">
        <v>3</v>
      </c>
      <c r="H866">
        <v>0.15</v>
      </c>
      <c r="I866">
        <v>3060</v>
      </c>
      <c r="J866">
        <v>1152.26</v>
      </c>
    </row>
    <row r="867" spans="1:10" x14ac:dyDescent="0.35">
      <c r="A867" t="s">
        <v>996</v>
      </c>
      <c r="B867" s="2">
        <v>45762</v>
      </c>
      <c r="C867" t="s">
        <v>206</v>
      </c>
      <c r="D867" t="s">
        <v>12</v>
      </c>
      <c r="E867" t="s">
        <v>13</v>
      </c>
      <c r="F867" t="s">
        <v>25</v>
      </c>
      <c r="G867">
        <v>2</v>
      </c>
      <c r="H867">
        <v>0.15</v>
      </c>
      <c r="I867">
        <v>59.5</v>
      </c>
      <c r="J867">
        <v>9.75</v>
      </c>
    </row>
    <row r="868" spans="1:10" x14ac:dyDescent="0.35">
      <c r="A868" t="s">
        <v>997</v>
      </c>
      <c r="B868" s="2">
        <v>45892</v>
      </c>
      <c r="C868" t="s">
        <v>185</v>
      </c>
      <c r="D868" t="s">
        <v>21</v>
      </c>
      <c r="E868" t="s">
        <v>18</v>
      </c>
      <c r="F868" t="s">
        <v>50</v>
      </c>
      <c r="G868">
        <v>4</v>
      </c>
      <c r="H868">
        <v>0.15</v>
      </c>
      <c r="I868">
        <v>187</v>
      </c>
      <c r="J868">
        <v>36.25</v>
      </c>
    </row>
    <row r="869" spans="1:10" x14ac:dyDescent="0.35">
      <c r="A869" t="s">
        <v>998</v>
      </c>
      <c r="B869" s="2">
        <v>45818</v>
      </c>
      <c r="C869" t="s">
        <v>76</v>
      </c>
      <c r="D869" t="s">
        <v>99</v>
      </c>
      <c r="E869" t="s">
        <v>18</v>
      </c>
      <c r="F869" t="s">
        <v>14</v>
      </c>
      <c r="G869">
        <v>5</v>
      </c>
      <c r="H869">
        <v>0.2</v>
      </c>
      <c r="I869">
        <v>760</v>
      </c>
      <c r="J869">
        <v>193.07</v>
      </c>
    </row>
    <row r="870" spans="1:10" x14ac:dyDescent="0.35">
      <c r="A870" t="s">
        <v>999</v>
      </c>
      <c r="B870" s="2">
        <v>45924</v>
      </c>
      <c r="C870" t="s">
        <v>360</v>
      </c>
      <c r="D870" t="s">
        <v>12</v>
      </c>
      <c r="E870" t="s">
        <v>13</v>
      </c>
      <c r="F870" t="s">
        <v>22</v>
      </c>
      <c r="G870">
        <v>4</v>
      </c>
      <c r="H870">
        <v>0.15</v>
      </c>
      <c r="I870">
        <v>119</v>
      </c>
      <c r="J870">
        <v>21.07</v>
      </c>
    </row>
    <row r="871" spans="1:10" x14ac:dyDescent="0.35">
      <c r="A871" t="s">
        <v>1000</v>
      </c>
      <c r="B871" s="2">
        <v>45923</v>
      </c>
      <c r="C871" t="s">
        <v>409</v>
      </c>
      <c r="D871" t="s">
        <v>55</v>
      </c>
      <c r="E871" t="s">
        <v>46</v>
      </c>
      <c r="F871" t="s">
        <v>14</v>
      </c>
      <c r="G871">
        <v>4</v>
      </c>
      <c r="H871">
        <v>0</v>
      </c>
      <c r="I871">
        <v>960</v>
      </c>
      <c r="J871">
        <v>255.32</v>
      </c>
    </row>
    <row r="872" spans="1:10" x14ac:dyDescent="0.35">
      <c r="A872" t="s">
        <v>1001</v>
      </c>
      <c r="B872" s="2">
        <v>45755</v>
      </c>
      <c r="C872" t="s">
        <v>387</v>
      </c>
      <c r="D872" t="s">
        <v>35</v>
      </c>
      <c r="E872" t="s">
        <v>13</v>
      </c>
      <c r="F872" t="s">
        <v>25</v>
      </c>
      <c r="G872">
        <v>4</v>
      </c>
      <c r="H872">
        <v>0.15</v>
      </c>
      <c r="I872">
        <v>2890</v>
      </c>
      <c r="J872">
        <v>457.05</v>
      </c>
    </row>
    <row r="873" spans="1:10" x14ac:dyDescent="0.35">
      <c r="A873" t="s">
        <v>1002</v>
      </c>
      <c r="B873" s="2">
        <v>45894</v>
      </c>
      <c r="C873" t="s">
        <v>217</v>
      </c>
      <c r="D873" t="s">
        <v>28</v>
      </c>
      <c r="E873" t="s">
        <v>18</v>
      </c>
      <c r="F873" t="s">
        <v>22</v>
      </c>
      <c r="G873">
        <v>4</v>
      </c>
      <c r="H873">
        <v>0.1</v>
      </c>
      <c r="I873">
        <v>1008</v>
      </c>
      <c r="J873">
        <v>249.65</v>
      </c>
    </row>
    <row r="874" spans="1:10" x14ac:dyDescent="0.35">
      <c r="A874" t="s">
        <v>1003</v>
      </c>
      <c r="B874" s="2">
        <v>45895</v>
      </c>
      <c r="C874" t="s">
        <v>183</v>
      </c>
      <c r="D874" t="s">
        <v>38</v>
      </c>
      <c r="E874" t="s">
        <v>13</v>
      </c>
      <c r="F874" t="s">
        <v>22</v>
      </c>
      <c r="G874">
        <v>4</v>
      </c>
      <c r="H874">
        <v>0</v>
      </c>
      <c r="I874">
        <v>1280</v>
      </c>
      <c r="J874">
        <v>270.75</v>
      </c>
    </row>
    <row r="875" spans="1:10" x14ac:dyDescent="0.35">
      <c r="A875" t="s">
        <v>1004</v>
      </c>
      <c r="B875" s="2">
        <v>45957</v>
      </c>
      <c r="C875" t="s">
        <v>150</v>
      </c>
      <c r="D875" t="s">
        <v>17</v>
      </c>
      <c r="E875" t="s">
        <v>18</v>
      </c>
      <c r="F875" t="s">
        <v>50</v>
      </c>
      <c r="G875">
        <v>5</v>
      </c>
      <c r="H875">
        <v>0.05</v>
      </c>
      <c r="I875">
        <v>997.5</v>
      </c>
      <c r="J875">
        <v>319.49</v>
      </c>
    </row>
    <row r="876" spans="1:10" x14ac:dyDescent="0.35">
      <c r="A876" t="s">
        <v>1005</v>
      </c>
      <c r="B876" s="2">
        <v>45670</v>
      </c>
      <c r="C876" t="s">
        <v>181</v>
      </c>
      <c r="D876" t="s">
        <v>28</v>
      </c>
      <c r="E876" t="s">
        <v>18</v>
      </c>
      <c r="F876" t="s">
        <v>50</v>
      </c>
      <c r="G876">
        <v>4</v>
      </c>
      <c r="H876">
        <v>0.2</v>
      </c>
      <c r="I876">
        <v>896</v>
      </c>
      <c r="J876">
        <v>138.09</v>
      </c>
    </row>
    <row r="877" spans="1:10" x14ac:dyDescent="0.35">
      <c r="A877" t="s">
        <v>1006</v>
      </c>
      <c r="B877" s="2">
        <v>45704</v>
      </c>
      <c r="C877" t="s">
        <v>404</v>
      </c>
      <c r="D877" t="s">
        <v>35</v>
      </c>
      <c r="E877" t="s">
        <v>13</v>
      </c>
      <c r="F877" t="s">
        <v>14</v>
      </c>
      <c r="G877">
        <v>3</v>
      </c>
      <c r="H877">
        <v>0.05</v>
      </c>
      <c r="I877">
        <v>2422.5</v>
      </c>
      <c r="J877">
        <v>515.84</v>
      </c>
    </row>
    <row r="878" spans="1:10" x14ac:dyDescent="0.35">
      <c r="A878" t="s">
        <v>1007</v>
      </c>
      <c r="B878" s="2">
        <v>45716</v>
      </c>
      <c r="C878" t="s">
        <v>34</v>
      </c>
      <c r="D878" t="s">
        <v>17</v>
      </c>
      <c r="E878" t="s">
        <v>18</v>
      </c>
      <c r="F878" t="s">
        <v>50</v>
      </c>
      <c r="G878">
        <v>4</v>
      </c>
      <c r="H878">
        <v>0.1</v>
      </c>
      <c r="I878">
        <v>756</v>
      </c>
      <c r="J878">
        <v>318.92</v>
      </c>
    </row>
    <row r="879" spans="1:10" x14ac:dyDescent="0.35">
      <c r="A879" t="s">
        <v>1008</v>
      </c>
      <c r="B879" s="2">
        <v>45919</v>
      </c>
      <c r="C879" t="s">
        <v>360</v>
      </c>
      <c r="D879" t="s">
        <v>83</v>
      </c>
      <c r="E879" t="s">
        <v>46</v>
      </c>
      <c r="F879" t="s">
        <v>22</v>
      </c>
      <c r="G879">
        <v>2</v>
      </c>
      <c r="H879">
        <v>0.15</v>
      </c>
      <c r="I879">
        <v>42.5</v>
      </c>
      <c r="J879">
        <v>11.41</v>
      </c>
    </row>
    <row r="880" spans="1:10" x14ac:dyDescent="0.35">
      <c r="A880" t="s">
        <v>1009</v>
      </c>
      <c r="B880" s="2">
        <v>45829</v>
      </c>
      <c r="C880" t="s">
        <v>238</v>
      </c>
      <c r="D880" t="s">
        <v>83</v>
      </c>
      <c r="E880" t="s">
        <v>46</v>
      </c>
      <c r="F880" t="s">
        <v>14</v>
      </c>
      <c r="G880">
        <v>2</v>
      </c>
      <c r="H880">
        <v>0.05</v>
      </c>
      <c r="I880">
        <v>47.5</v>
      </c>
      <c r="J880">
        <v>7.76</v>
      </c>
    </row>
    <row r="881" spans="1:10" x14ac:dyDescent="0.35">
      <c r="A881" t="s">
        <v>1010</v>
      </c>
      <c r="B881" s="2">
        <v>45872</v>
      </c>
      <c r="C881" t="s">
        <v>269</v>
      </c>
      <c r="D881" t="s">
        <v>35</v>
      </c>
      <c r="E881" t="s">
        <v>13</v>
      </c>
      <c r="F881" t="s">
        <v>14</v>
      </c>
      <c r="G881">
        <v>3</v>
      </c>
      <c r="H881">
        <v>0.15</v>
      </c>
      <c r="I881">
        <v>2167.5</v>
      </c>
      <c r="J881">
        <v>768.82</v>
      </c>
    </row>
    <row r="882" spans="1:10" x14ac:dyDescent="0.35">
      <c r="A882" t="s">
        <v>1011</v>
      </c>
      <c r="B882" s="2">
        <v>45725</v>
      </c>
      <c r="C882" t="s">
        <v>62</v>
      </c>
      <c r="D882" t="s">
        <v>21</v>
      </c>
      <c r="E882" t="s">
        <v>18</v>
      </c>
      <c r="F882" t="s">
        <v>50</v>
      </c>
      <c r="G882">
        <v>1</v>
      </c>
      <c r="H882">
        <v>0.2</v>
      </c>
      <c r="I882">
        <v>44</v>
      </c>
      <c r="J882">
        <v>8.69</v>
      </c>
    </row>
    <row r="883" spans="1:10" x14ac:dyDescent="0.35">
      <c r="A883" t="s">
        <v>1012</v>
      </c>
      <c r="B883" s="2">
        <v>45912</v>
      </c>
      <c r="C883" t="s">
        <v>243</v>
      </c>
      <c r="D883" t="s">
        <v>45</v>
      </c>
      <c r="E883" t="s">
        <v>46</v>
      </c>
      <c r="F883" t="s">
        <v>22</v>
      </c>
      <c r="G883">
        <v>5</v>
      </c>
      <c r="H883">
        <v>0</v>
      </c>
      <c r="I883">
        <v>90</v>
      </c>
      <c r="J883">
        <v>22.44</v>
      </c>
    </row>
    <row r="884" spans="1:10" x14ac:dyDescent="0.35">
      <c r="A884" t="s">
        <v>1013</v>
      </c>
      <c r="B884" s="2">
        <v>45769</v>
      </c>
      <c r="C884" t="s">
        <v>167</v>
      </c>
      <c r="D884" t="s">
        <v>83</v>
      </c>
      <c r="E884" t="s">
        <v>46</v>
      </c>
      <c r="F884" t="s">
        <v>14</v>
      </c>
      <c r="G884">
        <v>4</v>
      </c>
      <c r="H884">
        <v>0.15</v>
      </c>
      <c r="I884">
        <v>85</v>
      </c>
      <c r="J884">
        <v>26.75</v>
      </c>
    </row>
    <row r="885" spans="1:10" x14ac:dyDescent="0.35">
      <c r="A885" t="s">
        <v>1014</v>
      </c>
      <c r="B885" s="2">
        <v>45783</v>
      </c>
      <c r="C885" t="s">
        <v>124</v>
      </c>
      <c r="D885" t="s">
        <v>55</v>
      </c>
      <c r="E885" t="s">
        <v>46</v>
      </c>
      <c r="F885" t="s">
        <v>14</v>
      </c>
      <c r="G885">
        <v>3</v>
      </c>
      <c r="H885">
        <v>0.2</v>
      </c>
      <c r="I885">
        <v>576</v>
      </c>
      <c r="J885">
        <v>139.71</v>
      </c>
    </row>
    <row r="886" spans="1:10" x14ac:dyDescent="0.35">
      <c r="A886" t="s">
        <v>1015</v>
      </c>
      <c r="B886" s="2">
        <v>45752</v>
      </c>
      <c r="C886" t="s">
        <v>16</v>
      </c>
      <c r="D886" t="s">
        <v>28</v>
      </c>
      <c r="E886" t="s">
        <v>18</v>
      </c>
      <c r="F886" t="s">
        <v>25</v>
      </c>
      <c r="G886">
        <v>1</v>
      </c>
      <c r="H886">
        <v>0.1</v>
      </c>
      <c r="I886">
        <v>252</v>
      </c>
      <c r="J886">
        <v>110.35</v>
      </c>
    </row>
    <row r="887" spans="1:10" x14ac:dyDescent="0.35">
      <c r="A887" t="s">
        <v>1016</v>
      </c>
      <c r="B887" s="2">
        <v>45827</v>
      </c>
      <c r="C887" t="s">
        <v>238</v>
      </c>
      <c r="D887" t="s">
        <v>12</v>
      </c>
      <c r="E887" t="s">
        <v>13</v>
      </c>
      <c r="F887" t="s">
        <v>22</v>
      </c>
      <c r="G887">
        <v>1</v>
      </c>
      <c r="H887">
        <v>0</v>
      </c>
      <c r="I887">
        <v>35</v>
      </c>
      <c r="J887">
        <v>10.93</v>
      </c>
    </row>
    <row r="888" spans="1:10" x14ac:dyDescent="0.35">
      <c r="A888" t="s">
        <v>1017</v>
      </c>
      <c r="B888" s="2">
        <v>46002</v>
      </c>
      <c r="C888" t="s">
        <v>20</v>
      </c>
      <c r="D888" t="s">
        <v>35</v>
      </c>
      <c r="E888" t="s">
        <v>13</v>
      </c>
      <c r="F888" t="s">
        <v>22</v>
      </c>
      <c r="G888">
        <v>5</v>
      </c>
      <c r="H888">
        <v>0.2</v>
      </c>
      <c r="I888">
        <v>3400</v>
      </c>
      <c r="J888">
        <v>887.9</v>
      </c>
    </row>
    <row r="889" spans="1:10" x14ac:dyDescent="0.35">
      <c r="A889" t="s">
        <v>1018</v>
      </c>
      <c r="B889" s="2">
        <v>45891</v>
      </c>
      <c r="C889" t="s">
        <v>315</v>
      </c>
      <c r="D889" t="s">
        <v>17</v>
      </c>
      <c r="E889" t="s">
        <v>18</v>
      </c>
      <c r="F889" t="s">
        <v>25</v>
      </c>
      <c r="G889">
        <v>5</v>
      </c>
      <c r="H889">
        <v>0.1</v>
      </c>
      <c r="I889">
        <v>945</v>
      </c>
      <c r="J889">
        <v>134.77000000000001</v>
      </c>
    </row>
    <row r="890" spans="1:10" x14ac:dyDescent="0.35">
      <c r="A890" t="s">
        <v>1019</v>
      </c>
      <c r="B890" s="2">
        <v>45823</v>
      </c>
      <c r="C890" t="s">
        <v>95</v>
      </c>
      <c r="D890" t="s">
        <v>49</v>
      </c>
      <c r="E890" t="s">
        <v>13</v>
      </c>
      <c r="F890" t="s">
        <v>14</v>
      </c>
      <c r="G890">
        <v>4</v>
      </c>
      <c r="H890">
        <v>0</v>
      </c>
      <c r="I890">
        <v>280</v>
      </c>
      <c r="J890">
        <v>55.92</v>
      </c>
    </row>
    <row r="891" spans="1:10" x14ac:dyDescent="0.35">
      <c r="A891" t="s">
        <v>1020</v>
      </c>
      <c r="B891" s="2">
        <v>45807</v>
      </c>
      <c r="C891" t="s">
        <v>295</v>
      </c>
      <c r="D891" t="s">
        <v>45</v>
      </c>
      <c r="E891" t="s">
        <v>46</v>
      </c>
      <c r="F891" t="s">
        <v>25</v>
      </c>
      <c r="G891">
        <v>2</v>
      </c>
      <c r="H891">
        <v>0</v>
      </c>
      <c r="I891">
        <v>36</v>
      </c>
      <c r="J891">
        <v>7.95</v>
      </c>
    </row>
    <row r="892" spans="1:10" x14ac:dyDescent="0.35">
      <c r="A892" t="s">
        <v>1021</v>
      </c>
      <c r="B892" s="2">
        <v>45927</v>
      </c>
      <c r="C892" t="s">
        <v>349</v>
      </c>
      <c r="D892" t="s">
        <v>99</v>
      </c>
      <c r="E892" t="s">
        <v>18</v>
      </c>
      <c r="F892" t="s">
        <v>14</v>
      </c>
      <c r="G892">
        <v>5</v>
      </c>
      <c r="H892">
        <v>0.05</v>
      </c>
      <c r="I892">
        <v>902.5</v>
      </c>
      <c r="J892">
        <v>198.89</v>
      </c>
    </row>
    <row r="893" spans="1:10" x14ac:dyDescent="0.35">
      <c r="A893" t="s">
        <v>1022</v>
      </c>
      <c r="B893" s="2">
        <v>45713</v>
      </c>
      <c r="C893" t="s">
        <v>515</v>
      </c>
      <c r="D893" t="s">
        <v>83</v>
      </c>
      <c r="E893" t="s">
        <v>46</v>
      </c>
      <c r="F893" t="s">
        <v>25</v>
      </c>
      <c r="G893">
        <v>5</v>
      </c>
      <c r="H893">
        <v>0</v>
      </c>
      <c r="I893">
        <v>125</v>
      </c>
      <c r="J893">
        <v>36.299999999999997</v>
      </c>
    </row>
    <row r="894" spans="1:10" x14ac:dyDescent="0.35">
      <c r="A894" t="s">
        <v>1023</v>
      </c>
      <c r="B894" s="2">
        <v>45876</v>
      </c>
      <c r="C894" t="s">
        <v>111</v>
      </c>
      <c r="D894" t="s">
        <v>83</v>
      </c>
      <c r="E894" t="s">
        <v>46</v>
      </c>
      <c r="F894" t="s">
        <v>25</v>
      </c>
      <c r="G894">
        <v>3</v>
      </c>
      <c r="H894">
        <v>0.1</v>
      </c>
      <c r="I894">
        <v>67.5</v>
      </c>
      <c r="J894">
        <v>18.670000000000002</v>
      </c>
    </row>
    <row r="895" spans="1:10" x14ac:dyDescent="0.35">
      <c r="A895" t="s">
        <v>1024</v>
      </c>
      <c r="B895" s="2">
        <v>45724</v>
      </c>
      <c r="C895" t="s">
        <v>189</v>
      </c>
      <c r="D895" t="s">
        <v>83</v>
      </c>
      <c r="E895" t="s">
        <v>46</v>
      </c>
      <c r="F895" t="s">
        <v>50</v>
      </c>
      <c r="G895">
        <v>5</v>
      </c>
      <c r="H895">
        <v>0.15</v>
      </c>
      <c r="I895">
        <v>106.25</v>
      </c>
      <c r="J895">
        <v>29.59</v>
      </c>
    </row>
    <row r="896" spans="1:10" x14ac:dyDescent="0.35">
      <c r="A896" t="s">
        <v>1025</v>
      </c>
      <c r="B896" s="2">
        <v>45910</v>
      </c>
      <c r="C896" t="s">
        <v>142</v>
      </c>
      <c r="D896" t="s">
        <v>28</v>
      </c>
      <c r="E896" t="s">
        <v>18</v>
      </c>
      <c r="F896" t="s">
        <v>14</v>
      </c>
      <c r="G896">
        <v>5</v>
      </c>
      <c r="H896">
        <v>0.05</v>
      </c>
      <c r="I896">
        <v>1330</v>
      </c>
      <c r="J896">
        <v>287.5</v>
      </c>
    </row>
    <row r="897" spans="1:10" x14ac:dyDescent="0.35">
      <c r="A897" t="s">
        <v>1026</v>
      </c>
      <c r="B897" s="2">
        <v>45718</v>
      </c>
      <c r="C897" t="s">
        <v>124</v>
      </c>
      <c r="D897" t="s">
        <v>67</v>
      </c>
      <c r="E897" t="s">
        <v>13</v>
      </c>
      <c r="F897" t="s">
        <v>50</v>
      </c>
      <c r="G897">
        <v>4</v>
      </c>
      <c r="H897">
        <v>0</v>
      </c>
      <c r="I897">
        <v>4800</v>
      </c>
      <c r="J897">
        <v>991.85</v>
      </c>
    </row>
    <row r="898" spans="1:10" x14ac:dyDescent="0.35">
      <c r="A898" t="s">
        <v>1027</v>
      </c>
      <c r="B898" s="2">
        <v>45869</v>
      </c>
      <c r="C898" t="s">
        <v>44</v>
      </c>
      <c r="D898" t="s">
        <v>67</v>
      </c>
      <c r="E898" t="s">
        <v>13</v>
      </c>
      <c r="F898" t="s">
        <v>22</v>
      </c>
      <c r="G898">
        <v>3</v>
      </c>
      <c r="H898">
        <v>0.1</v>
      </c>
      <c r="I898">
        <v>3240</v>
      </c>
      <c r="J898">
        <v>858.8</v>
      </c>
    </row>
    <row r="899" spans="1:10" x14ac:dyDescent="0.35">
      <c r="A899" t="s">
        <v>1028</v>
      </c>
      <c r="B899" s="2">
        <v>45663</v>
      </c>
      <c r="C899" t="s">
        <v>80</v>
      </c>
      <c r="D899" t="s">
        <v>38</v>
      </c>
      <c r="E899" t="s">
        <v>13</v>
      </c>
      <c r="F899" t="s">
        <v>25</v>
      </c>
      <c r="G899">
        <v>2</v>
      </c>
      <c r="H899">
        <v>0.1</v>
      </c>
      <c r="I899">
        <v>576</v>
      </c>
      <c r="J899">
        <v>210.84</v>
      </c>
    </row>
    <row r="900" spans="1:10" x14ac:dyDescent="0.35">
      <c r="A900" t="s">
        <v>1029</v>
      </c>
      <c r="B900" s="2">
        <v>45811</v>
      </c>
      <c r="C900" t="s">
        <v>183</v>
      </c>
      <c r="D900" t="s">
        <v>55</v>
      </c>
      <c r="E900" t="s">
        <v>46</v>
      </c>
      <c r="F900" t="s">
        <v>25</v>
      </c>
      <c r="G900">
        <v>5</v>
      </c>
      <c r="H900">
        <v>0.1</v>
      </c>
      <c r="I900">
        <v>1080</v>
      </c>
      <c r="J900">
        <v>212.63</v>
      </c>
    </row>
    <row r="901" spans="1:10" x14ac:dyDescent="0.35">
      <c r="A901" t="s">
        <v>1030</v>
      </c>
      <c r="B901" s="2">
        <v>45832</v>
      </c>
      <c r="C901" t="s">
        <v>238</v>
      </c>
      <c r="D901" t="s">
        <v>99</v>
      </c>
      <c r="E901" t="s">
        <v>18</v>
      </c>
      <c r="F901" t="s">
        <v>22</v>
      </c>
      <c r="G901">
        <v>5</v>
      </c>
      <c r="H901">
        <v>0.2</v>
      </c>
      <c r="I901">
        <v>760</v>
      </c>
      <c r="J901">
        <v>101.2</v>
      </c>
    </row>
    <row r="902" spans="1:10" x14ac:dyDescent="0.35">
      <c r="A902" t="s">
        <v>1031</v>
      </c>
      <c r="B902" s="2">
        <v>45827</v>
      </c>
      <c r="C902" t="s">
        <v>192</v>
      </c>
      <c r="D902" t="s">
        <v>49</v>
      </c>
      <c r="E902" t="s">
        <v>13</v>
      </c>
      <c r="F902" t="s">
        <v>22</v>
      </c>
      <c r="G902">
        <v>4</v>
      </c>
      <c r="H902">
        <v>0.15</v>
      </c>
      <c r="I902">
        <v>238</v>
      </c>
      <c r="J902">
        <v>44.48</v>
      </c>
    </row>
    <row r="903" spans="1:10" x14ac:dyDescent="0.35">
      <c r="A903" t="s">
        <v>1032</v>
      </c>
      <c r="B903" s="2">
        <v>45904</v>
      </c>
      <c r="C903" t="s">
        <v>89</v>
      </c>
      <c r="D903" t="s">
        <v>28</v>
      </c>
      <c r="E903" t="s">
        <v>18</v>
      </c>
      <c r="F903" t="s">
        <v>50</v>
      </c>
      <c r="G903">
        <v>4</v>
      </c>
      <c r="H903">
        <v>0.2</v>
      </c>
      <c r="I903">
        <v>896</v>
      </c>
      <c r="J903">
        <v>138.29</v>
      </c>
    </row>
    <row r="904" spans="1:10" x14ac:dyDescent="0.35">
      <c r="A904" t="s">
        <v>1033</v>
      </c>
      <c r="B904" s="2">
        <v>45686</v>
      </c>
      <c r="C904" t="s">
        <v>48</v>
      </c>
      <c r="D904" t="s">
        <v>55</v>
      </c>
      <c r="E904" t="s">
        <v>46</v>
      </c>
      <c r="F904" t="s">
        <v>14</v>
      </c>
      <c r="G904">
        <v>3</v>
      </c>
      <c r="H904">
        <v>0.2</v>
      </c>
      <c r="I904">
        <v>576</v>
      </c>
      <c r="J904">
        <v>121.4</v>
      </c>
    </row>
    <row r="905" spans="1:10" x14ac:dyDescent="0.35">
      <c r="A905" t="s">
        <v>1034</v>
      </c>
      <c r="B905" s="2">
        <v>45764</v>
      </c>
      <c r="C905" t="s">
        <v>251</v>
      </c>
      <c r="D905" t="s">
        <v>83</v>
      </c>
      <c r="E905" t="s">
        <v>46</v>
      </c>
      <c r="F905" t="s">
        <v>25</v>
      </c>
      <c r="G905">
        <v>3</v>
      </c>
      <c r="H905">
        <v>0.1</v>
      </c>
      <c r="I905">
        <v>67.5</v>
      </c>
      <c r="J905">
        <v>28.9</v>
      </c>
    </row>
    <row r="906" spans="1:10" x14ac:dyDescent="0.35">
      <c r="A906" t="s">
        <v>1035</v>
      </c>
      <c r="B906" s="2">
        <v>45673</v>
      </c>
      <c r="C906" t="s">
        <v>219</v>
      </c>
      <c r="D906" t="s">
        <v>49</v>
      </c>
      <c r="E906" t="s">
        <v>13</v>
      </c>
      <c r="F906" t="s">
        <v>50</v>
      </c>
      <c r="G906">
        <v>4</v>
      </c>
      <c r="H906">
        <v>0.2</v>
      </c>
      <c r="I906">
        <v>224</v>
      </c>
      <c r="J906">
        <v>38.53</v>
      </c>
    </row>
    <row r="907" spans="1:10" x14ac:dyDescent="0.35">
      <c r="A907" t="s">
        <v>1036</v>
      </c>
      <c r="B907" s="2">
        <v>45753</v>
      </c>
      <c r="C907" t="s">
        <v>48</v>
      </c>
      <c r="D907" t="s">
        <v>83</v>
      </c>
      <c r="E907" t="s">
        <v>46</v>
      </c>
      <c r="F907" t="s">
        <v>14</v>
      </c>
      <c r="G907">
        <v>1</v>
      </c>
      <c r="H907">
        <v>0.1</v>
      </c>
      <c r="I907">
        <v>22.5</v>
      </c>
      <c r="J907">
        <v>4.8899999999999997</v>
      </c>
    </row>
    <row r="908" spans="1:10" x14ac:dyDescent="0.35">
      <c r="A908" t="s">
        <v>1037</v>
      </c>
      <c r="B908" s="2">
        <v>45797</v>
      </c>
      <c r="C908" t="s">
        <v>69</v>
      </c>
      <c r="D908" t="s">
        <v>99</v>
      </c>
      <c r="E908" t="s">
        <v>18</v>
      </c>
      <c r="F908" t="s">
        <v>50</v>
      </c>
      <c r="G908">
        <v>1</v>
      </c>
      <c r="H908">
        <v>0.15</v>
      </c>
      <c r="I908">
        <v>161.5</v>
      </c>
      <c r="J908">
        <v>25.93</v>
      </c>
    </row>
    <row r="909" spans="1:10" x14ac:dyDescent="0.35">
      <c r="A909" t="s">
        <v>1038</v>
      </c>
      <c r="B909" s="2">
        <v>45812</v>
      </c>
      <c r="C909" t="s">
        <v>69</v>
      </c>
      <c r="D909" t="s">
        <v>21</v>
      </c>
      <c r="E909" t="s">
        <v>18</v>
      </c>
      <c r="F909" t="s">
        <v>14</v>
      </c>
      <c r="G909">
        <v>5</v>
      </c>
      <c r="H909">
        <v>0.1</v>
      </c>
      <c r="I909">
        <v>247.5</v>
      </c>
      <c r="J909">
        <v>97.08</v>
      </c>
    </row>
    <row r="910" spans="1:10" x14ac:dyDescent="0.35">
      <c r="A910" t="s">
        <v>1039</v>
      </c>
      <c r="B910" s="2">
        <v>45761</v>
      </c>
      <c r="C910" t="s">
        <v>641</v>
      </c>
      <c r="D910" t="s">
        <v>12</v>
      </c>
      <c r="E910" t="s">
        <v>13</v>
      </c>
      <c r="F910" t="s">
        <v>22</v>
      </c>
      <c r="G910">
        <v>4</v>
      </c>
      <c r="H910">
        <v>0.2</v>
      </c>
      <c r="I910">
        <v>112</v>
      </c>
      <c r="J910">
        <v>49.48</v>
      </c>
    </row>
    <row r="911" spans="1:10" x14ac:dyDescent="0.35">
      <c r="A911" t="s">
        <v>1040</v>
      </c>
      <c r="B911" s="2">
        <v>45755</v>
      </c>
      <c r="C911" t="s">
        <v>150</v>
      </c>
      <c r="D911" t="s">
        <v>49</v>
      </c>
      <c r="E911" t="s">
        <v>13</v>
      </c>
      <c r="F911" t="s">
        <v>22</v>
      </c>
      <c r="G911">
        <v>4</v>
      </c>
      <c r="H911">
        <v>0.2</v>
      </c>
      <c r="I911">
        <v>224</v>
      </c>
      <c r="J911">
        <v>77.86</v>
      </c>
    </row>
    <row r="912" spans="1:10" x14ac:dyDescent="0.35">
      <c r="A912" t="s">
        <v>1041</v>
      </c>
      <c r="B912" s="2">
        <v>45708</v>
      </c>
      <c r="C912" t="s">
        <v>101</v>
      </c>
      <c r="D912" t="s">
        <v>55</v>
      </c>
      <c r="E912" t="s">
        <v>46</v>
      </c>
      <c r="F912" t="s">
        <v>50</v>
      </c>
      <c r="G912">
        <v>2</v>
      </c>
      <c r="H912">
        <v>0.05</v>
      </c>
      <c r="I912">
        <v>456</v>
      </c>
      <c r="J912">
        <v>96.17</v>
      </c>
    </row>
    <row r="913" spans="1:10" x14ac:dyDescent="0.35">
      <c r="A913" t="s">
        <v>1042</v>
      </c>
      <c r="B913" s="2">
        <v>45925</v>
      </c>
      <c r="C913" t="s">
        <v>278</v>
      </c>
      <c r="D913" t="s">
        <v>12</v>
      </c>
      <c r="E913" t="s">
        <v>13</v>
      </c>
      <c r="F913" t="s">
        <v>14</v>
      </c>
      <c r="G913">
        <v>1</v>
      </c>
      <c r="H913">
        <v>0.1</v>
      </c>
      <c r="I913">
        <v>31.5</v>
      </c>
      <c r="J913">
        <v>4.4800000000000004</v>
      </c>
    </row>
    <row r="914" spans="1:10" x14ac:dyDescent="0.35">
      <c r="A914" t="s">
        <v>1043</v>
      </c>
      <c r="B914" s="2">
        <v>45828</v>
      </c>
      <c r="C914" t="s">
        <v>145</v>
      </c>
      <c r="D914" t="s">
        <v>45</v>
      </c>
      <c r="E914" t="s">
        <v>46</v>
      </c>
      <c r="F914" t="s">
        <v>25</v>
      </c>
      <c r="G914">
        <v>1</v>
      </c>
      <c r="H914">
        <v>0</v>
      </c>
      <c r="I914">
        <v>18</v>
      </c>
      <c r="J914">
        <v>5.01</v>
      </c>
    </row>
    <row r="915" spans="1:10" x14ac:dyDescent="0.35">
      <c r="A915" t="s">
        <v>1044</v>
      </c>
      <c r="B915" s="2">
        <v>45669</v>
      </c>
      <c r="C915" t="s">
        <v>142</v>
      </c>
      <c r="D915" t="s">
        <v>83</v>
      </c>
      <c r="E915" t="s">
        <v>46</v>
      </c>
      <c r="F915" t="s">
        <v>25</v>
      </c>
      <c r="G915">
        <v>3</v>
      </c>
      <c r="H915">
        <v>0.05</v>
      </c>
      <c r="I915">
        <v>71.25</v>
      </c>
      <c r="J915">
        <v>24.52</v>
      </c>
    </row>
    <row r="916" spans="1:10" x14ac:dyDescent="0.35">
      <c r="A916" t="s">
        <v>1045</v>
      </c>
      <c r="B916" s="2">
        <v>45799</v>
      </c>
      <c r="C916" t="s">
        <v>231</v>
      </c>
      <c r="D916" t="s">
        <v>55</v>
      </c>
      <c r="E916" t="s">
        <v>46</v>
      </c>
      <c r="F916" t="s">
        <v>22</v>
      </c>
      <c r="G916">
        <v>3</v>
      </c>
      <c r="H916">
        <v>0.15</v>
      </c>
      <c r="I916">
        <v>612</v>
      </c>
      <c r="J916">
        <v>139.86000000000001</v>
      </c>
    </row>
    <row r="917" spans="1:10" x14ac:dyDescent="0.35">
      <c r="A917" t="s">
        <v>1046</v>
      </c>
      <c r="B917" s="2">
        <v>45738</v>
      </c>
      <c r="C917" t="s">
        <v>20</v>
      </c>
      <c r="D917" t="s">
        <v>35</v>
      </c>
      <c r="E917" t="s">
        <v>13</v>
      </c>
      <c r="F917" t="s">
        <v>14</v>
      </c>
      <c r="G917">
        <v>1</v>
      </c>
      <c r="H917">
        <v>0</v>
      </c>
      <c r="I917">
        <v>850</v>
      </c>
      <c r="J917">
        <v>113.7</v>
      </c>
    </row>
    <row r="918" spans="1:10" x14ac:dyDescent="0.35">
      <c r="A918" t="s">
        <v>1047</v>
      </c>
      <c r="B918" s="2">
        <v>45763</v>
      </c>
      <c r="C918" t="s">
        <v>154</v>
      </c>
      <c r="D918" t="s">
        <v>55</v>
      </c>
      <c r="E918" t="s">
        <v>46</v>
      </c>
      <c r="F918" t="s">
        <v>25</v>
      </c>
      <c r="G918">
        <v>3</v>
      </c>
      <c r="H918">
        <v>0.2</v>
      </c>
      <c r="I918">
        <v>576</v>
      </c>
      <c r="J918">
        <v>198.66</v>
      </c>
    </row>
    <row r="919" spans="1:10" x14ac:dyDescent="0.35">
      <c r="A919" t="s">
        <v>1048</v>
      </c>
      <c r="B919" s="2">
        <v>45951</v>
      </c>
      <c r="C919" t="s">
        <v>91</v>
      </c>
      <c r="D919" t="s">
        <v>21</v>
      </c>
      <c r="E919" t="s">
        <v>18</v>
      </c>
      <c r="F919" t="s">
        <v>50</v>
      </c>
      <c r="G919">
        <v>2</v>
      </c>
      <c r="H919">
        <v>0</v>
      </c>
      <c r="I919">
        <v>110</v>
      </c>
      <c r="J919">
        <v>38.200000000000003</v>
      </c>
    </row>
    <row r="920" spans="1:10" x14ac:dyDescent="0.35">
      <c r="A920" t="s">
        <v>1049</v>
      </c>
      <c r="B920" s="2">
        <v>45683</v>
      </c>
      <c r="C920" t="s">
        <v>217</v>
      </c>
      <c r="D920" t="s">
        <v>28</v>
      </c>
      <c r="E920" t="s">
        <v>18</v>
      </c>
      <c r="F920" t="s">
        <v>14</v>
      </c>
      <c r="G920">
        <v>1</v>
      </c>
      <c r="H920">
        <v>0.15</v>
      </c>
      <c r="I920">
        <v>238</v>
      </c>
      <c r="J920">
        <v>36.159999999999997</v>
      </c>
    </row>
    <row r="921" spans="1:10" x14ac:dyDescent="0.35">
      <c r="A921" t="s">
        <v>1050</v>
      </c>
      <c r="B921" s="2">
        <v>45854</v>
      </c>
      <c r="C921" t="s">
        <v>34</v>
      </c>
      <c r="D921" t="s">
        <v>67</v>
      </c>
      <c r="E921" t="s">
        <v>13</v>
      </c>
      <c r="F921" t="s">
        <v>50</v>
      </c>
      <c r="G921">
        <v>1</v>
      </c>
      <c r="H921">
        <v>0.15</v>
      </c>
      <c r="I921">
        <v>1020</v>
      </c>
      <c r="J921">
        <v>327.08</v>
      </c>
    </row>
    <row r="922" spans="1:10" x14ac:dyDescent="0.35">
      <c r="A922" t="s">
        <v>1051</v>
      </c>
      <c r="B922" s="2">
        <v>45973</v>
      </c>
      <c r="C922" t="s">
        <v>165</v>
      </c>
      <c r="D922" t="s">
        <v>49</v>
      </c>
      <c r="E922" t="s">
        <v>13</v>
      </c>
      <c r="F922" t="s">
        <v>14</v>
      </c>
      <c r="G922">
        <v>3</v>
      </c>
      <c r="H922">
        <v>0.1</v>
      </c>
      <c r="I922">
        <v>189</v>
      </c>
      <c r="J922">
        <v>34.07</v>
      </c>
    </row>
    <row r="923" spans="1:10" x14ac:dyDescent="0.35">
      <c r="A923" t="s">
        <v>1052</v>
      </c>
      <c r="B923" s="2">
        <v>45896</v>
      </c>
      <c r="C923" t="s">
        <v>135</v>
      </c>
      <c r="D923" t="s">
        <v>83</v>
      </c>
      <c r="E923" t="s">
        <v>46</v>
      </c>
      <c r="F923" t="s">
        <v>50</v>
      </c>
      <c r="G923">
        <v>2</v>
      </c>
      <c r="H923">
        <v>0</v>
      </c>
      <c r="I923">
        <v>50</v>
      </c>
      <c r="J923">
        <v>9.09</v>
      </c>
    </row>
    <row r="924" spans="1:10" x14ac:dyDescent="0.35">
      <c r="A924" t="s">
        <v>1053</v>
      </c>
      <c r="B924" s="2">
        <v>45707</v>
      </c>
      <c r="C924" t="s">
        <v>224</v>
      </c>
      <c r="D924" t="s">
        <v>45</v>
      </c>
      <c r="E924" t="s">
        <v>46</v>
      </c>
      <c r="F924" t="s">
        <v>22</v>
      </c>
      <c r="G924">
        <v>3</v>
      </c>
      <c r="H924">
        <v>0.15</v>
      </c>
      <c r="I924">
        <v>45.9</v>
      </c>
      <c r="J924">
        <v>13.53</v>
      </c>
    </row>
    <row r="925" spans="1:10" x14ac:dyDescent="0.35">
      <c r="A925" t="s">
        <v>1054</v>
      </c>
      <c r="B925" s="2">
        <v>45973</v>
      </c>
      <c r="C925" t="s">
        <v>78</v>
      </c>
      <c r="D925" t="s">
        <v>35</v>
      </c>
      <c r="E925" t="s">
        <v>13</v>
      </c>
      <c r="F925" t="s">
        <v>25</v>
      </c>
      <c r="G925">
        <v>3</v>
      </c>
      <c r="H925">
        <v>0.15</v>
      </c>
      <c r="I925">
        <v>2167.5</v>
      </c>
      <c r="J925">
        <v>844.23</v>
      </c>
    </row>
    <row r="926" spans="1:10" x14ac:dyDescent="0.35">
      <c r="A926" t="s">
        <v>1055</v>
      </c>
      <c r="B926" s="2">
        <v>45824</v>
      </c>
      <c r="C926" t="s">
        <v>183</v>
      </c>
      <c r="D926" t="s">
        <v>45</v>
      </c>
      <c r="E926" t="s">
        <v>46</v>
      </c>
      <c r="F926" t="s">
        <v>25</v>
      </c>
      <c r="G926">
        <v>4</v>
      </c>
      <c r="H926">
        <v>0</v>
      </c>
      <c r="I926">
        <v>72</v>
      </c>
      <c r="J926">
        <v>30.85</v>
      </c>
    </row>
    <row r="927" spans="1:10" x14ac:dyDescent="0.35">
      <c r="A927" t="s">
        <v>1056</v>
      </c>
      <c r="B927" s="2">
        <v>45903</v>
      </c>
      <c r="C927" t="s">
        <v>185</v>
      </c>
      <c r="D927" t="s">
        <v>45</v>
      </c>
      <c r="E927" t="s">
        <v>46</v>
      </c>
      <c r="F927" t="s">
        <v>22</v>
      </c>
      <c r="G927">
        <v>2</v>
      </c>
      <c r="H927">
        <v>0.1</v>
      </c>
      <c r="I927">
        <v>32.4</v>
      </c>
      <c r="J927">
        <v>6.37</v>
      </c>
    </row>
    <row r="928" spans="1:10" x14ac:dyDescent="0.35">
      <c r="A928" t="s">
        <v>1057</v>
      </c>
      <c r="B928" s="2">
        <v>45918</v>
      </c>
      <c r="C928" t="s">
        <v>196</v>
      </c>
      <c r="D928" t="s">
        <v>12</v>
      </c>
      <c r="E928" t="s">
        <v>13</v>
      </c>
      <c r="F928" t="s">
        <v>14</v>
      </c>
      <c r="G928">
        <v>4</v>
      </c>
      <c r="H928">
        <v>0</v>
      </c>
      <c r="I928">
        <v>140</v>
      </c>
      <c r="J928">
        <v>47.94</v>
      </c>
    </row>
    <row r="929" spans="1:10" x14ac:dyDescent="0.35">
      <c r="A929" t="s">
        <v>1058</v>
      </c>
      <c r="B929" s="2">
        <v>45812</v>
      </c>
      <c r="C929" t="s">
        <v>109</v>
      </c>
      <c r="D929" t="s">
        <v>55</v>
      </c>
      <c r="E929" t="s">
        <v>46</v>
      </c>
      <c r="F929" t="s">
        <v>22</v>
      </c>
      <c r="G929">
        <v>4</v>
      </c>
      <c r="H929">
        <v>0.15</v>
      </c>
      <c r="I929">
        <v>816</v>
      </c>
      <c r="J929">
        <v>208.18</v>
      </c>
    </row>
    <row r="930" spans="1:10" x14ac:dyDescent="0.35">
      <c r="A930" t="s">
        <v>1059</v>
      </c>
      <c r="B930" s="2">
        <v>45938</v>
      </c>
      <c r="C930" t="s">
        <v>124</v>
      </c>
      <c r="D930" t="s">
        <v>28</v>
      </c>
      <c r="E930" t="s">
        <v>18</v>
      </c>
      <c r="F930" t="s">
        <v>50</v>
      </c>
      <c r="G930">
        <v>4</v>
      </c>
      <c r="H930">
        <v>0.15</v>
      </c>
      <c r="I930">
        <v>952</v>
      </c>
      <c r="J930">
        <v>407.65</v>
      </c>
    </row>
    <row r="931" spans="1:10" x14ac:dyDescent="0.35">
      <c r="A931" t="s">
        <v>1060</v>
      </c>
      <c r="B931" s="2">
        <v>45880</v>
      </c>
      <c r="C931" t="s">
        <v>238</v>
      </c>
      <c r="D931" t="s">
        <v>83</v>
      </c>
      <c r="E931" t="s">
        <v>46</v>
      </c>
      <c r="F931" t="s">
        <v>14</v>
      </c>
      <c r="G931">
        <v>3</v>
      </c>
      <c r="H931">
        <v>0.2</v>
      </c>
      <c r="I931">
        <v>60</v>
      </c>
      <c r="J931">
        <v>13.26</v>
      </c>
    </row>
    <row r="932" spans="1:10" x14ac:dyDescent="0.35">
      <c r="A932" t="s">
        <v>1061</v>
      </c>
      <c r="B932" s="2">
        <v>46022</v>
      </c>
      <c r="C932" t="s">
        <v>89</v>
      </c>
      <c r="D932" t="s">
        <v>83</v>
      </c>
      <c r="E932" t="s">
        <v>46</v>
      </c>
      <c r="F932" t="s">
        <v>25</v>
      </c>
      <c r="G932">
        <v>4</v>
      </c>
      <c r="H932">
        <v>0</v>
      </c>
      <c r="I932">
        <v>100</v>
      </c>
      <c r="J932">
        <v>25.46</v>
      </c>
    </row>
    <row r="933" spans="1:10" x14ac:dyDescent="0.35">
      <c r="A933" t="s">
        <v>1062</v>
      </c>
      <c r="B933" s="2">
        <v>45942</v>
      </c>
      <c r="C933" t="s">
        <v>98</v>
      </c>
      <c r="D933" t="s">
        <v>12</v>
      </c>
      <c r="E933" t="s">
        <v>13</v>
      </c>
      <c r="F933" t="s">
        <v>14</v>
      </c>
      <c r="G933">
        <v>4</v>
      </c>
      <c r="H933">
        <v>0.05</v>
      </c>
      <c r="I933">
        <v>133</v>
      </c>
      <c r="J933">
        <v>46.33</v>
      </c>
    </row>
    <row r="934" spans="1:10" x14ac:dyDescent="0.35">
      <c r="A934" t="s">
        <v>1063</v>
      </c>
      <c r="B934" s="2">
        <v>45964</v>
      </c>
      <c r="C934" t="s">
        <v>192</v>
      </c>
      <c r="D934" t="s">
        <v>12</v>
      </c>
      <c r="E934" t="s">
        <v>13</v>
      </c>
      <c r="F934" t="s">
        <v>14</v>
      </c>
      <c r="G934">
        <v>5</v>
      </c>
      <c r="H934">
        <v>0.15</v>
      </c>
      <c r="I934">
        <v>148.75</v>
      </c>
      <c r="J934">
        <v>50.87</v>
      </c>
    </row>
    <row r="935" spans="1:10" x14ac:dyDescent="0.35">
      <c r="A935" t="s">
        <v>1064</v>
      </c>
      <c r="B935" s="2">
        <v>45704</v>
      </c>
      <c r="C935" t="s">
        <v>44</v>
      </c>
      <c r="D935" t="s">
        <v>21</v>
      </c>
      <c r="E935" t="s">
        <v>18</v>
      </c>
      <c r="F935" t="s">
        <v>14</v>
      </c>
      <c r="G935">
        <v>2</v>
      </c>
      <c r="H935">
        <v>0.2</v>
      </c>
      <c r="I935">
        <v>88</v>
      </c>
      <c r="J935">
        <v>13.37</v>
      </c>
    </row>
    <row r="936" spans="1:10" x14ac:dyDescent="0.35">
      <c r="A936" t="s">
        <v>1065</v>
      </c>
      <c r="B936" s="2">
        <v>45733</v>
      </c>
      <c r="C936" t="s">
        <v>59</v>
      </c>
      <c r="D936" t="s">
        <v>38</v>
      </c>
      <c r="E936" t="s">
        <v>13</v>
      </c>
      <c r="F936" t="s">
        <v>50</v>
      </c>
      <c r="G936">
        <v>2</v>
      </c>
      <c r="H936">
        <v>0.15</v>
      </c>
      <c r="I936">
        <v>544</v>
      </c>
      <c r="J936">
        <v>149.43</v>
      </c>
    </row>
    <row r="937" spans="1:10" x14ac:dyDescent="0.35">
      <c r="A937" t="s">
        <v>1066</v>
      </c>
      <c r="B937" s="2">
        <v>45758</v>
      </c>
      <c r="C937" t="s">
        <v>236</v>
      </c>
      <c r="D937" t="s">
        <v>21</v>
      </c>
      <c r="E937" t="s">
        <v>18</v>
      </c>
      <c r="F937" t="s">
        <v>25</v>
      </c>
      <c r="G937">
        <v>3</v>
      </c>
      <c r="H937">
        <v>0.1</v>
      </c>
      <c r="I937">
        <v>148.5</v>
      </c>
      <c r="J937">
        <v>38.880000000000003</v>
      </c>
    </row>
    <row r="938" spans="1:10" x14ac:dyDescent="0.35">
      <c r="A938" t="s">
        <v>1067</v>
      </c>
      <c r="B938" s="2">
        <v>45880</v>
      </c>
      <c r="C938" t="s">
        <v>349</v>
      </c>
      <c r="D938" t="s">
        <v>17</v>
      </c>
      <c r="E938" t="s">
        <v>18</v>
      </c>
      <c r="F938" t="s">
        <v>50</v>
      </c>
      <c r="G938">
        <v>3</v>
      </c>
      <c r="H938">
        <v>0</v>
      </c>
      <c r="I938">
        <v>630</v>
      </c>
      <c r="J938">
        <v>162.35</v>
      </c>
    </row>
    <row r="939" spans="1:10" x14ac:dyDescent="0.35">
      <c r="A939" t="s">
        <v>1068</v>
      </c>
      <c r="B939" s="2">
        <v>45723</v>
      </c>
      <c r="C939" t="s">
        <v>217</v>
      </c>
      <c r="D939" t="s">
        <v>35</v>
      </c>
      <c r="E939" t="s">
        <v>13</v>
      </c>
      <c r="F939" t="s">
        <v>14</v>
      </c>
      <c r="G939">
        <v>1</v>
      </c>
      <c r="H939">
        <v>0.1</v>
      </c>
      <c r="I939">
        <v>765</v>
      </c>
      <c r="J939">
        <v>116.77</v>
      </c>
    </row>
    <row r="940" spans="1:10" x14ac:dyDescent="0.35">
      <c r="A940" t="s">
        <v>1069</v>
      </c>
      <c r="B940" s="2">
        <v>46018</v>
      </c>
      <c r="C940" t="s">
        <v>369</v>
      </c>
      <c r="D940" t="s">
        <v>55</v>
      </c>
      <c r="E940" t="s">
        <v>46</v>
      </c>
      <c r="F940" t="s">
        <v>22</v>
      </c>
      <c r="G940">
        <v>3</v>
      </c>
      <c r="H940">
        <v>0</v>
      </c>
      <c r="I940">
        <v>720</v>
      </c>
      <c r="J940">
        <v>119.37</v>
      </c>
    </row>
    <row r="941" spans="1:10" x14ac:dyDescent="0.35">
      <c r="A941" t="s">
        <v>1070</v>
      </c>
      <c r="B941" s="2">
        <v>45879</v>
      </c>
      <c r="C941" t="s">
        <v>165</v>
      </c>
      <c r="D941" t="s">
        <v>17</v>
      </c>
      <c r="E941" t="s">
        <v>18</v>
      </c>
      <c r="F941" t="s">
        <v>50</v>
      </c>
      <c r="G941">
        <v>5</v>
      </c>
      <c r="H941">
        <v>0.15</v>
      </c>
      <c r="I941">
        <v>892.5</v>
      </c>
      <c r="J941">
        <v>217.48</v>
      </c>
    </row>
    <row r="942" spans="1:10" x14ac:dyDescent="0.35">
      <c r="A942" t="s">
        <v>1071</v>
      </c>
      <c r="B942" s="2">
        <v>45865</v>
      </c>
      <c r="C942" t="s">
        <v>238</v>
      </c>
      <c r="D942" t="s">
        <v>99</v>
      </c>
      <c r="E942" t="s">
        <v>18</v>
      </c>
      <c r="F942" t="s">
        <v>50</v>
      </c>
      <c r="G942">
        <v>4</v>
      </c>
      <c r="H942">
        <v>0.2</v>
      </c>
      <c r="I942">
        <v>608</v>
      </c>
      <c r="J942">
        <v>231.22</v>
      </c>
    </row>
    <row r="943" spans="1:10" x14ac:dyDescent="0.35">
      <c r="A943" t="s">
        <v>1072</v>
      </c>
      <c r="B943" s="2">
        <v>45729</v>
      </c>
      <c r="C943" t="s">
        <v>194</v>
      </c>
      <c r="D943" t="s">
        <v>21</v>
      </c>
      <c r="E943" t="s">
        <v>18</v>
      </c>
      <c r="F943" t="s">
        <v>50</v>
      </c>
      <c r="G943">
        <v>5</v>
      </c>
      <c r="H943">
        <v>0.15</v>
      </c>
      <c r="I943">
        <v>233.75</v>
      </c>
      <c r="J943">
        <v>40.14</v>
      </c>
    </row>
    <row r="944" spans="1:10" x14ac:dyDescent="0.35">
      <c r="A944" t="s">
        <v>1073</v>
      </c>
      <c r="B944" s="2">
        <v>45736</v>
      </c>
      <c r="C944" t="s">
        <v>192</v>
      </c>
      <c r="D944" t="s">
        <v>35</v>
      </c>
      <c r="E944" t="s">
        <v>13</v>
      </c>
      <c r="F944" t="s">
        <v>14</v>
      </c>
      <c r="G944">
        <v>2</v>
      </c>
      <c r="H944">
        <v>0.05</v>
      </c>
      <c r="I944">
        <v>1615</v>
      </c>
      <c r="J944">
        <v>720.57</v>
      </c>
    </row>
    <row r="945" spans="1:10" x14ac:dyDescent="0.35">
      <c r="A945" t="s">
        <v>1074</v>
      </c>
      <c r="B945" s="2">
        <v>45731</v>
      </c>
      <c r="C945" t="s">
        <v>11</v>
      </c>
      <c r="D945" t="s">
        <v>17</v>
      </c>
      <c r="E945" t="s">
        <v>18</v>
      </c>
      <c r="F945" t="s">
        <v>14</v>
      </c>
      <c r="G945">
        <v>4</v>
      </c>
      <c r="H945">
        <v>0.15</v>
      </c>
      <c r="I945">
        <v>714</v>
      </c>
      <c r="J945">
        <v>91.58</v>
      </c>
    </row>
    <row r="946" spans="1:10" x14ac:dyDescent="0.35">
      <c r="A946" t="s">
        <v>1075</v>
      </c>
      <c r="B946" s="2">
        <v>45728</v>
      </c>
      <c r="C946" t="s">
        <v>135</v>
      </c>
      <c r="D946" t="s">
        <v>38</v>
      </c>
      <c r="E946" t="s">
        <v>13</v>
      </c>
      <c r="F946" t="s">
        <v>50</v>
      </c>
      <c r="G946">
        <v>4</v>
      </c>
      <c r="H946">
        <v>0.15</v>
      </c>
      <c r="I946">
        <v>1088</v>
      </c>
      <c r="J946">
        <v>168.77</v>
      </c>
    </row>
    <row r="947" spans="1:10" x14ac:dyDescent="0.35">
      <c r="A947" t="s">
        <v>1076</v>
      </c>
      <c r="B947" s="2">
        <v>45977</v>
      </c>
      <c r="C947" t="s">
        <v>483</v>
      </c>
      <c r="D947" t="s">
        <v>28</v>
      </c>
      <c r="E947" t="s">
        <v>18</v>
      </c>
      <c r="F947" t="s">
        <v>50</v>
      </c>
      <c r="G947">
        <v>4</v>
      </c>
      <c r="H947">
        <v>0.2</v>
      </c>
      <c r="I947">
        <v>896</v>
      </c>
      <c r="J947">
        <v>277.79000000000002</v>
      </c>
    </row>
    <row r="948" spans="1:10" x14ac:dyDescent="0.35">
      <c r="A948" t="s">
        <v>1077</v>
      </c>
      <c r="B948" s="2">
        <v>45839</v>
      </c>
      <c r="C948" t="s">
        <v>219</v>
      </c>
      <c r="D948" t="s">
        <v>21</v>
      </c>
      <c r="E948" t="s">
        <v>18</v>
      </c>
      <c r="F948" t="s">
        <v>50</v>
      </c>
      <c r="G948">
        <v>2</v>
      </c>
      <c r="H948">
        <v>0.15</v>
      </c>
      <c r="I948">
        <v>93.5</v>
      </c>
      <c r="J948">
        <v>23.42</v>
      </c>
    </row>
    <row r="949" spans="1:10" x14ac:dyDescent="0.35">
      <c r="A949" t="s">
        <v>1078</v>
      </c>
      <c r="B949" s="2">
        <v>45779</v>
      </c>
      <c r="C949" t="s">
        <v>119</v>
      </c>
      <c r="D949" t="s">
        <v>17</v>
      </c>
      <c r="E949" t="s">
        <v>18</v>
      </c>
      <c r="F949" t="s">
        <v>25</v>
      </c>
      <c r="G949">
        <v>5</v>
      </c>
      <c r="H949">
        <v>0.1</v>
      </c>
      <c r="I949">
        <v>945</v>
      </c>
      <c r="J949">
        <v>297.13</v>
      </c>
    </row>
    <row r="950" spans="1:10" x14ac:dyDescent="0.35">
      <c r="A950" t="s">
        <v>1079</v>
      </c>
      <c r="B950" s="2">
        <v>45675</v>
      </c>
      <c r="C950" t="s">
        <v>183</v>
      </c>
      <c r="D950" t="s">
        <v>67</v>
      </c>
      <c r="E950" t="s">
        <v>13</v>
      </c>
      <c r="F950" t="s">
        <v>50</v>
      </c>
      <c r="G950">
        <v>5</v>
      </c>
      <c r="H950">
        <v>0.15</v>
      </c>
      <c r="I950">
        <v>5100</v>
      </c>
      <c r="J950">
        <v>1108.68</v>
      </c>
    </row>
    <row r="951" spans="1:10" x14ac:dyDescent="0.35">
      <c r="A951" t="s">
        <v>1080</v>
      </c>
      <c r="B951" s="2">
        <v>46011</v>
      </c>
      <c r="C951" t="s">
        <v>57</v>
      </c>
      <c r="D951" t="s">
        <v>12</v>
      </c>
      <c r="E951" t="s">
        <v>13</v>
      </c>
      <c r="F951" t="s">
        <v>25</v>
      </c>
      <c r="G951">
        <v>2</v>
      </c>
      <c r="H951">
        <v>0.2</v>
      </c>
      <c r="I951">
        <v>56</v>
      </c>
      <c r="J951">
        <v>7.02</v>
      </c>
    </row>
    <row r="952" spans="1:10" x14ac:dyDescent="0.35">
      <c r="A952" t="s">
        <v>1081</v>
      </c>
      <c r="B952" s="2">
        <v>45896</v>
      </c>
      <c r="C952" t="s">
        <v>315</v>
      </c>
      <c r="D952" t="s">
        <v>55</v>
      </c>
      <c r="E952" t="s">
        <v>46</v>
      </c>
      <c r="F952" t="s">
        <v>22</v>
      </c>
      <c r="G952">
        <v>1</v>
      </c>
      <c r="H952">
        <v>0.2</v>
      </c>
      <c r="I952">
        <v>192</v>
      </c>
      <c r="J952">
        <v>30.01</v>
      </c>
    </row>
    <row r="953" spans="1:10" x14ac:dyDescent="0.35">
      <c r="A953" t="s">
        <v>1082</v>
      </c>
      <c r="B953" s="2">
        <v>45899</v>
      </c>
      <c r="C953" t="s">
        <v>187</v>
      </c>
      <c r="D953" t="s">
        <v>38</v>
      </c>
      <c r="E953" t="s">
        <v>13</v>
      </c>
      <c r="F953" t="s">
        <v>14</v>
      </c>
      <c r="G953">
        <v>1</v>
      </c>
      <c r="H953">
        <v>0.2</v>
      </c>
      <c r="I953">
        <v>256</v>
      </c>
      <c r="J953">
        <v>47.78</v>
      </c>
    </row>
    <row r="954" spans="1:10" x14ac:dyDescent="0.35">
      <c r="A954" t="s">
        <v>1083</v>
      </c>
      <c r="B954" s="2">
        <v>45833</v>
      </c>
      <c r="C954" t="s">
        <v>253</v>
      </c>
      <c r="D954" t="s">
        <v>55</v>
      </c>
      <c r="E954" t="s">
        <v>46</v>
      </c>
      <c r="F954" t="s">
        <v>25</v>
      </c>
      <c r="G954">
        <v>1</v>
      </c>
      <c r="H954">
        <v>0.15</v>
      </c>
      <c r="I954">
        <v>204</v>
      </c>
      <c r="J954">
        <v>61.23</v>
      </c>
    </row>
    <row r="955" spans="1:10" x14ac:dyDescent="0.35">
      <c r="A955" t="s">
        <v>1084</v>
      </c>
      <c r="B955" s="2">
        <v>45873</v>
      </c>
      <c r="C955" t="s">
        <v>515</v>
      </c>
      <c r="D955" t="s">
        <v>49</v>
      </c>
      <c r="E955" t="s">
        <v>13</v>
      </c>
      <c r="F955" t="s">
        <v>25</v>
      </c>
      <c r="G955">
        <v>3</v>
      </c>
      <c r="H955">
        <v>0.1</v>
      </c>
      <c r="I955">
        <v>189</v>
      </c>
      <c r="J955">
        <v>74.599999999999994</v>
      </c>
    </row>
    <row r="956" spans="1:10" x14ac:dyDescent="0.35">
      <c r="A956" t="s">
        <v>1085</v>
      </c>
      <c r="B956" s="2">
        <v>45946</v>
      </c>
      <c r="C956" t="s">
        <v>219</v>
      </c>
      <c r="D956" t="s">
        <v>35</v>
      </c>
      <c r="E956" t="s">
        <v>13</v>
      </c>
      <c r="F956" t="s">
        <v>14</v>
      </c>
      <c r="G956">
        <v>1</v>
      </c>
      <c r="H956">
        <v>0.15</v>
      </c>
      <c r="I956">
        <v>722.5</v>
      </c>
      <c r="J956">
        <v>187.28</v>
      </c>
    </row>
    <row r="957" spans="1:10" x14ac:dyDescent="0.35">
      <c r="A957" t="s">
        <v>1086</v>
      </c>
      <c r="B957" s="2">
        <v>45994</v>
      </c>
      <c r="C957" t="s">
        <v>167</v>
      </c>
      <c r="D957" t="s">
        <v>35</v>
      </c>
      <c r="E957" t="s">
        <v>13</v>
      </c>
      <c r="F957" t="s">
        <v>22</v>
      </c>
      <c r="G957">
        <v>5</v>
      </c>
      <c r="H957">
        <v>0</v>
      </c>
      <c r="I957">
        <v>4250</v>
      </c>
      <c r="J957">
        <v>1510.24</v>
      </c>
    </row>
    <row r="958" spans="1:10" x14ac:dyDescent="0.35">
      <c r="A958" t="s">
        <v>1087</v>
      </c>
      <c r="B958" s="2">
        <v>45916</v>
      </c>
      <c r="C958" t="s">
        <v>295</v>
      </c>
      <c r="D958" t="s">
        <v>12</v>
      </c>
      <c r="E958" t="s">
        <v>13</v>
      </c>
      <c r="F958" t="s">
        <v>25</v>
      </c>
      <c r="G958">
        <v>3</v>
      </c>
      <c r="H958">
        <v>0.1</v>
      </c>
      <c r="I958">
        <v>94.5</v>
      </c>
      <c r="J958">
        <v>38.39</v>
      </c>
    </row>
    <row r="959" spans="1:10" x14ac:dyDescent="0.35">
      <c r="A959" t="s">
        <v>1088</v>
      </c>
      <c r="B959" s="2">
        <v>45789</v>
      </c>
      <c r="C959" t="s">
        <v>24</v>
      </c>
      <c r="D959" t="s">
        <v>67</v>
      </c>
      <c r="E959" t="s">
        <v>13</v>
      </c>
      <c r="F959" t="s">
        <v>22</v>
      </c>
      <c r="G959">
        <v>1</v>
      </c>
      <c r="H959">
        <v>0.2</v>
      </c>
      <c r="I959">
        <v>960</v>
      </c>
      <c r="J959">
        <v>376.68</v>
      </c>
    </row>
    <row r="960" spans="1:10" x14ac:dyDescent="0.35">
      <c r="A960" t="s">
        <v>1089</v>
      </c>
      <c r="B960" s="2">
        <v>45995</v>
      </c>
      <c r="C960" t="s">
        <v>135</v>
      </c>
      <c r="D960" t="s">
        <v>45</v>
      </c>
      <c r="E960" t="s">
        <v>46</v>
      </c>
      <c r="F960" t="s">
        <v>22</v>
      </c>
      <c r="G960">
        <v>3</v>
      </c>
      <c r="H960">
        <v>0.05</v>
      </c>
      <c r="I960">
        <v>51.3</v>
      </c>
      <c r="J960">
        <v>18.66</v>
      </c>
    </row>
    <row r="961" spans="1:10" x14ac:dyDescent="0.35">
      <c r="A961" t="s">
        <v>1090</v>
      </c>
      <c r="B961" s="2">
        <v>45906</v>
      </c>
      <c r="C961" t="s">
        <v>167</v>
      </c>
      <c r="D961" t="s">
        <v>28</v>
      </c>
      <c r="E961" t="s">
        <v>18</v>
      </c>
      <c r="F961" t="s">
        <v>22</v>
      </c>
      <c r="G961">
        <v>5</v>
      </c>
      <c r="H961">
        <v>0</v>
      </c>
      <c r="I961">
        <v>1400</v>
      </c>
      <c r="J961">
        <v>471.6</v>
      </c>
    </row>
    <row r="962" spans="1:10" x14ac:dyDescent="0.35">
      <c r="A962" t="s">
        <v>1091</v>
      </c>
      <c r="B962" s="2">
        <v>45962</v>
      </c>
      <c r="C962" t="s">
        <v>109</v>
      </c>
      <c r="D962" t="s">
        <v>28</v>
      </c>
      <c r="E962" t="s">
        <v>18</v>
      </c>
      <c r="F962" t="s">
        <v>50</v>
      </c>
      <c r="G962">
        <v>4</v>
      </c>
      <c r="H962">
        <v>0.15</v>
      </c>
      <c r="I962">
        <v>952</v>
      </c>
      <c r="J962">
        <v>186.38</v>
      </c>
    </row>
    <row r="963" spans="1:10" x14ac:dyDescent="0.35">
      <c r="A963" t="s">
        <v>1092</v>
      </c>
      <c r="B963" s="2">
        <v>45984</v>
      </c>
      <c r="C963" t="s">
        <v>30</v>
      </c>
      <c r="D963" t="s">
        <v>28</v>
      </c>
      <c r="E963" t="s">
        <v>18</v>
      </c>
      <c r="F963" t="s">
        <v>14</v>
      </c>
      <c r="G963">
        <v>2</v>
      </c>
      <c r="H963">
        <v>0.2</v>
      </c>
      <c r="I963">
        <v>448</v>
      </c>
      <c r="J963">
        <v>93.03</v>
      </c>
    </row>
    <row r="964" spans="1:10" x14ac:dyDescent="0.35">
      <c r="A964" t="s">
        <v>1093</v>
      </c>
      <c r="B964" s="2">
        <v>45986</v>
      </c>
      <c r="C964" t="s">
        <v>98</v>
      </c>
      <c r="D964" t="s">
        <v>35</v>
      </c>
      <c r="E964" t="s">
        <v>13</v>
      </c>
      <c r="F964" t="s">
        <v>50</v>
      </c>
      <c r="G964">
        <v>1</v>
      </c>
      <c r="H964">
        <v>0</v>
      </c>
      <c r="I964">
        <v>850</v>
      </c>
      <c r="J964">
        <v>335.49</v>
      </c>
    </row>
    <row r="965" spans="1:10" x14ac:dyDescent="0.35">
      <c r="A965" t="s">
        <v>1094</v>
      </c>
      <c r="B965" s="2">
        <v>45812</v>
      </c>
      <c r="C965" t="s">
        <v>34</v>
      </c>
      <c r="D965" t="s">
        <v>45</v>
      </c>
      <c r="E965" t="s">
        <v>46</v>
      </c>
      <c r="F965" t="s">
        <v>50</v>
      </c>
      <c r="G965">
        <v>5</v>
      </c>
      <c r="H965">
        <v>0.05</v>
      </c>
      <c r="I965">
        <v>85.5</v>
      </c>
      <c r="J965">
        <v>27.76</v>
      </c>
    </row>
    <row r="966" spans="1:10" x14ac:dyDescent="0.35">
      <c r="A966" t="s">
        <v>1095</v>
      </c>
      <c r="B966" s="2">
        <v>45900</v>
      </c>
      <c r="C966" t="s">
        <v>62</v>
      </c>
      <c r="D966" t="s">
        <v>35</v>
      </c>
      <c r="E966" t="s">
        <v>13</v>
      </c>
      <c r="F966" t="s">
        <v>25</v>
      </c>
      <c r="G966">
        <v>2</v>
      </c>
      <c r="H966">
        <v>0.2</v>
      </c>
      <c r="I966">
        <v>1360</v>
      </c>
      <c r="J966">
        <v>221.42</v>
      </c>
    </row>
    <row r="967" spans="1:10" x14ac:dyDescent="0.35">
      <c r="A967" t="s">
        <v>1096</v>
      </c>
      <c r="B967" s="2">
        <v>45887</v>
      </c>
      <c r="C967" t="s">
        <v>360</v>
      </c>
      <c r="D967" t="s">
        <v>99</v>
      </c>
      <c r="E967" t="s">
        <v>18</v>
      </c>
      <c r="F967" t="s">
        <v>14</v>
      </c>
      <c r="G967">
        <v>3</v>
      </c>
      <c r="H967">
        <v>0.2</v>
      </c>
      <c r="I967">
        <v>456</v>
      </c>
      <c r="J967">
        <v>102.44</v>
      </c>
    </row>
    <row r="968" spans="1:10" x14ac:dyDescent="0.35">
      <c r="A968" t="s">
        <v>1097</v>
      </c>
      <c r="B968" s="2">
        <v>45930</v>
      </c>
      <c r="C968" t="s">
        <v>196</v>
      </c>
      <c r="D968" t="s">
        <v>38</v>
      </c>
      <c r="E968" t="s">
        <v>13</v>
      </c>
      <c r="F968" t="s">
        <v>25</v>
      </c>
      <c r="G968">
        <v>3</v>
      </c>
      <c r="H968">
        <v>0.15</v>
      </c>
      <c r="I968">
        <v>816</v>
      </c>
      <c r="J968">
        <v>202.81</v>
      </c>
    </row>
    <row r="969" spans="1:10" x14ac:dyDescent="0.35">
      <c r="A969" t="s">
        <v>1098</v>
      </c>
      <c r="B969" s="2">
        <v>45829</v>
      </c>
      <c r="C969" t="s">
        <v>54</v>
      </c>
      <c r="D969" t="s">
        <v>35</v>
      </c>
      <c r="E969" t="s">
        <v>13</v>
      </c>
      <c r="F969" t="s">
        <v>50</v>
      </c>
      <c r="G969">
        <v>3</v>
      </c>
      <c r="H969">
        <v>0</v>
      </c>
      <c r="I969">
        <v>2550</v>
      </c>
      <c r="J969">
        <v>932.63</v>
      </c>
    </row>
    <row r="970" spans="1:10" x14ac:dyDescent="0.35">
      <c r="A970" t="s">
        <v>1099</v>
      </c>
      <c r="B970" s="2">
        <v>45894</v>
      </c>
      <c r="C970" t="s">
        <v>409</v>
      </c>
      <c r="D970" t="s">
        <v>38</v>
      </c>
      <c r="E970" t="s">
        <v>13</v>
      </c>
      <c r="F970" t="s">
        <v>25</v>
      </c>
      <c r="G970">
        <v>2</v>
      </c>
      <c r="H970">
        <v>0.2</v>
      </c>
      <c r="I970">
        <v>512</v>
      </c>
      <c r="J970">
        <v>100.22</v>
      </c>
    </row>
    <row r="971" spans="1:10" x14ac:dyDescent="0.35">
      <c r="A971" t="s">
        <v>1100</v>
      </c>
      <c r="B971" s="2">
        <v>46004</v>
      </c>
      <c r="C971" t="s">
        <v>236</v>
      </c>
      <c r="D971" t="s">
        <v>17</v>
      </c>
      <c r="E971" t="s">
        <v>18</v>
      </c>
      <c r="F971" t="s">
        <v>14</v>
      </c>
      <c r="G971">
        <v>2</v>
      </c>
      <c r="H971">
        <v>0.1</v>
      </c>
      <c r="I971">
        <v>378</v>
      </c>
      <c r="J971">
        <v>101.79</v>
      </c>
    </row>
    <row r="972" spans="1:10" x14ac:dyDescent="0.35">
      <c r="A972" t="s">
        <v>1101</v>
      </c>
      <c r="B972" s="2">
        <v>45692</v>
      </c>
      <c r="C972" t="s">
        <v>278</v>
      </c>
      <c r="D972" t="s">
        <v>67</v>
      </c>
      <c r="E972" t="s">
        <v>13</v>
      </c>
      <c r="F972" t="s">
        <v>50</v>
      </c>
      <c r="G972">
        <v>4</v>
      </c>
      <c r="H972">
        <v>0</v>
      </c>
      <c r="I972">
        <v>4800</v>
      </c>
      <c r="J972">
        <v>1327.98</v>
      </c>
    </row>
    <row r="973" spans="1:10" x14ac:dyDescent="0.35">
      <c r="A973" t="s">
        <v>1102</v>
      </c>
      <c r="B973" s="2">
        <v>45837</v>
      </c>
      <c r="C973" t="s">
        <v>369</v>
      </c>
      <c r="D973" t="s">
        <v>21</v>
      </c>
      <c r="E973" t="s">
        <v>18</v>
      </c>
      <c r="F973" t="s">
        <v>14</v>
      </c>
      <c r="G973">
        <v>3</v>
      </c>
      <c r="H973">
        <v>0.1</v>
      </c>
      <c r="I973">
        <v>148.5</v>
      </c>
      <c r="J973">
        <v>57.36</v>
      </c>
    </row>
    <row r="974" spans="1:10" x14ac:dyDescent="0.35">
      <c r="A974" t="s">
        <v>1103</v>
      </c>
      <c r="B974" s="2">
        <v>45687</v>
      </c>
      <c r="C974" t="s">
        <v>34</v>
      </c>
      <c r="D974" t="s">
        <v>83</v>
      </c>
      <c r="E974" t="s">
        <v>46</v>
      </c>
      <c r="F974" t="s">
        <v>14</v>
      </c>
      <c r="G974">
        <v>2</v>
      </c>
      <c r="H974">
        <v>0.2</v>
      </c>
      <c r="I974">
        <v>40</v>
      </c>
      <c r="J974">
        <v>9.58</v>
      </c>
    </row>
    <row r="975" spans="1:10" x14ac:dyDescent="0.35">
      <c r="A975" t="s">
        <v>1104</v>
      </c>
      <c r="B975" s="2">
        <v>45702</v>
      </c>
      <c r="C975" t="s">
        <v>192</v>
      </c>
      <c r="D975" t="s">
        <v>83</v>
      </c>
      <c r="E975" t="s">
        <v>46</v>
      </c>
      <c r="F975" t="s">
        <v>22</v>
      </c>
      <c r="G975">
        <v>2</v>
      </c>
      <c r="H975">
        <v>0.15</v>
      </c>
      <c r="I975">
        <v>42.5</v>
      </c>
      <c r="J975">
        <v>9.92</v>
      </c>
    </row>
    <row r="976" spans="1:10" x14ac:dyDescent="0.35">
      <c r="A976" t="s">
        <v>1105</v>
      </c>
      <c r="B976" s="2">
        <v>45714</v>
      </c>
      <c r="C976" t="s">
        <v>145</v>
      </c>
      <c r="D976" t="s">
        <v>17</v>
      </c>
      <c r="E976" t="s">
        <v>18</v>
      </c>
      <c r="F976" t="s">
        <v>14</v>
      </c>
      <c r="G976">
        <v>2</v>
      </c>
      <c r="H976">
        <v>0.1</v>
      </c>
      <c r="I976">
        <v>378</v>
      </c>
      <c r="J976">
        <v>133.36000000000001</v>
      </c>
    </row>
    <row r="977" spans="1:10" x14ac:dyDescent="0.35">
      <c r="A977" t="s">
        <v>1106</v>
      </c>
      <c r="B977" s="2">
        <v>45985</v>
      </c>
      <c r="C977" t="s">
        <v>78</v>
      </c>
      <c r="D977" t="s">
        <v>45</v>
      </c>
      <c r="E977" t="s">
        <v>46</v>
      </c>
      <c r="F977" t="s">
        <v>25</v>
      </c>
      <c r="G977">
        <v>3</v>
      </c>
      <c r="H977">
        <v>0.15</v>
      </c>
      <c r="I977">
        <v>45.9</v>
      </c>
      <c r="J977">
        <v>10.17</v>
      </c>
    </row>
    <row r="978" spans="1:10" x14ac:dyDescent="0.35">
      <c r="A978" t="s">
        <v>1107</v>
      </c>
      <c r="B978" s="2">
        <v>45789</v>
      </c>
      <c r="C978" t="s">
        <v>32</v>
      </c>
      <c r="D978" t="s">
        <v>28</v>
      </c>
      <c r="E978" t="s">
        <v>18</v>
      </c>
      <c r="F978" t="s">
        <v>50</v>
      </c>
      <c r="G978">
        <v>1</v>
      </c>
      <c r="H978">
        <v>0.1</v>
      </c>
      <c r="I978">
        <v>252</v>
      </c>
      <c r="J978">
        <v>48.78</v>
      </c>
    </row>
    <row r="979" spans="1:10" x14ac:dyDescent="0.35">
      <c r="A979" t="s">
        <v>1108</v>
      </c>
      <c r="B979" s="2">
        <v>45828</v>
      </c>
      <c r="C979" t="s">
        <v>80</v>
      </c>
      <c r="D979" t="s">
        <v>67</v>
      </c>
      <c r="E979" t="s">
        <v>13</v>
      </c>
      <c r="F979" t="s">
        <v>50</v>
      </c>
      <c r="G979">
        <v>3</v>
      </c>
      <c r="H979">
        <v>0.1</v>
      </c>
      <c r="I979">
        <v>3240</v>
      </c>
      <c r="J979">
        <v>1267.76</v>
      </c>
    </row>
    <row r="980" spans="1:10" x14ac:dyDescent="0.35">
      <c r="A980" t="s">
        <v>1109</v>
      </c>
      <c r="B980" s="2">
        <v>45760</v>
      </c>
      <c r="C980" t="s">
        <v>122</v>
      </c>
      <c r="D980" t="s">
        <v>83</v>
      </c>
      <c r="E980" t="s">
        <v>46</v>
      </c>
      <c r="F980" t="s">
        <v>22</v>
      </c>
      <c r="G980">
        <v>4</v>
      </c>
      <c r="H980">
        <v>0.05</v>
      </c>
      <c r="I980">
        <v>95</v>
      </c>
      <c r="J980">
        <v>22.51</v>
      </c>
    </row>
    <row r="981" spans="1:10" x14ac:dyDescent="0.35">
      <c r="A981" t="s">
        <v>1110</v>
      </c>
      <c r="B981" s="2">
        <v>45934</v>
      </c>
      <c r="C981" t="s">
        <v>342</v>
      </c>
      <c r="D981" t="s">
        <v>99</v>
      </c>
      <c r="E981" t="s">
        <v>18</v>
      </c>
      <c r="F981" t="s">
        <v>25</v>
      </c>
      <c r="G981">
        <v>2</v>
      </c>
      <c r="H981">
        <v>0.2</v>
      </c>
      <c r="I981">
        <v>304</v>
      </c>
      <c r="J981">
        <v>72.260000000000005</v>
      </c>
    </row>
    <row r="982" spans="1:10" x14ac:dyDescent="0.35">
      <c r="A982" t="s">
        <v>1111</v>
      </c>
      <c r="B982" s="2">
        <v>45710</v>
      </c>
      <c r="C982" t="s">
        <v>210</v>
      </c>
      <c r="D982" t="s">
        <v>67</v>
      </c>
      <c r="E982" t="s">
        <v>13</v>
      </c>
      <c r="F982" t="s">
        <v>50</v>
      </c>
      <c r="G982">
        <v>1</v>
      </c>
      <c r="H982">
        <v>0</v>
      </c>
      <c r="I982">
        <v>1200</v>
      </c>
      <c r="J982">
        <v>313.75</v>
      </c>
    </row>
    <row r="983" spans="1:10" x14ac:dyDescent="0.35">
      <c r="A983" t="s">
        <v>1112</v>
      </c>
      <c r="B983" s="2">
        <v>45667</v>
      </c>
      <c r="C983" t="s">
        <v>78</v>
      </c>
      <c r="D983" t="s">
        <v>45</v>
      </c>
      <c r="E983" t="s">
        <v>46</v>
      </c>
      <c r="F983" t="s">
        <v>50</v>
      </c>
      <c r="G983">
        <v>2</v>
      </c>
      <c r="H983">
        <v>0</v>
      </c>
      <c r="I983">
        <v>36</v>
      </c>
      <c r="J983">
        <v>5.12</v>
      </c>
    </row>
    <row r="984" spans="1:10" x14ac:dyDescent="0.35">
      <c r="A984" t="s">
        <v>1113</v>
      </c>
      <c r="B984" s="2">
        <v>45794</v>
      </c>
      <c r="C984" t="s">
        <v>107</v>
      </c>
      <c r="D984" t="s">
        <v>28</v>
      </c>
      <c r="E984" t="s">
        <v>18</v>
      </c>
      <c r="F984" t="s">
        <v>50</v>
      </c>
      <c r="G984">
        <v>3</v>
      </c>
      <c r="H984">
        <v>0.15</v>
      </c>
      <c r="I984">
        <v>714</v>
      </c>
      <c r="J984">
        <v>185.9</v>
      </c>
    </row>
    <row r="985" spans="1:10" x14ac:dyDescent="0.35">
      <c r="A985" t="s">
        <v>1114</v>
      </c>
      <c r="B985" s="2">
        <v>45902</v>
      </c>
      <c r="C985" t="s">
        <v>82</v>
      </c>
      <c r="D985" t="s">
        <v>99</v>
      </c>
      <c r="E985" t="s">
        <v>18</v>
      </c>
      <c r="F985" t="s">
        <v>50</v>
      </c>
      <c r="G985">
        <v>4</v>
      </c>
      <c r="H985">
        <v>0</v>
      </c>
      <c r="I985">
        <v>760</v>
      </c>
      <c r="J985">
        <v>206.54</v>
      </c>
    </row>
    <row r="986" spans="1:10" x14ac:dyDescent="0.35">
      <c r="A986" t="s">
        <v>1115</v>
      </c>
      <c r="B986" s="2">
        <v>46010</v>
      </c>
      <c r="C986" t="s">
        <v>40</v>
      </c>
      <c r="D986" t="s">
        <v>45</v>
      </c>
      <c r="E986" t="s">
        <v>46</v>
      </c>
      <c r="F986" t="s">
        <v>25</v>
      </c>
      <c r="G986">
        <v>1</v>
      </c>
      <c r="H986">
        <v>0.2</v>
      </c>
      <c r="I986">
        <v>14.4</v>
      </c>
      <c r="J986">
        <v>3.94</v>
      </c>
    </row>
    <row r="987" spans="1:10" x14ac:dyDescent="0.35">
      <c r="A987" t="s">
        <v>1116</v>
      </c>
      <c r="B987" s="2">
        <v>46007</v>
      </c>
      <c r="C987" t="s">
        <v>192</v>
      </c>
      <c r="D987" t="s">
        <v>35</v>
      </c>
      <c r="E987" t="s">
        <v>13</v>
      </c>
      <c r="F987" t="s">
        <v>14</v>
      </c>
      <c r="G987">
        <v>4</v>
      </c>
      <c r="H987">
        <v>0</v>
      </c>
      <c r="I987">
        <v>3400</v>
      </c>
      <c r="J987">
        <v>820.59</v>
      </c>
    </row>
    <row r="988" spans="1:10" x14ac:dyDescent="0.35">
      <c r="A988" t="s">
        <v>1117</v>
      </c>
      <c r="B988" s="2">
        <v>45845</v>
      </c>
      <c r="C988" t="s">
        <v>213</v>
      </c>
      <c r="D988" t="s">
        <v>55</v>
      </c>
      <c r="E988" t="s">
        <v>46</v>
      </c>
      <c r="F988" t="s">
        <v>25</v>
      </c>
      <c r="G988">
        <v>3</v>
      </c>
      <c r="H988">
        <v>0</v>
      </c>
      <c r="I988">
        <v>720</v>
      </c>
      <c r="J988">
        <v>124.14</v>
      </c>
    </row>
    <row r="989" spans="1:10" x14ac:dyDescent="0.35">
      <c r="A989" t="s">
        <v>1118</v>
      </c>
      <c r="B989" s="2">
        <v>45989</v>
      </c>
      <c r="C989" t="s">
        <v>59</v>
      </c>
      <c r="D989" t="s">
        <v>21</v>
      </c>
      <c r="E989" t="s">
        <v>18</v>
      </c>
      <c r="F989" t="s">
        <v>22</v>
      </c>
      <c r="G989">
        <v>2</v>
      </c>
      <c r="H989">
        <v>0.2</v>
      </c>
      <c r="I989">
        <v>88</v>
      </c>
      <c r="J989">
        <v>38.46</v>
      </c>
    </row>
    <row r="990" spans="1:10" x14ac:dyDescent="0.35">
      <c r="A990" t="s">
        <v>1119</v>
      </c>
      <c r="B990" s="2">
        <v>45811</v>
      </c>
      <c r="C990" t="s">
        <v>40</v>
      </c>
      <c r="D990" t="s">
        <v>17</v>
      </c>
      <c r="E990" t="s">
        <v>18</v>
      </c>
      <c r="F990" t="s">
        <v>50</v>
      </c>
      <c r="G990">
        <v>4</v>
      </c>
      <c r="H990">
        <v>0</v>
      </c>
      <c r="I990">
        <v>840</v>
      </c>
      <c r="J990">
        <v>203.19</v>
      </c>
    </row>
    <row r="991" spans="1:10" x14ac:dyDescent="0.35">
      <c r="A991" t="s">
        <v>1120</v>
      </c>
      <c r="B991" s="2">
        <v>45701</v>
      </c>
      <c r="C991" t="s">
        <v>142</v>
      </c>
      <c r="D991" t="s">
        <v>38</v>
      </c>
      <c r="E991" t="s">
        <v>13</v>
      </c>
      <c r="F991" t="s">
        <v>14</v>
      </c>
      <c r="G991">
        <v>4</v>
      </c>
      <c r="H991">
        <v>0.05</v>
      </c>
      <c r="I991">
        <v>1216</v>
      </c>
      <c r="J991">
        <v>491.04</v>
      </c>
    </row>
    <row r="992" spans="1:10" x14ac:dyDescent="0.35">
      <c r="A992" t="s">
        <v>1121</v>
      </c>
      <c r="B992" s="2">
        <v>45961</v>
      </c>
      <c r="C992" t="s">
        <v>119</v>
      </c>
      <c r="D992" t="s">
        <v>21</v>
      </c>
      <c r="E992" t="s">
        <v>18</v>
      </c>
      <c r="F992" t="s">
        <v>25</v>
      </c>
      <c r="G992">
        <v>4</v>
      </c>
      <c r="H992">
        <v>0.15</v>
      </c>
      <c r="I992">
        <v>187</v>
      </c>
      <c r="J992">
        <v>80.260000000000005</v>
      </c>
    </row>
    <row r="993" spans="1:10" x14ac:dyDescent="0.35">
      <c r="A993" t="s">
        <v>1122</v>
      </c>
      <c r="B993" s="2">
        <v>45913</v>
      </c>
      <c r="C993" t="s">
        <v>105</v>
      </c>
      <c r="D993" t="s">
        <v>55</v>
      </c>
      <c r="E993" t="s">
        <v>46</v>
      </c>
      <c r="F993" t="s">
        <v>25</v>
      </c>
      <c r="G993">
        <v>4</v>
      </c>
      <c r="H993">
        <v>0</v>
      </c>
      <c r="I993">
        <v>960</v>
      </c>
      <c r="J993">
        <v>420.26</v>
      </c>
    </row>
    <row r="994" spans="1:10" x14ac:dyDescent="0.35">
      <c r="A994" t="s">
        <v>1123</v>
      </c>
      <c r="B994" s="2">
        <v>45679</v>
      </c>
      <c r="C994" t="s">
        <v>78</v>
      </c>
      <c r="D994" t="s">
        <v>99</v>
      </c>
      <c r="E994" t="s">
        <v>18</v>
      </c>
      <c r="F994" t="s">
        <v>50</v>
      </c>
      <c r="G994">
        <v>1</v>
      </c>
      <c r="H994">
        <v>0.05</v>
      </c>
      <c r="I994">
        <v>180.5</v>
      </c>
      <c r="J994">
        <v>33.15</v>
      </c>
    </row>
    <row r="995" spans="1:10" x14ac:dyDescent="0.35">
      <c r="A995" t="s">
        <v>1124</v>
      </c>
      <c r="B995" s="2">
        <v>46005</v>
      </c>
      <c r="C995" t="s">
        <v>128</v>
      </c>
      <c r="D995" t="s">
        <v>55</v>
      </c>
      <c r="E995" t="s">
        <v>46</v>
      </c>
      <c r="F995" t="s">
        <v>14</v>
      </c>
      <c r="G995">
        <v>2</v>
      </c>
      <c r="H995">
        <v>0.2</v>
      </c>
      <c r="I995">
        <v>384</v>
      </c>
      <c r="J995">
        <v>143.28</v>
      </c>
    </row>
    <row r="996" spans="1:10" x14ac:dyDescent="0.35">
      <c r="A996" t="s">
        <v>1125</v>
      </c>
      <c r="B996" s="2">
        <v>45730</v>
      </c>
      <c r="C996" t="s">
        <v>111</v>
      </c>
      <c r="D996" t="s">
        <v>45</v>
      </c>
      <c r="E996" t="s">
        <v>46</v>
      </c>
      <c r="F996" t="s">
        <v>14</v>
      </c>
      <c r="G996">
        <v>1</v>
      </c>
      <c r="H996">
        <v>0.15</v>
      </c>
      <c r="I996">
        <v>15.3</v>
      </c>
      <c r="J996">
        <v>2.2999999999999998</v>
      </c>
    </row>
    <row r="997" spans="1:10" x14ac:dyDescent="0.35">
      <c r="A997" t="s">
        <v>1126</v>
      </c>
      <c r="B997" s="2">
        <v>45782</v>
      </c>
      <c r="C997" t="s">
        <v>217</v>
      </c>
      <c r="D997" t="s">
        <v>17</v>
      </c>
      <c r="E997" t="s">
        <v>18</v>
      </c>
      <c r="F997" t="s">
        <v>25</v>
      </c>
      <c r="G997">
        <v>2</v>
      </c>
      <c r="H997">
        <v>0</v>
      </c>
      <c r="I997">
        <v>420</v>
      </c>
      <c r="J997">
        <v>165.13</v>
      </c>
    </row>
    <row r="998" spans="1:10" x14ac:dyDescent="0.35">
      <c r="A998" t="s">
        <v>1127</v>
      </c>
      <c r="B998" s="2">
        <v>45707</v>
      </c>
      <c r="C998" t="s">
        <v>80</v>
      </c>
      <c r="D998" t="s">
        <v>45</v>
      </c>
      <c r="E998" t="s">
        <v>46</v>
      </c>
      <c r="F998" t="s">
        <v>14</v>
      </c>
      <c r="G998">
        <v>5</v>
      </c>
      <c r="H998">
        <v>0.05</v>
      </c>
      <c r="I998">
        <v>85.5</v>
      </c>
      <c r="J998">
        <v>14.91</v>
      </c>
    </row>
    <row r="999" spans="1:10" x14ac:dyDescent="0.35">
      <c r="A999" t="s">
        <v>1128</v>
      </c>
      <c r="B999" s="2">
        <v>45716</v>
      </c>
      <c r="C999" t="s">
        <v>181</v>
      </c>
      <c r="D999" t="s">
        <v>45</v>
      </c>
      <c r="E999" t="s">
        <v>46</v>
      </c>
      <c r="F999" t="s">
        <v>50</v>
      </c>
      <c r="G999">
        <v>5</v>
      </c>
      <c r="H999">
        <v>0.2</v>
      </c>
      <c r="I999">
        <v>72</v>
      </c>
      <c r="J999">
        <v>27.16</v>
      </c>
    </row>
    <row r="1000" spans="1:10" x14ac:dyDescent="0.35">
      <c r="A1000" t="s">
        <v>1129</v>
      </c>
      <c r="B1000" s="2">
        <v>45830</v>
      </c>
      <c r="C1000" t="s">
        <v>278</v>
      </c>
      <c r="D1000" t="s">
        <v>17</v>
      </c>
      <c r="E1000" t="s">
        <v>18</v>
      </c>
      <c r="F1000" t="s">
        <v>22</v>
      </c>
      <c r="G1000">
        <v>4</v>
      </c>
      <c r="H1000">
        <v>0.1</v>
      </c>
      <c r="I1000">
        <v>756</v>
      </c>
      <c r="J1000">
        <v>310.06</v>
      </c>
    </row>
    <row r="1001" spans="1:10" x14ac:dyDescent="0.35">
      <c r="A1001" t="s">
        <v>1130</v>
      </c>
      <c r="B1001" s="2">
        <v>45822</v>
      </c>
      <c r="C1001" t="s">
        <v>80</v>
      </c>
      <c r="D1001" t="s">
        <v>21</v>
      </c>
      <c r="E1001" t="s">
        <v>18</v>
      </c>
      <c r="F1001" t="s">
        <v>14</v>
      </c>
      <c r="G1001">
        <v>1</v>
      </c>
      <c r="H1001">
        <v>0.2</v>
      </c>
      <c r="I1001">
        <v>44</v>
      </c>
      <c r="J1001">
        <v>17.28</v>
      </c>
    </row>
    <row r="1002" spans="1:10" x14ac:dyDescent="0.35">
      <c r="A1002" t="s">
        <v>427</v>
      </c>
      <c r="B1002" s="2">
        <v>45781</v>
      </c>
      <c r="C1002" t="s">
        <v>364</v>
      </c>
      <c r="D1002" t="s">
        <v>21</v>
      </c>
      <c r="E1002" t="s">
        <v>18</v>
      </c>
      <c r="F1002" t="s">
        <v>50</v>
      </c>
      <c r="G1002">
        <v>5</v>
      </c>
      <c r="H1002">
        <v>0.1</v>
      </c>
      <c r="I1002">
        <v>247.5</v>
      </c>
      <c r="J1002">
        <v>107.4</v>
      </c>
    </row>
    <row r="1004" spans="1:10" x14ac:dyDescent="0.35">
      <c r="A1004" s="3"/>
    </row>
    <row r="1005" spans="1:10" x14ac:dyDescent="0.35">
      <c r="A1005" s="3"/>
    </row>
    <row r="1006" spans="1:10" x14ac:dyDescent="0.35">
      <c r="A1006" s="3"/>
    </row>
    <row r="1007" spans="1:10" x14ac:dyDescent="0.35">
      <c r="A1007" s="3"/>
    </row>
  </sheetData>
  <autoFilter ref="A1:J1002" xr:uid="{00000000-0001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FD45-A2A1-43F8-8C60-FC662DE08457}">
  <dimension ref="A1:M1006"/>
  <sheetViews>
    <sheetView topLeftCell="B1" workbookViewId="0">
      <selection activeCell="O10" sqref="O10"/>
    </sheetView>
  </sheetViews>
  <sheetFormatPr defaultRowHeight="14.5" x14ac:dyDescent="0.35"/>
  <cols>
    <col min="1" max="1" width="13.54296875" bestFit="1" customWidth="1"/>
    <col min="2" max="2" width="17.81640625" bestFit="1" customWidth="1"/>
    <col min="3" max="3" width="12.36328125" bestFit="1" customWidth="1"/>
    <col min="4" max="4" width="14.1796875" bestFit="1" customWidth="1"/>
    <col min="5" max="5" width="13.1796875" bestFit="1" customWidth="1"/>
    <col min="7" max="8" width="10.1796875" customWidth="1"/>
    <col min="11" max="11" width="13.453125" bestFit="1" customWidth="1"/>
    <col min="12" max="12" width="12" customWidth="1"/>
    <col min="13" max="13" width="12.453125" style="14" customWidth="1"/>
  </cols>
  <sheetData>
    <row r="1" spans="1:13" x14ac:dyDescent="0.35">
      <c r="A1" s="38" t="s">
        <v>0</v>
      </c>
      <c r="B1" s="38" t="s">
        <v>1</v>
      </c>
      <c r="C1" s="38" t="s">
        <v>2</v>
      </c>
      <c r="D1" s="38" t="s">
        <v>3</v>
      </c>
      <c r="E1" s="39" t="s">
        <v>1144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40" t="s">
        <v>4</v>
      </c>
      <c r="L1" s="41" t="s">
        <v>1145</v>
      </c>
      <c r="M1" s="42" t="s">
        <v>1146</v>
      </c>
    </row>
    <row r="2" spans="1:13" x14ac:dyDescent="0.35">
      <c r="A2" t="s">
        <v>10</v>
      </c>
      <c r="B2" s="2">
        <v>45985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0.1</v>
      </c>
      <c r="I2">
        <v>31.5</v>
      </c>
      <c r="J2">
        <v>11.63</v>
      </c>
      <c r="K2" t="str">
        <f t="shared" ref="K2:K65" si="0">TRIM(E2)</f>
        <v>Technology</v>
      </c>
      <c r="L2" t="str">
        <f>TEXT(B2,"mmm-yyyy")</f>
        <v>Nov-2025</v>
      </c>
      <c r="M2" s="14">
        <f>DATE(YEAR(B2),MONTH(B2),1)</f>
        <v>45962</v>
      </c>
    </row>
    <row r="3" spans="1:13" x14ac:dyDescent="0.35">
      <c r="A3" t="s">
        <v>15</v>
      </c>
      <c r="B3" s="2">
        <v>46004</v>
      </c>
      <c r="C3" t="s">
        <v>16</v>
      </c>
      <c r="D3" t="s">
        <v>17</v>
      </c>
      <c r="E3" t="s">
        <v>18</v>
      </c>
      <c r="F3" t="s">
        <v>14</v>
      </c>
      <c r="G3">
        <v>5</v>
      </c>
      <c r="H3">
        <v>0</v>
      </c>
      <c r="I3">
        <v>1050</v>
      </c>
      <c r="J3">
        <v>267.89</v>
      </c>
      <c r="K3" t="str">
        <f t="shared" si="0"/>
        <v>Furniture</v>
      </c>
      <c r="L3" t="str">
        <f t="shared" ref="L3:L66" si="1">TEXT(B3,"mmm-yyyy")</f>
        <v>Dec-2025</v>
      </c>
      <c r="M3" s="14">
        <f t="shared" ref="M3:M66" si="2">DATE(YEAR(B3),MONTH(B3),1)</f>
        <v>45992</v>
      </c>
    </row>
    <row r="4" spans="1:13" x14ac:dyDescent="0.35">
      <c r="A4" t="s">
        <v>19</v>
      </c>
      <c r="B4" s="2">
        <v>45705</v>
      </c>
      <c r="C4" t="s">
        <v>20</v>
      </c>
      <c r="D4" t="s">
        <v>21</v>
      </c>
      <c r="E4" t="s">
        <v>18</v>
      </c>
      <c r="F4" t="s">
        <v>22</v>
      </c>
      <c r="G4">
        <v>2</v>
      </c>
      <c r="H4">
        <v>0.2</v>
      </c>
      <c r="I4">
        <v>88</v>
      </c>
      <c r="J4">
        <v>22.12</v>
      </c>
      <c r="K4" t="str">
        <f t="shared" si="0"/>
        <v>Furniture</v>
      </c>
      <c r="L4" t="str">
        <f t="shared" si="1"/>
        <v>Feb-2025</v>
      </c>
      <c r="M4" s="14">
        <f t="shared" si="2"/>
        <v>45689</v>
      </c>
    </row>
    <row r="5" spans="1:13" x14ac:dyDescent="0.35">
      <c r="A5" t="s">
        <v>23</v>
      </c>
      <c r="B5" s="2">
        <v>45990</v>
      </c>
      <c r="C5" t="s">
        <v>24</v>
      </c>
      <c r="D5" t="s">
        <v>17</v>
      </c>
      <c r="E5" t="s">
        <v>18</v>
      </c>
      <c r="F5" t="s">
        <v>25</v>
      </c>
      <c r="G5">
        <v>5</v>
      </c>
      <c r="H5">
        <v>0.15</v>
      </c>
      <c r="I5">
        <v>892.5</v>
      </c>
      <c r="J5">
        <v>336.7</v>
      </c>
      <c r="K5" t="str">
        <f t="shared" si="0"/>
        <v>Furniture</v>
      </c>
      <c r="L5" t="str">
        <f t="shared" si="1"/>
        <v>Nov-2025</v>
      </c>
      <c r="M5" s="14">
        <f t="shared" si="2"/>
        <v>45962</v>
      </c>
    </row>
    <row r="6" spans="1:13" x14ac:dyDescent="0.35">
      <c r="A6" t="s">
        <v>26</v>
      </c>
      <c r="B6" s="2">
        <v>45661</v>
      </c>
      <c r="C6" t="s">
        <v>27</v>
      </c>
      <c r="D6" t="s">
        <v>28</v>
      </c>
      <c r="E6" t="s">
        <v>18</v>
      </c>
      <c r="F6" t="s">
        <v>25</v>
      </c>
      <c r="G6">
        <v>4</v>
      </c>
      <c r="H6">
        <v>0.1</v>
      </c>
      <c r="I6">
        <v>1008</v>
      </c>
      <c r="J6">
        <v>361.17</v>
      </c>
      <c r="K6" t="str">
        <f t="shared" si="0"/>
        <v>Furniture</v>
      </c>
      <c r="L6" t="str">
        <f t="shared" si="1"/>
        <v>Jan-2025</v>
      </c>
      <c r="M6" s="14">
        <f t="shared" si="2"/>
        <v>45658</v>
      </c>
    </row>
    <row r="7" spans="1:13" x14ac:dyDescent="0.35">
      <c r="A7" t="s">
        <v>29</v>
      </c>
      <c r="B7" s="2">
        <v>45710</v>
      </c>
      <c r="C7" t="s">
        <v>30</v>
      </c>
      <c r="D7" t="s">
        <v>12</v>
      </c>
      <c r="E7" t="s">
        <v>13</v>
      </c>
      <c r="F7" t="s">
        <v>25</v>
      </c>
      <c r="G7">
        <v>4</v>
      </c>
      <c r="H7">
        <v>0</v>
      </c>
      <c r="I7">
        <v>140</v>
      </c>
      <c r="J7">
        <v>46.42</v>
      </c>
      <c r="K7" t="str">
        <f t="shared" si="0"/>
        <v>Technology</v>
      </c>
      <c r="L7" t="str">
        <f t="shared" si="1"/>
        <v>Feb-2025</v>
      </c>
      <c r="M7" s="14">
        <f t="shared" si="2"/>
        <v>45689</v>
      </c>
    </row>
    <row r="8" spans="1:13" x14ac:dyDescent="0.35">
      <c r="A8" t="s">
        <v>31</v>
      </c>
      <c r="B8" s="2">
        <v>45680</v>
      </c>
      <c r="C8" t="s">
        <v>32</v>
      </c>
      <c r="D8" t="s">
        <v>17</v>
      </c>
      <c r="E8" t="s">
        <v>18</v>
      </c>
      <c r="F8" t="s">
        <v>14</v>
      </c>
      <c r="G8">
        <v>4</v>
      </c>
      <c r="H8">
        <v>0.2</v>
      </c>
      <c r="I8">
        <v>672</v>
      </c>
      <c r="J8">
        <v>274.72000000000003</v>
      </c>
      <c r="K8" t="str">
        <f t="shared" si="0"/>
        <v>Furniture</v>
      </c>
      <c r="L8" t="str">
        <f t="shared" si="1"/>
        <v>Jan-2025</v>
      </c>
      <c r="M8" s="14">
        <f t="shared" si="2"/>
        <v>45658</v>
      </c>
    </row>
    <row r="9" spans="1:13" x14ac:dyDescent="0.35">
      <c r="A9" t="s">
        <v>33</v>
      </c>
      <c r="B9" s="2">
        <v>45940</v>
      </c>
      <c r="C9" t="s">
        <v>34</v>
      </c>
      <c r="D9" t="s">
        <v>35</v>
      </c>
      <c r="E9" t="s">
        <v>13</v>
      </c>
      <c r="F9" t="s">
        <v>14</v>
      </c>
      <c r="G9">
        <v>5</v>
      </c>
      <c r="H9">
        <v>0.1</v>
      </c>
      <c r="I9">
        <v>3825</v>
      </c>
      <c r="J9">
        <v>992.49</v>
      </c>
      <c r="K9" t="str">
        <f t="shared" si="0"/>
        <v>Technology</v>
      </c>
      <c r="L9" t="str">
        <f t="shared" si="1"/>
        <v>Oct-2025</v>
      </c>
      <c r="M9" s="14">
        <f t="shared" si="2"/>
        <v>45931</v>
      </c>
    </row>
    <row r="10" spans="1:13" x14ac:dyDescent="0.35">
      <c r="A10" t="s">
        <v>36</v>
      </c>
      <c r="B10" s="2">
        <v>45681</v>
      </c>
      <c r="C10" t="s">
        <v>37</v>
      </c>
      <c r="D10" t="s">
        <v>38</v>
      </c>
      <c r="E10" t="s">
        <v>13</v>
      </c>
      <c r="F10" t="s">
        <v>14</v>
      </c>
      <c r="G10">
        <v>2</v>
      </c>
      <c r="H10">
        <v>0.1</v>
      </c>
      <c r="I10">
        <v>576</v>
      </c>
      <c r="J10">
        <v>71.930000000000007</v>
      </c>
      <c r="K10" t="str">
        <f t="shared" si="0"/>
        <v>Technology</v>
      </c>
      <c r="L10" t="str">
        <f t="shared" si="1"/>
        <v>Jan-2025</v>
      </c>
      <c r="M10" s="14">
        <f t="shared" si="2"/>
        <v>45658</v>
      </c>
    </row>
    <row r="11" spans="1:13" x14ac:dyDescent="0.35">
      <c r="A11" t="s">
        <v>39</v>
      </c>
      <c r="B11" s="2">
        <v>45852</v>
      </c>
      <c r="C11" t="s">
        <v>40</v>
      </c>
      <c r="D11" t="s">
        <v>35</v>
      </c>
      <c r="E11" t="s">
        <v>13</v>
      </c>
      <c r="F11" t="s">
        <v>22</v>
      </c>
      <c r="G11">
        <v>4</v>
      </c>
      <c r="H11">
        <v>0.1</v>
      </c>
      <c r="I11">
        <v>3060</v>
      </c>
      <c r="J11">
        <v>1212.75</v>
      </c>
      <c r="K11" t="str">
        <f t="shared" si="0"/>
        <v>Technology</v>
      </c>
      <c r="L11" t="str">
        <f t="shared" si="1"/>
        <v>Jul-2025</v>
      </c>
      <c r="M11" s="14">
        <f t="shared" si="2"/>
        <v>45839</v>
      </c>
    </row>
    <row r="12" spans="1:13" x14ac:dyDescent="0.35">
      <c r="A12" t="s">
        <v>41</v>
      </c>
      <c r="B12" s="2">
        <v>46001</v>
      </c>
      <c r="C12" t="s">
        <v>42</v>
      </c>
      <c r="D12" t="s">
        <v>35</v>
      </c>
      <c r="E12" t="s">
        <v>13</v>
      </c>
      <c r="F12" t="s">
        <v>22</v>
      </c>
      <c r="G12">
        <v>1</v>
      </c>
      <c r="H12">
        <v>0.2</v>
      </c>
      <c r="I12">
        <v>680</v>
      </c>
      <c r="J12">
        <v>163.51</v>
      </c>
      <c r="K12" t="str">
        <f t="shared" si="0"/>
        <v>Technology</v>
      </c>
      <c r="L12" t="str">
        <f t="shared" si="1"/>
        <v>Dec-2025</v>
      </c>
      <c r="M12" s="14">
        <f t="shared" si="2"/>
        <v>45992</v>
      </c>
    </row>
    <row r="13" spans="1:13" x14ac:dyDescent="0.35">
      <c r="A13" t="s">
        <v>43</v>
      </c>
      <c r="B13" s="2">
        <v>45741</v>
      </c>
      <c r="C13" t="s">
        <v>44</v>
      </c>
      <c r="D13" t="s">
        <v>45</v>
      </c>
      <c r="E13" t="s">
        <v>46</v>
      </c>
      <c r="F13" t="s">
        <v>22</v>
      </c>
      <c r="G13">
        <v>4</v>
      </c>
      <c r="H13">
        <v>0.1</v>
      </c>
      <c r="I13">
        <v>64.8</v>
      </c>
      <c r="J13">
        <v>8</v>
      </c>
      <c r="K13" t="str">
        <f t="shared" si="0"/>
        <v>Office Supplies</v>
      </c>
      <c r="L13" t="str">
        <f t="shared" si="1"/>
        <v>Mar-2025</v>
      </c>
      <c r="M13" s="14">
        <f t="shared" si="2"/>
        <v>45717</v>
      </c>
    </row>
    <row r="14" spans="1:13" x14ac:dyDescent="0.35">
      <c r="A14" t="s">
        <v>47</v>
      </c>
      <c r="B14" s="2">
        <v>46008</v>
      </c>
      <c r="C14" t="s">
        <v>48</v>
      </c>
      <c r="D14" t="s">
        <v>49</v>
      </c>
      <c r="E14" t="s">
        <v>13</v>
      </c>
      <c r="F14" t="s">
        <v>50</v>
      </c>
      <c r="G14">
        <v>1</v>
      </c>
      <c r="H14">
        <v>0.05</v>
      </c>
      <c r="I14">
        <v>66.5</v>
      </c>
      <c r="J14">
        <v>11.89</v>
      </c>
      <c r="K14" t="str">
        <f t="shared" si="0"/>
        <v>Technology</v>
      </c>
      <c r="L14" t="str">
        <f t="shared" si="1"/>
        <v>Dec-2025</v>
      </c>
      <c r="M14" s="14">
        <f t="shared" si="2"/>
        <v>45992</v>
      </c>
    </row>
    <row r="15" spans="1:13" x14ac:dyDescent="0.35">
      <c r="A15" t="s">
        <v>51</v>
      </c>
      <c r="B15" s="2">
        <v>45795</v>
      </c>
      <c r="C15" t="s">
        <v>48</v>
      </c>
      <c r="D15" t="s">
        <v>12</v>
      </c>
      <c r="E15" t="s">
        <v>13</v>
      </c>
      <c r="F15" t="s">
        <v>22</v>
      </c>
      <c r="G15">
        <v>2</v>
      </c>
      <c r="H15">
        <v>0.2</v>
      </c>
      <c r="I15">
        <v>56</v>
      </c>
      <c r="J15">
        <v>9</v>
      </c>
      <c r="K15" t="str">
        <f t="shared" si="0"/>
        <v>Technology</v>
      </c>
      <c r="L15" t="str">
        <f t="shared" si="1"/>
        <v>May-2025</v>
      </c>
      <c r="M15" s="14">
        <f t="shared" si="2"/>
        <v>45778</v>
      </c>
    </row>
    <row r="16" spans="1:13" x14ac:dyDescent="0.35">
      <c r="A16" t="s">
        <v>52</v>
      </c>
      <c r="B16" s="2">
        <v>45993</v>
      </c>
      <c r="C16" t="s">
        <v>11</v>
      </c>
      <c r="D16" t="s">
        <v>45</v>
      </c>
      <c r="E16" t="s">
        <v>46</v>
      </c>
      <c r="F16" t="s">
        <v>22</v>
      </c>
      <c r="G16">
        <v>4</v>
      </c>
      <c r="H16">
        <v>0.15</v>
      </c>
      <c r="I16">
        <v>61.2</v>
      </c>
      <c r="J16">
        <v>24.65</v>
      </c>
      <c r="K16" t="str">
        <f t="shared" si="0"/>
        <v>Office Supplies</v>
      </c>
      <c r="L16" t="str">
        <f t="shared" si="1"/>
        <v>Dec-2025</v>
      </c>
      <c r="M16" s="14">
        <f t="shared" si="2"/>
        <v>45992</v>
      </c>
    </row>
    <row r="17" spans="1:13" x14ac:dyDescent="0.35">
      <c r="A17" t="s">
        <v>53</v>
      </c>
      <c r="B17" s="2">
        <v>45945</v>
      </c>
      <c r="C17" t="s">
        <v>54</v>
      </c>
      <c r="D17" t="s">
        <v>55</v>
      </c>
      <c r="E17" t="s">
        <v>46</v>
      </c>
      <c r="F17" t="s">
        <v>50</v>
      </c>
      <c r="G17">
        <v>3</v>
      </c>
      <c r="H17">
        <v>0.2</v>
      </c>
      <c r="I17">
        <v>576</v>
      </c>
      <c r="J17">
        <v>177.76</v>
      </c>
      <c r="K17" t="str">
        <f t="shared" si="0"/>
        <v>Office Supplies</v>
      </c>
      <c r="L17" t="str">
        <f t="shared" si="1"/>
        <v>Oct-2025</v>
      </c>
      <c r="M17" s="14">
        <f t="shared" si="2"/>
        <v>45931</v>
      </c>
    </row>
    <row r="18" spans="1:13" x14ac:dyDescent="0.35">
      <c r="A18" t="s">
        <v>56</v>
      </c>
      <c r="B18" s="2">
        <v>45843</v>
      </c>
      <c r="C18" t="s">
        <v>57</v>
      </c>
      <c r="D18" t="s">
        <v>21</v>
      </c>
      <c r="E18" t="s">
        <v>18</v>
      </c>
      <c r="F18" t="s">
        <v>14</v>
      </c>
      <c r="G18">
        <v>2</v>
      </c>
      <c r="H18">
        <v>0.2</v>
      </c>
      <c r="I18">
        <v>88</v>
      </c>
      <c r="J18">
        <v>25.27</v>
      </c>
      <c r="K18" t="str">
        <f t="shared" si="0"/>
        <v>Furniture</v>
      </c>
      <c r="L18" t="str">
        <f t="shared" si="1"/>
        <v>Jul-2025</v>
      </c>
      <c r="M18" s="14">
        <f t="shared" si="2"/>
        <v>45839</v>
      </c>
    </row>
    <row r="19" spans="1:13" x14ac:dyDescent="0.35">
      <c r="A19" t="s">
        <v>58</v>
      </c>
      <c r="B19" s="2">
        <v>45714</v>
      </c>
      <c r="C19" t="s">
        <v>59</v>
      </c>
      <c r="D19" t="s">
        <v>28</v>
      </c>
      <c r="E19" t="s">
        <v>18</v>
      </c>
      <c r="F19" t="s">
        <v>22</v>
      </c>
      <c r="G19">
        <v>2</v>
      </c>
      <c r="H19">
        <v>0.15</v>
      </c>
      <c r="I19">
        <v>476</v>
      </c>
      <c r="J19">
        <v>120.52</v>
      </c>
      <c r="K19" t="str">
        <f t="shared" si="0"/>
        <v>Furniture</v>
      </c>
      <c r="L19" t="str">
        <f t="shared" si="1"/>
        <v>Feb-2025</v>
      </c>
      <c r="M19" s="14">
        <f t="shared" si="2"/>
        <v>45689</v>
      </c>
    </row>
    <row r="20" spans="1:13" x14ac:dyDescent="0.35">
      <c r="A20" t="s">
        <v>61</v>
      </c>
      <c r="B20" s="2">
        <v>45963</v>
      </c>
      <c r="C20" t="s">
        <v>62</v>
      </c>
      <c r="D20" t="s">
        <v>45</v>
      </c>
      <c r="E20" t="s">
        <v>46</v>
      </c>
      <c r="F20" t="s">
        <v>14</v>
      </c>
      <c r="G20">
        <v>5</v>
      </c>
      <c r="H20">
        <v>0.1</v>
      </c>
      <c r="I20">
        <v>81</v>
      </c>
      <c r="J20">
        <v>10.49</v>
      </c>
      <c r="K20" t="str">
        <f t="shared" si="0"/>
        <v>Office Supplies</v>
      </c>
      <c r="L20" t="str">
        <f t="shared" si="1"/>
        <v>Nov-2025</v>
      </c>
      <c r="M20" s="14">
        <f t="shared" si="2"/>
        <v>45962</v>
      </c>
    </row>
    <row r="21" spans="1:13" x14ac:dyDescent="0.35">
      <c r="A21" t="s">
        <v>63</v>
      </c>
      <c r="B21" s="2">
        <v>46007</v>
      </c>
      <c r="C21" t="s">
        <v>64</v>
      </c>
      <c r="D21" t="s">
        <v>55</v>
      </c>
      <c r="E21" t="s">
        <v>46</v>
      </c>
      <c r="F21" t="s">
        <v>22</v>
      </c>
      <c r="G21">
        <v>3</v>
      </c>
      <c r="H21">
        <v>0.1</v>
      </c>
      <c r="I21">
        <v>648</v>
      </c>
      <c r="J21">
        <v>267.75</v>
      </c>
      <c r="K21" t="str">
        <f t="shared" si="0"/>
        <v>Office Supplies</v>
      </c>
      <c r="L21" t="str">
        <f t="shared" si="1"/>
        <v>Dec-2025</v>
      </c>
      <c r="M21" s="14">
        <f t="shared" si="2"/>
        <v>45992</v>
      </c>
    </row>
    <row r="22" spans="1:13" x14ac:dyDescent="0.35">
      <c r="A22" t="s">
        <v>65</v>
      </c>
      <c r="B22" s="2">
        <v>45890</v>
      </c>
      <c r="C22" t="s">
        <v>66</v>
      </c>
      <c r="D22" t="s">
        <v>67</v>
      </c>
      <c r="E22" t="s">
        <v>13</v>
      </c>
      <c r="F22" t="s">
        <v>14</v>
      </c>
      <c r="G22">
        <v>3</v>
      </c>
      <c r="H22">
        <v>0.2</v>
      </c>
      <c r="I22">
        <v>2880</v>
      </c>
      <c r="J22">
        <v>571.83000000000004</v>
      </c>
      <c r="K22" t="str">
        <f t="shared" si="0"/>
        <v>Technology</v>
      </c>
      <c r="L22" t="str">
        <f t="shared" si="1"/>
        <v>Aug-2025</v>
      </c>
      <c r="M22" s="14">
        <f t="shared" si="2"/>
        <v>45870</v>
      </c>
    </row>
    <row r="23" spans="1:13" x14ac:dyDescent="0.35">
      <c r="A23" t="s">
        <v>68</v>
      </c>
      <c r="B23" s="2">
        <v>45978</v>
      </c>
      <c r="C23" t="s">
        <v>69</v>
      </c>
      <c r="D23" t="s">
        <v>35</v>
      </c>
      <c r="E23" t="s">
        <v>13</v>
      </c>
      <c r="F23" t="s">
        <v>22</v>
      </c>
      <c r="G23">
        <v>5</v>
      </c>
      <c r="H23">
        <v>0.2</v>
      </c>
      <c r="I23">
        <v>3400</v>
      </c>
      <c r="J23">
        <v>1306.82</v>
      </c>
      <c r="K23" t="str">
        <f t="shared" si="0"/>
        <v>Technology</v>
      </c>
      <c r="L23" t="str">
        <f t="shared" si="1"/>
        <v>Nov-2025</v>
      </c>
      <c r="M23" s="14">
        <f t="shared" si="2"/>
        <v>45962</v>
      </c>
    </row>
    <row r="24" spans="1:13" x14ac:dyDescent="0.35">
      <c r="A24" t="s">
        <v>70</v>
      </c>
      <c r="B24" s="2">
        <v>45934</v>
      </c>
      <c r="C24" t="s">
        <v>71</v>
      </c>
      <c r="D24" t="s">
        <v>55</v>
      </c>
      <c r="E24" t="s">
        <v>46</v>
      </c>
      <c r="F24" t="s">
        <v>14</v>
      </c>
      <c r="G24">
        <v>1</v>
      </c>
      <c r="H24">
        <v>0.2</v>
      </c>
      <c r="I24">
        <v>192</v>
      </c>
      <c r="J24">
        <v>65.86</v>
      </c>
      <c r="K24" t="str">
        <f t="shared" si="0"/>
        <v>Office Supplies</v>
      </c>
      <c r="L24" t="str">
        <f t="shared" si="1"/>
        <v>Oct-2025</v>
      </c>
      <c r="M24" s="14">
        <f t="shared" si="2"/>
        <v>45931</v>
      </c>
    </row>
    <row r="25" spans="1:13" x14ac:dyDescent="0.35">
      <c r="A25" t="s">
        <v>72</v>
      </c>
      <c r="B25" s="2">
        <v>45843</v>
      </c>
      <c r="C25" t="s">
        <v>73</v>
      </c>
      <c r="D25" t="s">
        <v>35</v>
      </c>
      <c r="E25" t="s">
        <v>13</v>
      </c>
      <c r="F25" t="s">
        <v>14</v>
      </c>
      <c r="G25">
        <v>2</v>
      </c>
      <c r="H25">
        <v>0</v>
      </c>
      <c r="I25">
        <v>1700</v>
      </c>
      <c r="J25">
        <v>629.87</v>
      </c>
      <c r="K25" t="str">
        <f t="shared" si="0"/>
        <v>Technology</v>
      </c>
      <c r="L25" t="str">
        <f t="shared" si="1"/>
        <v>Jul-2025</v>
      </c>
      <c r="M25" s="14">
        <f t="shared" si="2"/>
        <v>45839</v>
      </c>
    </row>
    <row r="26" spans="1:13" x14ac:dyDescent="0.35">
      <c r="A26" t="s">
        <v>74</v>
      </c>
      <c r="B26" s="2">
        <v>45701</v>
      </c>
      <c r="C26" t="s">
        <v>42</v>
      </c>
      <c r="D26" t="s">
        <v>17</v>
      </c>
      <c r="E26" t="s">
        <v>18</v>
      </c>
      <c r="F26" t="s">
        <v>22</v>
      </c>
      <c r="G26">
        <v>4</v>
      </c>
      <c r="H26">
        <v>0</v>
      </c>
      <c r="I26">
        <v>840</v>
      </c>
      <c r="J26">
        <v>106.9</v>
      </c>
      <c r="K26" t="str">
        <f t="shared" si="0"/>
        <v>Furniture</v>
      </c>
      <c r="L26" t="str">
        <f t="shared" si="1"/>
        <v>Feb-2025</v>
      </c>
      <c r="M26" s="14">
        <f t="shared" si="2"/>
        <v>45689</v>
      </c>
    </row>
    <row r="27" spans="1:13" x14ac:dyDescent="0.35">
      <c r="A27" t="s">
        <v>75</v>
      </c>
      <c r="B27" s="2">
        <v>45723</v>
      </c>
      <c r="C27" t="s">
        <v>76</v>
      </c>
      <c r="D27" t="s">
        <v>38</v>
      </c>
      <c r="E27" t="s">
        <v>13</v>
      </c>
      <c r="F27" t="s">
        <v>50</v>
      </c>
      <c r="G27">
        <v>4</v>
      </c>
      <c r="H27">
        <v>0.2</v>
      </c>
      <c r="I27">
        <v>1024</v>
      </c>
      <c r="J27">
        <v>405</v>
      </c>
      <c r="K27" t="str">
        <f t="shared" si="0"/>
        <v>Technology</v>
      </c>
      <c r="L27" t="str">
        <f t="shared" si="1"/>
        <v>Mar-2025</v>
      </c>
      <c r="M27" s="14">
        <f t="shared" si="2"/>
        <v>45717</v>
      </c>
    </row>
    <row r="28" spans="1:13" x14ac:dyDescent="0.35">
      <c r="A28" t="s">
        <v>77</v>
      </c>
      <c r="B28" s="2">
        <v>45766</v>
      </c>
      <c r="C28" t="s">
        <v>78</v>
      </c>
      <c r="D28" t="s">
        <v>55</v>
      </c>
      <c r="E28" t="s">
        <v>46</v>
      </c>
      <c r="F28" t="s">
        <v>25</v>
      </c>
      <c r="G28">
        <v>2</v>
      </c>
      <c r="H28">
        <v>0.1</v>
      </c>
      <c r="I28">
        <v>432</v>
      </c>
      <c r="J28">
        <v>137.52000000000001</v>
      </c>
      <c r="K28" t="str">
        <f t="shared" si="0"/>
        <v>Office Supplies</v>
      </c>
      <c r="L28" t="str">
        <f t="shared" si="1"/>
        <v>Apr-2025</v>
      </c>
      <c r="M28" s="14">
        <f t="shared" si="2"/>
        <v>45748</v>
      </c>
    </row>
    <row r="29" spans="1:13" x14ac:dyDescent="0.35">
      <c r="A29" t="s">
        <v>79</v>
      </c>
      <c r="B29" s="2">
        <v>45882</v>
      </c>
      <c r="C29" t="s">
        <v>80</v>
      </c>
      <c r="D29" t="s">
        <v>55</v>
      </c>
      <c r="E29" t="s">
        <v>46</v>
      </c>
      <c r="F29" t="s">
        <v>25</v>
      </c>
      <c r="G29">
        <v>4</v>
      </c>
      <c r="H29">
        <v>0</v>
      </c>
      <c r="I29">
        <v>960</v>
      </c>
      <c r="J29">
        <v>353.46</v>
      </c>
      <c r="K29" t="str">
        <f t="shared" si="0"/>
        <v>Office Supplies</v>
      </c>
      <c r="L29" t="str">
        <f t="shared" si="1"/>
        <v>Aug-2025</v>
      </c>
      <c r="M29" s="14">
        <f t="shared" si="2"/>
        <v>45870</v>
      </c>
    </row>
    <row r="30" spans="1:13" x14ac:dyDescent="0.35">
      <c r="A30" t="s">
        <v>81</v>
      </c>
      <c r="B30" s="2">
        <v>45668</v>
      </c>
      <c r="C30" t="s">
        <v>82</v>
      </c>
      <c r="D30" t="s">
        <v>83</v>
      </c>
      <c r="E30" t="s">
        <v>46</v>
      </c>
      <c r="F30" t="s">
        <v>14</v>
      </c>
      <c r="G30">
        <v>5</v>
      </c>
      <c r="H30">
        <v>0.05</v>
      </c>
      <c r="I30">
        <v>118.75</v>
      </c>
      <c r="J30">
        <v>30.38</v>
      </c>
      <c r="K30" t="str">
        <f t="shared" si="0"/>
        <v>Office Supplies</v>
      </c>
      <c r="L30" t="str">
        <f t="shared" si="1"/>
        <v>Jan-2025</v>
      </c>
      <c r="M30" s="14">
        <f t="shared" si="2"/>
        <v>45658</v>
      </c>
    </row>
    <row r="31" spans="1:13" x14ac:dyDescent="0.35">
      <c r="A31" t="s">
        <v>84</v>
      </c>
      <c r="B31" s="2">
        <v>46020</v>
      </c>
      <c r="C31" t="s">
        <v>16</v>
      </c>
      <c r="D31" t="s">
        <v>38</v>
      </c>
      <c r="E31" t="s">
        <v>13</v>
      </c>
      <c r="F31" t="s">
        <v>25</v>
      </c>
      <c r="G31">
        <v>1</v>
      </c>
      <c r="H31">
        <v>0.05</v>
      </c>
      <c r="I31">
        <v>304</v>
      </c>
      <c r="J31">
        <v>130.04</v>
      </c>
      <c r="K31" t="str">
        <f t="shared" si="0"/>
        <v>Technology</v>
      </c>
      <c r="L31" t="str">
        <f t="shared" si="1"/>
        <v>Dec-2025</v>
      </c>
      <c r="M31" s="14">
        <f t="shared" si="2"/>
        <v>45992</v>
      </c>
    </row>
    <row r="32" spans="1:13" x14ac:dyDescent="0.35">
      <c r="A32" t="s">
        <v>85</v>
      </c>
      <c r="B32" s="2">
        <v>45694</v>
      </c>
      <c r="C32" t="s">
        <v>27</v>
      </c>
      <c r="D32" t="s">
        <v>55</v>
      </c>
      <c r="E32" t="s">
        <v>46</v>
      </c>
      <c r="F32" t="s">
        <v>22</v>
      </c>
      <c r="G32">
        <v>2</v>
      </c>
      <c r="H32">
        <v>0.1</v>
      </c>
      <c r="I32">
        <v>432</v>
      </c>
      <c r="J32">
        <v>99.03</v>
      </c>
      <c r="K32" t="str">
        <f t="shared" si="0"/>
        <v>Office Supplies</v>
      </c>
      <c r="L32" t="str">
        <f t="shared" si="1"/>
        <v>Feb-2025</v>
      </c>
      <c r="M32" s="14">
        <f t="shared" si="2"/>
        <v>45689</v>
      </c>
    </row>
    <row r="33" spans="1:13" x14ac:dyDescent="0.35">
      <c r="A33" t="s">
        <v>86</v>
      </c>
      <c r="B33" s="2">
        <v>45950</v>
      </c>
      <c r="C33" t="s">
        <v>87</v>
      </c>
      <c r="D33" t="s">
        <v>83</v>
      </c>
      <c r="E33" t="s">
        <v>46</v>
      </c>
      <c r="F33" t="s">
        <v>22</v>
      </c>
      <c r="G33">
        <v>4</v>
      </c>
      <c r="H33">
        <v>0.05</v>
      </c>
      <c r="I33">
        <v>95</v>
      </c>
      <c r="J33">
        <v>18.149999999999999</v>
      </c>
      <c r="K33" t="str">
        <f t="shared" si="0"/>
        <v>Office Supplies</v>
      </c>
      <c r="L33" t="str">
        <f t="shared" si="1"/>
        <v>Oct-2025</v>
      </c>
      <c r="M33" s="14">
        <f t="shared" si="2"/>
        <v>45931</v>
      </c>
    </row>
    <row r="34" spans="1:13" x14ac:dyDescent="0.35">
      <c r="A34" t="s">
        <v>88</v>
      </c>
      <c r="B34" s="2">
        <v>45706</v>
      </c>
      <c r="C34" t="s">
        <v>89</v>
      </c>
      <c r="D34" t="s">
        <v>12</v>
      </c>
      <c r="E34" t="s">
        <v>13</v>
      </c>
      <c r="F34" t="s">
        <v>14</v>
      </c>
      <c r="G34">
        <v>4</v>
      </c>
      <c r="H34">
        <v>0.1</v>
      </c>
      <c r="I34">
        <v>126</v>
      </c>
      <c r="J34">
        <v>39.090000000000003</v>
      </c>
      <c r="K34" t="str">
        <f t="shared" si="0"/>
        <v>Technology</v>
      </c>
      <c r="L34" t="str">
        <f t="shared" si="1"/>
        <v>Feb-2025</v>
      </c>
      <c r="M34" s="14">
        <f t="shared" si="2"/>
        <v>45689</v>
      </c>
    </row>
    <row r="35" spans="1:13" x14ac:dyDescent="0.35">
      <c r="A35" t="s">
        <v>90</v>
      </c>
      <c r="B35" s="2">
        <v>46002</v>
      </c>
      <c r="C35" t="s">
        <v>91</v>
      </c>
      <c r="D35" t="s">
        <v>38</v>
      </c>
      <c r="E35" t="s">
        <v>13</v>
      </c>
      <c r="F35" t="s">
        <v>14</v>
      </c>
      <c r="G35">
        <v>1</v>
      </c>
      <c r="H35">
        <v>0</v>
      </c>
      <c r="I35">
        <v>320</v>
      </c>
      <c r="J35">
        <v>101.48</v>
      </c>
      <c r="K35" t="str">
        <f t="shared" si="0"/>
        <v>Technology</v>
      </c>
      <c r="L35" t="str">
        <f t="shared" si="1"/>
        <v>Dec-2025</v>
      </c>
      <c r="M35" s="14">
        <f t="shared" si="2"/>
        <v>45992</v>
      </c>
    </row>
    <row r="36" spans="1:13" x14ac:dyDescent="0.35">
      <c r="A36" t="s">
        <v>92</v>
      </c>
      <c r="B36" s="2">
        <v>45785</v>
      </c>
      <c r="C36" t="s">
        <v>93</v>
      </c>
      <c r="D36" t="s">
        <v>21</v>
      </c>
      <c r="E36" t="s">
        <v>18</v>
      </c>
      <c r="F36" t="s">
        <v>22</v>
      </c>
      <c r="G36">
        <v>2</v>
      </c>
      <c r="H36">
        <v>0.2</v>
      </c>
      <c r="I36">
        <v>88</v>
      </c>
      <c r="J36">
        <v>26.57</v>
      </c>
      <c r="K36" t="str">
        <f t="shared" si="0"/>
        <v>Furniture</v>
      </c>
      <c r="L36" t="str">
        <f t="shared" si="1"/>
        <v>May-2025</v>
      </c>
      <c r="M36" s="14">
        <f t="shared" si="2"/>
        <v>45778</v>
      </c>
    </row>
    <row r="37" spans="1:13" x14ac:dyDescent="0.35">
      <c r="A37" t="s">
        <v>94</v>
      </c>
      <c r="B37" s="2">
        <v>45800</v>
      </c>
      <c r="C37" t="s">
        <v>95</v>
      </c>
      <c r="D37" t="s">
        <v>45</v>
      </c>
      <c r="E37" t="s">
        <v>46</v>
      </c>
      <c r="F37" t="s">
        <v>14</v>
      </c>
      <c r="G37">
        <v>2</v>
      </c>
      <c r="H37">
        <v>0</v>
      </c>
      <c r="I37">
        <v>36</v>
      </c>
      <c r="J37">
        <v>10.94</v>
      </c>
      <c r="K37" t="str">
        <f t="shared" si="0"/>
        <v>Office Supplies</v>
      </c>
      <c r="L37" t="str">
        <f t="shared" si="1"/>
        <v>May-2025</v>
      </c>
      <c r="M37" s="14">
        <f t="shared" si="2"/>
        <v>45778</v>
      </c>
    </row>
    <row r="38" spans="1:13" x14ac:dyDescent="0.35">
      <c r="A38" t="s">
        <v>96</v>
      </c>
      <c r="B38" s="2">
        <v>45683</v>
      </c>
      <c r="C38" t="s">
        <v>57</v>
      </c>
      <c r="D38" t="s">
        <v>38</v>
      </c>
      <c r="E38" t="s">
        <v>13</v>
      </c>
      <c r="F38" t="s">
        <v>22</v>
      </c>
      <c r="G38">
        <v>5</v>
      </c>
      <c r="H38">
        <v>0</v>
      </c>
      <c r="I38">
        <v>1600</v>
      </c>
      <c r="J38">
        <v>208.37</v>
      </c>
      <c r="K38" t="str">
        <f t="shared" si="0"/>
        <v>Technology</v>
      </c>
      <c r="L38" t="str">
        <f t="shared" si="1"/>
        <v>Jan-2025</v>
      </c>
      <c r="M38" s="14">
        <f t="shared" si="2"/>
        <v>45658</v>
      </c>
    </row>
    <row r="39" spans="1:13" x14ac:dyDescent="0.35">
      <c r="A39" t="s">
        <v>97</v>
      </c>
      <c r="B39" s="2">
        <v>45743</v>
      </c>
      <c r="C39" t="s">
        <v>98</v>
      </c>
      <c r="D39" t="s">
        <v>99</v>
      </c>
      <c r="E39" t="s">
        <v>18</v>
      </c>
      <c r="F39" t="s">
        <v>14</v>
      </c>
      <c r="G39">
        <v>4</v>
      </c>
      <c r="H39">
        <v>0.15</v>
      </c>
      <c r="I39">
        <v>646</v>
      </c>
      <c r="J39">
        <v>245.13</v>
      </c>
      <c r="K39" t="str">
        <f t="shared" si="0"/>
        <v>Furniture</v>
      </c>
      <c r="L39" t="str">
        <f t="shared" si="1"/>
        <v>Mar-2025</v>
      </c>
      <c r="M39" s="14">
        <f t="shared" si="2"/>
        <v>45717</v>
      </c>
    </row>
    <row r="40" spans="1:13" x14ac:dyDescent="0.35">
      <c r="A40" t="s">
        <v>100</v>
      </c>
      <c r="B40" s="2">
        <v>45742</v>
      </c>
      <c r="C40" t="s">
        <v>101</v>
      </c>
      <c r="D40" t="s">
        <v>99</v>
      </c>
      <c r="E40" t="s">
        <v>18</v>
      </c>
      <c r="F40" t="s">
        <v>25</v>
      </c>
      <c r="G40">
        <v>1</v>
      </c>
      <c r="H40">
        <v>0.15</v>
      </c>
      <c r="I40">
        <v>161.5</v>
      </c>
      <c r="J40">
        <v>58.54</v>
      </c>
      <c r="K40" t="str">
        <f t="shared" si="0"/>
        <v>Furniture</v>
      </c>
      <c r="L40" t="str">
        <f t="shared" si="1"/>
        <v>Mar-2025</v>
      </c>
      <c r="M40" s="14">
        <f t="shared" si="2"/>
        <v>45717</v>
      </c>
    </row>
    <row r="41" spans="1:13" x14ac:dyDescent="0.35">
      <c r="A41" t="s">
        <v>102</v>
      </c>
      <c r="B41" s="2">
        <v>45874</v>
      </c>
      <c r="C41" t="s">
        <v>103</v>
      </c>
      <c r="D41" t="s">
        <v>17</v>
      </c>
      <c r="E41" t="s">
        <v>18</v>
      </c>
      <c r="F41" t="s">
        <v>22</v>
      </c>
      <c r="G41">
        <v>5</v>
      </c>
      <c r="H41">
        <v>0.15</v>
      </c>
      <c r="I41">
        <v>892.5</v>
      </c>
      <c r="J41">
        <v>356.03</v>
      </c>
      <c r="K41" t="str">
        <f t="shared" si="0"/>
        <v>Furniture</v>
      </c>
      <c r="L41" t="str">
        <f t="shared" si="1"/>
        <v>Aug-2025</v>
      </c>
      <c r="M41" s="14">
        <f t="shared" si="2"/>
        <v>45870</v>
      </c>
    </row>
    <row r="42" spans="1:13" x14ac:dyDescent="0.35">
      <c r="A42" t="s">
        <v>104</v>
      </c>
      <c r="B42" s="2">
        <v>45687</v>
      </c>
      <c r="C42" t="s">
        <v>105</v>
      </c>
      <c r="D42" t="s">
        <v>83</v>
      </c>
      <c r="E42" t="s">
        <v>46</v>
      </c>
      <c r="F42" t="s">
        <v>14</v>
      </c>
      <c r="G42">
        <v>5</v>
      </c>
      <c r="H42">
        <v>0</v>
      </c>
      <c r="I42">
        <v>125</v>
      </c>
      <c r="J42">
        <v>25.4</v>
      </c>
      <c r="K42" t="str">
        <f t="shared" si="0"/>
        <v>Office Supplies</v>
      </c>
      <c r="L42" t="str">
        <f t="shared" si="1"/>
        <v>Jan-2025</v>
      </c>
      <c r="M42" s="14">
        <f t="shared" si="2"/>
        <v>45658</v>
      </c>
    </row>
    <row r="43" spans="1:13" x14ac:dyDescent="0.35">
      <c r="A43" t="s">
        <v>106</v>
      </c>
      <c r="B43" s="2">
        <v>45957</v>
      </c>
      <c r="C43" t="s">
        <v>107</v>
      </c>
      <c r="D43" t="s">
        <v>45</v>
      </c>
      <c r="E43" t="s">
        <v>46</v>
      </c>
      <c r="F43" t="s">
        <v>14</v>
      </c>
      <c r="G43">
        <v>5</v>
      </c>
      <c r="H43">
        <v>0.2</v>
      </c>
      <c r="I43">
        <v>72</v>
      </c>
      <c r="J43">
        <v>28.66</v>
      </c>
      <c r="K43" t="str">
        <f t="shared" si="0"/>
        <v>Office Supplies</v>
      </c>
      <c r="L43" t="str">
        <f t="shared" si="1"/>
        <v>Oct-2025</v>
      </c>
      <c r="M43" s="14">
        <f t="shared" si="2"/>
        <v>45931</v>
      </c>
    </row>
    <row r="44" spans="1:13" x14ac:dyDescent="0.35">
      <c r="A44" t="s">
        <v>108</v>
      </c>
      <c r="B44" s="2">
        <v>45753</v>
      </c>
      <c r="C44" t="s">
        <v>109</v>
      </c>
      <c r="D44" t="s">
        <v>12</v>
      </c>
      <c r="E44" t="s">
        <v>13</v>
      </c>
      <c r="F44" t="s">
        <v>50</v>
      </c>
      <c r="G44">
        <v>5</v>
      </c>
      <c r="H44">
        <v>0</v>
      </c>
      <c r="I44">
        <v>175</v>
      </c>
      <c r="J44">
        <v>39.76</v>
      </c>
      <c r="K44" t="str">
        <f t="shared" si="0"/>
        <v>Technology</v>
      </c>
      <c r="L44" t="str">
        <f t="shared" si="1"/>
        <v>Apr-2025</v>
      </c>
      <c r="M44" s="14">
        <f t="shared" si="2"/>
        <v>45748</v>
      </c>
    </row>
    <row r="45" spans="1:13" x14ac:dyDescent="0.35">
      <c r="A45" t="s">
        <v>110</v>
      </c>
      <c r="B45" s="2">
        <v>45719</v>
      </c>
      <c r="C45" t="s">
        <v>111</v>
      </c>
      <c r="D45" t="s">
        <v>83</v>
      </c>
      <c r="E45" t="s">
        <v>46</v>
      </c>
      <c r="F45" t="s">
        <v>14</v>
      </c>
      <c r="G45">
        <v>2</v>
      </c>
      <c r="H45">
        <v>0.2</v>
      </c>
      <c r="I45">
        <v>40</v>
      </c>
      <c r="J45">
        <v>10.15</v>
      </c>
      <c r="K45" t="str">
        <f t="shared" si="0"/>
        <v>Office Supplies</v>
      </c>
      <c r="L45" t="str">
        <f t="shared" si="1"/>
        <v>Mar-2025</v>
      </c>
      <c r="M45" s="14">
        <f t="shared" si="2"/>
        <v>45717</v>
      </c>
    </row>
    <row r="46" spans="1:13" x14ac:dyDescent="0.35">
      <c r="A46" t="s">
        <v>112</v>
      </c>
      <c r="B46" s="2">
        <v>45872</v>
      </c>
      <c r="C46" t="s">
        <v>113</v>
      </c>
      <c r="D46" t="s">
        <v>38</v>
      </c>
      <c r="E46" t="s">
        <v>13</v>
      </c>
      <c r="F46" t="s">
        <v>22</v>
      </c>
      <c r="G46">
        <v>5</v>
      </c>
      <c r="H46">
        <v>0.2</v>
      </c>
      <c r="I46">
        <v>1280</v>
      </c>
      <c r="J46">
        <v>355.18</v>
      </c>
      <c r="K46" t="str">
        <f t="shared" si="0"/>
        <v>Technology</v>
      </c>
      <c r="L46" t="str">
        <f t="shared" si="1"/>
        <v>Aug-2025</v>
      </c>
      <c r="M46" s="14">
        <f t="shared" si="2"/>
        <v>45870</v>
      </c>
    </row>
    <row r="47" spans="1:13" x14ac:dyDescent="0.35">
      <c r="A47" t="s">
        <v>114</v>
      </c>
      <c r="B47" s="2">
        <v>46000</v>
      </c>
      <c r="C47" t="s">
        <v>115</v>
      </c>
      <c r="D47" t="s">
        <v>17</v>
      </c>
      <c r="E47" t="s">
        <v>18</v>
      </c>
      <c r="F47" t="s">
        <v>25</v>
      </c>
      <c r="G47">
        <v>3</v>
      </c>
      <c r="H47">
        <v>0.05</v>
      </c>
      <c r="I47">
        <v>598.5</v>
      </c>
      <c r="J47">
        <v>216.86</v>
      </c>
      <c r="K47" t="str">
        <f t="shared" si="0"/>
        <v>Furniture</v>
      </c>
      <c r="L47" t="str">
        <f t="shared" si="1"/>
        <v>Dec-2025</v>
      </c>
      <c r="M47" s="14">
        <f t="shared" si="2"/>
        <v>45992</v>
      </c>
    </row>
    <row r="48" spans="1:13" x14ac:dyDescent="0.35">
      <c r="A48" t="s">
        <v>116</v>
      </c>
      <c r="B48" s="2">
        <v>45892</v>
      </c>
      <c r="C48" t="s">
        <v>73</v>
      </c>
      <c r="D48" t="s">
        <v>49</v>
      </c>
      <c r="E48" t="s">
        <v>13</v>
      </c>
      <c r="F48" t="s">
        <v>14</v>
      </c>
      <c r="G48">
        <v>1</v>
      </c>
      <c r="H48">
        <v>0</v>
      </c>
      <c r="I48">
        <v>70</v>
      </c>
      <c r="J48">
        <v>20.91</v>
      </c>
      <c r="K48" t="str">
        <f t="shared" si="0"/>
        <v>Technology</v>
      </c>
      <c r="L48" t="str">
        <f t="shared" si="1"/>
        <v>Aug-2025</v>
      </c>
      <c r="M48" s="14">
        <f t="shared" si="2"/>
        <v>45870</v>
      </c>
    </row>
    <row r="49" spans="1:13" x14ac:dyDescent="0.35">
      <c r="A49" t="s">
        <v>117</v>
      </c>
      <c r="B49" s="2">
        <v>45695</v>
      </c>
      <c r="C49" t="s">
        <v>30</v>
      </c>
      <c r="D49" t="s">
        <v>55</v>
      </c>
      <c r="E49" t="s">
        <v>46</v>
      </c>
      <c r="F49" t="s">
        <v>14</v>
      </c>
      <c r="G49">
        <v>2</v>
      </c>
      <c r="H49">
        <v>0.2</v>
      </c>
      <c r="I49">
        <v>384</v>
      </c>
      <c r="J49">
        <v>139.19</v>
      </c>
      <c r="K49" t="str">
        <f t="shared" si="0"/>
        <v>Office Supplies</v>
      </c>
      <c r="L49" t="str">
        <f t="shared" si="1"/>
        <v>Feb-2025</v>
      </c>
      <c r="M49" s="14">
        <f t="shared" si="2"/>
        <v>45689</v>
      </c>
    </row>
    <row r="50" spans="1:13" x14ac:dyDescent="0.35">
      <c r="A50" t="s">
        <v>118</v>
      </c>
      <c r="B50" s="2">
        <v>45783</v>
      </c>
      <c r="C50" t="s">
        <v>119</v>
      </c>
      <c r="D50" t="s">
        <v>49</v>
      </c>
      <c r="E50" t="s">
        <v>13</v>
      </c>
      <c r="F50" t="s">
        <v>25</v>
      </c>
      <c r="G50">
        <v>3</v>
      </c>
      <c r="H50">
        <v>0.05</v>
      </c>
      <c r="I50">
        <v>199.5</v>
      </c>
      <c r="J50">
        <v>60.93</v>
      </c>
      <c r="K50" t="str">
        <f t="shared" si="0"/>
        <v>Technology</v>
      </c>
      <c r="L50" t="str">
        <f t="shared" si="1"/>
        <v>May-2025</v>
      </c>
      <c r="M50" s="14">
        <f t="shared" si="2"/>
        <v>45778</v>
      </c>
    </row>
    <row r="51" spans="1:13" x14ac:dyDescent="0.35">
      <c r="A51" t="s">
        <v>120</v>
      </c>
      <c r="B51" s="2">
        <v>45971</v>
      </c>
      <c r="C51" t="s">
        <v>95</v>
      </c>
      <c r="D51" t="s">
        <v>38</v>
      </c>
      <c r="E51" t="s">
        <v>13</v>
      </c>
      <c r="F51" t="s">
        <v>25</v>
      </c>
      <c r="G51">
        <v>5</v>
      </c>
      <c r="H51">
        <v>0</v>
      </c>
      <c r="I51">
        <v>1600</v>
      </c>
      <c r="J51">
        <v>367.37</v>
      </c>
      <c r="K51" t="str">
        <f t="shared" si="0"/>
        <v>Technology</v>
      </c>
      <c r="L51" t="str">
        <f t="shared" si="1"/>
        <v>Nov-2025</v>
      </c>
      <c r="M51" s="14">
        <f t="shared" si="2"/>
        <v>45962</v>
      </c>
    </row>
    <row r="52" spans="1:13" x14ac:dyDescent="0.35">
      <c r="A52" t="s">
        <v>121</v>
      </c>
      <c r="B52" s="2">
        <v>45997</v>
      </c>
      <c r="C52" t="s">
        <v>122</v>
      </c>
      <c r="D52" t="s">
        <v>12</v>
      </c>
      <c r="E52" t="s">
        <v>13</v>
      </c>
      <c r="F52" t="s">
        <v>22</v>
      </c>
      <c r="G52">
        <v>2</v>
      </c>
      <c r="H52">
        <v>0.1</v>
      </c>
      <c r="I52">
        <v>63</v>
      </c>
      <c r="J52">
        <v>25.95</v>
      </c>
      <c r="K52" t="str">
        <f t="shared" si="0"/>
        <v>Technology</v>
      </c>
      <c r="L52" t="str">
        <f t="shared" si="1"/>
        <v>Dec-2025</v>
      </c>
      <c r="M52" s="14">
        <f t="shared" si="2"/>
        <v>45992</v>
      </c>
    </row>
    <row r="53" spans="1:13" x14ac:dyDescent="0.35">
      <c r="A53" t="s">
        <v>123</v>
      </c>
      <c r="B53" s="2">
        <v>45797</v>
      </c>
      <c r="C53" t="s">
        <v>124</v>
      </c>
      <c r="D53" t="s">
        <v>35</v>
      </c>
      <c r="E53" t="s">
        <v>13</v>
      </c>
      <c r="F53" t="s">
        <v>25</v>
      </c>
      <c r="G53">
        <v>5</v>
      </c>
      <c r="H53">
        <v>0.05</v>
      </c>
      <c r="I53">
        <v>4037.5</v>
      </c>
      <c r="J53">
        <v>860.75</v>
      </c>
      <c r="K53" t="str">
        <f t="shared" si="0"/>
        <v>Technology</v>
      </c>
      <c r="L53" t="str">
        <f t="shared" si="1"/>
        <v>May-2025</v>
      </c>
      <c r="M53" s="14">
        <f t="shared" si="2"/>
        <v>45778</v>
      </c>
    </row>
    <row r="54" spans="1:13" x14ac:dyDescent="0.35">
      <c r="A54" t="s">
        <v>125</v>
      </c>
      <c r="B54" s="2">
        <v>45916</v>
      </c>
      <c r="C54" t="s">
        <v>93</v>
      </c>
      <c r="D54" t="s">
        <v>45</v>
      </c>
      <c r="E54" t="s">
        <v>46</v>
      </c>
      <c r="F54" t="s">
        <v>25</v>
      </c>
      <c r="G54">
        <v>3</v>
      </c>
      <c r="H54">
        <v>0</v>
      </c>
      <c r="I54">
        <v>54</v>
      </c>
      <c r="J54">
        <v>22.66</v>
      </c>
      <c r="K54" t="str">
        <f t="shared" si="0"/>
        <v>Office Supplies</v>
      </c>
      <c r="L54" t="str">
        <f t="shared" si="1"/>
        <v>Sept-2025</v>
      </c>
      <c r="M54" s="14">
        <f t="shared" si="2"/>
        <v>45901</v>
      </c>
    </row>
    <row r="55" spans="1:13" x14ac:dyDescent="0.35">
      <c r="A55" t="s">
        <v>126</v>
      </c>
      <c r="B55" s="2">
        <v>45680</v>
      </c>
      <c r="C55" t="s">
        <v>113</v>
      </c>
      <c r="D55" t="s">
        <v>67</v>
      </c>
      <c r="E55" t="s">
        <v>13</v>
      </c>
      <c r="F55" t="s">
        <v>22</v>
      </c>
      <c r="G55">
        <v>3</v>
      </c>
      <c r="H55">
        <v>0.05</v>
      </c>
      <c r="I55">
        <v>3420</v>
      </c>
      <c r="J55">
        <v>819.95</v>
      </c>
      <c r="K55" t="str">
        <f t="shared" si="0"/>
        <v>Technology</v>
      </c>
      <c r="L55" t="str">
        <f t="shared" si="1"/>
        <v>Jan-2025</v>
      </c>
      <c r="M55" s="14">
        <f t="shared" si="2"/>
        <v>45658</v>
      </c>
    </row>
    <row r="56" spans="1:13" x14ac:dyDescent="0.35">
      <c r="A56" t="s">
        <v>127</v>
      </c>
      <c r="B56" s="2">
        <v>45884</v>
      </c>
      <c r="C56" t="s">
        <v>128</v>
      </c>
      <c r="D56" t="s">
        <v>55</v>
      </c>
      <c r="E56" t="s">
        <v>46</v>
      </c>
      <c r="F56" t="s">
        <v>22</v>
      </c>
      <c r="G56">
        <v>4</v>
      </c>
      <c r="H56">
        <v>0.2</v>
      </c>
      <c r="I56">
        <v>768</v>
      </c>
      <c r="J56">
        <v>343.15</v>
      </c>
      <c r="K56" t="str">
        <f t="shared" si="0"/>
        <v>Office Supplies</v>
      </c>
      <c r="L56" t="str">
        <f t="shared" si="1"/>
        <v>Aug-2025</v>
      </c>
      <c r="M56" s="14">
        <f t="shared" si="2"/>
        <v>45870</v>
      </c>
    </row>
    <row r="57" spans="1:13" x14ac:dyDescent="0.35">
      <c r="A57" t="s">
        <v>129</v>
      </c>
      <c r="B57" s="2">
        <v>45937</v>
      </c>
      <c r="C57" t="s">
        <v>64</v>
      </c>
      <c r="D57" t="s">
        <v>67</v>
      </c>
      <c r="E57" t="s">
        <v>13</v>
      </c>
      <c r="F57" t="s">
        <v>22</v>
      </c>
      <c r="G57">
        <v>3</v>
      </c>
      <c r="H57">
        <v>0.2</v>
      </c>
      <c r="I57">
        <v>2880</v>
      </c>
      <c r="J57">
        <v>770.88</v>
      </c>
      <c r="K57" t="str">
        <f t="shared" si="0"/>
        <v>Technology</v>
      </c>
      <c r="L57" t="str">
        <f t="shared" si="1"/>
        <v>Oct-2025</v>
      </c>
      <c r="M57" s="14">
        <f t="shared" si="2"/>
        <v>45931</v>
      </c>
    </row>
    <row r="58" spans="1:13" x14ac:dyDescent="0.35">
      <c r="A58" t="s">
        <v>130</v>
      </c>
      <c r="B58" s="2">
        <v>45679</v>
      </c>
      <c r="C58" t="s">
        <v>124</v>
      </c>
      <c r="D58" t="s">
        <v>35</v>
      </c>
      <c r="E58" t="s">
        <v>13</v>
      </c>
      <c r="F58" t="s">
        <v>22</v>
      </c>
      <c r="G58">
        <v>3</v>
      </c>
      <c r="H58">
        <v>0</v>
      </c>
      <c r="I58">
        <v>2550</v>
      </c>
      <c r="J58">
        <v>391.05</v>
      </c>
      <c r="K58" t="str">
        <f t="shared" si="0"/>
        <v>Technology</v>
      </c>
      <c r="L58" t="str">
        <f t="shared" si="1"/>
        <v>Jan-2025</v>
      </c>
      <c r="M58" s="14">
        <f t="shared" si="2"/>
        <v>45658</v>
      </c>
    </row>
    <row r="59" spans="1:13" x14ac:dyDescent="0.35">
      <c r="A59" t="s">
        <v>131</v>
      </c>
      <c r="B59" s="2">
        <v>45999</v>
      </c>
      <c r="C59" t="s">
        <v>87</v>
      </c>
      <c r="D59" t="s">
        <v>12</v>
      </c>
      <c r="E59" t="s">
        <v>13</v>
      </c>
      <c r="F59" t="s">
        <v>22</v>
      </c>
      <c r="G59">
        <v>3</v>
      </c>
      <c r="H59">
        <v>0.2</v>
      </c>
      <c r="I59">
        <v>84</v>
      </c>
      <c r="J59">
        <v>13.29</v>
      </c>
      <c r="K59" t="str">
        <f t="shared" si="0"/>
        <v>Technology</v>
      </c>
      <c r="L59" t="str">
        <f t="shared" si="1"/>
        <v>Dec-2025</v>
      </c>
      <c r="M59" s="14">
        <f t="shared" si="2"/>
        <v>45992</v>
      </c>
    </row>
    <row r="60" spans="1:13" x14ac:dyDescent="0.35">
      <c r="A60" t="s">
        <v>132</v>
      </c>
      <c r="B60" s="2">
        <v>45779</v>
      </c>
      <c r="C60" t="s">
        <v>133</v>
      </c>
      <c r="D60" t="s">
        <v>28</v>
      </c>
      <c r="E60" t="s">
        <v>18</v>
      </c>
      <c r="F60" t="s">
        <v>25</v>
      </c>
      <c r="G60">
        <v>2</v>
      </c>
      <c r="H60">
        <v>0.15</v>
      </c>
      <c r="I60">
        <v>476</v>
      </c>
      <c r="J60">
        <v>210.31</v>
      </c>
      <c r="K60" t="str">
        <f t="shared" si="0"/>
        <v>Furniture</v>
      </c>
      <c r="L60" t="str">
        <f t="shared" si="1"/>
        <v>May-2025</v>
      </c>
      <c r="M60" s="14">
        <f t="shared" si="2"/>
        <v>45778</v>
      </c>
    </row>
    <row r="61" spans="1:13" x14ac:dyDescent="0.35">
      <c r="A61" t="s">
        <v>134</v>
      </c>
      <c r="B61" s="2">
        <v>45868</v>
      </c>
      <c r="C61" t="s">
        <v>135</v>
      </c>
      <c r="D61" t="s">
        <v>38</v>
      </c>
      <c r="E61" t="s">
        <v>13</v>
      </c>
      <c r="F61" t="s">
        <v>14</v>
      </c>
      <c r="G61">
        <v>2</v>
      </c>
      <c r="H61">
        <v>0.1</v>
      </c>
      <c r="I61">
        <v>576</v>
      </c>
      <c r="J61">
        <v>228.94</v>
      </c>
      <c r="K61" t="str">
        <f t="shared" si="0"/>
        <v>Technology</v>
      </c>
      <c r="L61" t="str">
        <f t="shared" si="1"/>
        <v>Jul-2025</v>
      </c>
      <c r="M61" s="14">
        <f t="shared" si="2"/>
        <v>45839</v>
      </c>
    </row>
    <row r="62" spans="1:13" x14ac:dyDescent="0.35">
      <c r="A62" t="s">
        <v>136</v>
      </c>
      <c r="B62" s="2">
        <v>45853</v>
      </c>
      <c r="C62" t="s">
        <v>101</v>
      </c>
      <c r="D62" t="s">
        <v>67</v>
      </c>
      <c r="E62" t="s">
        <v>13</v>
      </c>
      <c r="F62" t="s">
        <v>25</v>
      </c>
      <c r="G62">
        <v>4</v>
      </c>
      <c r="H62">
        <v>0.05</v>
      </c>
      <c r="I62">
        <v>4560</v>
      </c>
      <c r="J62">
        <v>1751.68</v>
      </c>
      <c r="K62" t="str">
        <f t="shared" si="0"/>
        <v>Technology</v>
      </c>
      <c r="L62" t="str">
        <f t="shared" si="1"/>
        <v>Jul-2025</v>
      </c>
      <c r="M62" s="14">
        <f t="shared" si="2"/>
        <v>45839</v>
      </c>
    </row>
    <row r="63" spans="1:13" x14ac:dyDescent="0.35">
      <c r="A63" t="s">
        <v>137</v>
      </c>
      <c r="B63" s="2">
        <v>45814</v>
      </c>
      <c r="C63" t="s">
        <v>98</v>
      </c>
      <c r="D63" t="s">
        <v>21</v>
      </c>
      <c r="E63" t="s">
        <v>18</v>
      </c>
      <c r="F63" t="s">
        <v>25</v>
      </c>
      <c r="G63">
        <v>2</v>
      </c>
      <c r="H63">
        <v>0</v>
      </c>
      <c r="I63">
        <v>110</v>
      </c>
      <c r="J63">
        <v>25.54</v>
      </c>
      <c r="K63" t="str">
        <f t="shared" si="0"/>
        <v>Furniture</v>
      </c>
      <c r="L63" t="str">
        <f t="shared" si="1"/>
        <v>Jun-2025</v>
      </c>
      <c r="M63" s="14">
        <f t="shared" si="2"/>
        <v>45809</v>
      </c>
    </row>
    <row r="64" spans="1:13" x14ac:dyDescent="0.35">
      <c r="A64" t="s">
        <v>138</v>
      </c>
      <c r="B64" s="2">
        <v>45800</v>
      </c>
      <c r="C64" t="s">
        <v>98</v>
      </c>
      <c r="D64" t="s">
        <v>12</v>
      </c>
      <c r="E64" t="s">
        <v>13</v>
      </c>
      <c r="F64" t="s">
        <v>25</v>
      </c>
      <c r="G64">
        <v>3</v>
      </c>
      <c r="H64">
        <v>0.1</v>
      </c>
      <c r="I64">
        <v>94.5</v>
      </c>
      <c r="J64">
        <v>22.52</v>
      </c>
      <c r="K64" t="str">
        <f t="shared" si="0"/>
        <v>Technology</v>
      </c>
      <c r="L64" t="str">
        <f t="shared" si="1"/>
        <v>May-2025</v>
      </c>
      <c r="M64" s="14">
        <f t="shared" si="2"/>
        <v>45778</v>
      </c>
    </row>
    <row r="65" spans="1:13" x14ac:dyDescent="0.35">
      <c r="A65" t="s">
        <v>139</v>
      </c>
      <c r="B65" s="2">
        <v>45672</v>
      </c>
      <c r="C65" t="s">
        <v>113</v>
      </c>
      <c r="D65" t="s">
        <v>12</v>
      </c>
      <c r="E65" t="s">
        <v>13</v>
      </c>
      <c r="F65" t="s">
        <v>14</v>
      </c>
      <c r="G65">
        <v>3</v>
      </c>
      <c r="H65">
        <v>0.05</v>
      </c>
      <c r="I65">
        <v>99.75</v>
      </c>
      <c r="J65">
        <v>25.78</v>
      </c>
      <c r="K65" t="str">
        <f t="shared" si="0"/>
        <v>Technology</v>
      </c>
      <c r="L65" t="str">
        <f t="shared" si="1"/>
        <v>Jan-2025</v>
      </c>
      <c r="M65" s="14">
        <f t="shared" si="2"/>
        <v>45658</v>
      </c>
    </row>
    <row r="66" spans="1:13" x14ac:dyDescent="0.35">
      <c r="A66" t="s">
        <v>140</v>
      </c>
      <c r="B66" s="2">
        <v>45713</v>
      </c>
      <c r="C66" t="s">
        <v>48</v>
      </c>
      <c r="D66" t="s">
        <v>83</v>
      </c>
      <c r="E66" t="s">
        <v>46</v>
      </c>
      <c r="F66" t="s">
        <v>50</v>
      </c>
      <c r="G66">
        <v>4</v>
      </c>
      <c r="H66">
        <v>0.1</v>
      </c>
      <c r="I66">
        <v>90</v>
      </c>
      <c r="J66">
        <v>18.86</v>
      </c>
      <c r="K66" t="str">
        <f t="shared" ref="K66:K129" si="3">TRIM(E66)</f>
        <v>Office Supplies</v>
      </c>
      <c r="L66" t="str">
        <f t="shared" si="1"/>
        <v>Feb-2025</v>
      </c>
      <c r="M66" s="14">
        <f t="shared" si="2"/>
        <v>45689</v>
      </c>
    </row>
    <row r="67" spans="1:13" x14ac:dyDescent="0.35">
      <c r="A67" t="s">
        <v>141</v>
      </c>
      <c r="B67" s="2">
        <v>45968</v>
      </c>
      <c r="C67" t="s">
        <v>142</v>
      </c>
      <c r="D67" t="s">
        <v>55</v>
      </c>
      <c r="E67" t="s">
        <v>46</v>
      </c>
      <c r="F67" t="s">
        <v>25</v>
      </c>
      <c r="G67">
        <v>1</v>
      </c>
      <c r="H67">
        <v>0.15</v>
      </c>
      <c r="I67">
        <v>204</v>
      </c>
      <c r="J67">
        <v>31.25</v>
      </c>
      <c r="K67" t="str">
        <f t="shared" si="3"/>
        <v>Office Supplies</v>
      </c>
      <c r="L67" t="str">
        <f t="shared" ref="L67:L130" si="4">TEXT(B67,"mmm-yyyy")</f>
        <v>Nov-2025</v>
      </c>
      <c r="M67" s="14">
        <f t="shared" ref="M67:M130" si="5">DATE(YEAR(B67),MONTH(B67),1)</f>
        <v>45962</v>
      </c>
    </row>
    <row r="68" spans="1:13" x14ac:dyDescent="0.35">
      <c r="A68" t="s">
        <v>143</v>
      </c>
      <c r="B68" s="2">
        <v>45680</v>
      </c>
      <c r="C68" t="s">
        <v>42</v>
      </c>
      <c r="D68" t="s">
        <v>17</v>
      </c>
      <c r="E68" t="s">
        <v>18</v>
      </c>
      <c r="F68" t="s">
        <v>22</v>
      </c>
      <c r="G68">
        <v>4</v>
      </c>
      <c r="H68">
        <v>0</v>
      </c>
      <c r="I68">
        <v>840</v>
      </c>
      <c r="J68">
        <v>233.88</v>
      </c>
      <c r="K68" t="str">
        <f t="shared" si="3"/>
        <v>Furniture</v>
      </c>
      <c r="L68" t="str">
        <f t="shared" si="4"/>
        <v>Jan-2025</v>
      </c>
      <c r="M68" s="14">
        <f t="shared" si="5"/>
        <v>45658</v>
      </c>
    </row>
    <row r="69" spans="1:13" x14ac:dyDescent="0.35">
      <c r="A69" t="s">
        <v>144</v>
      </c>
      <c r="B69" s="2">
        <v>45844</v>
      </c>
      <c r="C69" t="s">
        <v>145</v>
      </c>
      <c r="D69" t="s">
        <v>99</v>
      </c>
      <c r="E69" t="s">
        <v>18</v>
      </c>
      <c r="F69" t="s">
        <v>14</v>
      </c>
      <c r="G69">
        <v>1</v>
      </c>
      <c r="H69">
        <v>0.1</v>
      </c>
      <c r="I69">
        <v>171</v>
      </c>
      <c r="J69">
        <v>41.79</v>
      </c>
      <c r="K69" t="str">
        <f t="shared" si="3"/>
        <v>Furniture</v>
      </c>
      <c r="L69" t="str">
        <f t="shared" si="4"/>
        <v>Jul-2025</v>
      </c>
      <c r="M69" s="14">
        <f t="shared" si="5"/>
        <v>45839</v>
      </c>
    </row>
    <row r="70" spans="1:13" x14ac:dyDescent="0.35">
      <c r="A70" t="s">
        <v>146</v>
      </c>
      <c r="B70" s="2">
        <v>45811</v>
      </c>
      <c r="C70" t="s">
        <v>135</v>
      </c>
      <c r="D70" t="s">
        <v>55</v>
      </c>
      <c r="E70" t="s">
        <v>46</v>
      </c>
      <c r="F70" t="s">
        <v>25</v>
      </c>
      <c r="G70">
        <v>3</v>
      </c>
      <c r="H70">
        <v>0.15</v>
      </c>
      <c r="I70">
        <v>612</v>
      </c>
      <c r="J70">
        <v>209.52</v>
      </c>
      <c r="K70" t="str">
        <f t="shared" si="3"/>
        <v>Office Supplies</v>
      </c>
      <c r="L70" t="str">
        <f t="shared" si="4"/>
        <v>Jun-2025</v>
      </c>
      <c r="M70" s="14">
        <f t="shared" si="5"/>
        <v>45809</v>
      </c>
    </row>
    <row r="71" spans="1:13" x14ac:dyDescent="0.35">
      <c r="A71" t="s">
        <v>147</v>
      </c>
      <c r="B71" s="2">
        <v>45941</v>
      </c>
      <c r="C71" t="s">
        <v>32</v>
      </c>
      <c r="D71" t="s">
        <v>28</v>
      </c>
      <c r="E71" t="s">
        <v>18</v>
      </c>
      <c r="F71" t="s">
        <v>22</v>
      </c>
      <c r="G71">
        <v>2</v>
      </c>
      <c r="H71">
        <v>0.15</v>
      </c>
      <c r="I71">
        <v>476</v>
      </c>
      <c r="J71">
        <v>109.75</v>
      </c>
      <c r="K71" t="str">
        <f t="shared" si="3"/>
        <v>Furniture</v>
      </c>
      <c r="L71" t="str">
        <f t="shared" si="4"/>
        <v>Oct-2025</v>
      </c>
      <c r="M71" s="14">
        <f t="shared" si="5"/>
        <v>45931</v>
      </c>
    </row>
    <row r="72" spans="1:13" x14ac:dyDescent="0.35">
      <c r="A72" t="s">
        <v>148</v>
      </c>
      <c r="B72" s="2">
        <v>45973</v>
      </c>
      <c r="C72" t="s">
        <v>82</v>
      </c>
      <c r="D72" t="s">
        <v>83</v>
      </c>
      <c r="E72" t="s">
        <v>46</v>
      </c>
      <c r="F72" t="s">
        <v>25</v>
      </c>
      <c r="G72">
        <v>3</v>
      </c>
      <c r="H72">
        <v>0.15</v>
      </c>
      <c r="I72">
        <v>63.75</v>
      </c>
      <c r="J72">
        <v>17.16</v>
      </c>
      <c r="K72" t="str">
        <f t="shared" si="3"/>
        <v>Office Supplies</v>
      </c>
      <c r="L72" t="str">
        <f t="shared" si="4"/>
        <v>Nov-2025</v>
      </c>
      <c r="M72" s="14">
        <f t="shared" si="5"/>
        <v>45962</v>
      </c>
    </row>
    <row r="73" spans="1:13" x14ac:dyDescent="0.35">
      <c r="A73" t="s">
        <v>149</v>
      </c>
      <c r="B73" s="2">
        <v>45804</v>
      </c>
      <c r="C73" t="s">
        <v>150</v>
      </c>
      <c r="D73" t="s">
        <v>21</v>
      </c>
      <c r="E73" t="s">
        <v>18</v>
      </c>
      <c r="F73" t="s">
        <v>50</v>
      </c>
      <c r="G73">
        <v>4</v>
      </c>
      <c r="H73">
        <v>0.2</v>
      </c>
      <c r="I73">
        <v>176</v>
      </c>
      <c r="J73">
        <v>43.97</v>
      </c>
      <c r="K73" t="str">
        <f t="shared" si="3"/>
        <v>Furniture</v>
      </c>
      <c r="L73" t="str">
        <f t="shared" si="4"/>
        <v>May-2025</v>
      </c>
      <c r="M73" s="14">
        <f t="shared" si="5"/>
        <v>45778</v>
      </c>
    </row>
    <row r="74" spans="1:13" x14ac:dyDescent="0.35">
      <c r="A74" t="s">
        <v>151</v>
      </c>
      <c r="B74" s="2">
        <v>45884</v>
      </c>
      <c r="C74" t="s">
        <v>133</v>
      </c>
      <c r="D74" t="s">
        <v>45</v>
      </c>
      <c r="E74" t="s">
        <v>46</v>
      </c>
      <c r="F74" t="s">
        <v>22</v>
      </c>
      <c r="G74">
        <v>2</v>
      </c>
      <c r="H74">
        <v>0.2</v>
      </c>
      <c r="I74">
        <v>28.8</v>
      </c>
      <c r="J74">
        <v>8.4600000000000009</v>
      </c>
      <c r="K74" t="str">
        <f t="shared" si="3"/>
        <v>Office Supplies</v>
      </c>
      <c r="L74" t="str">
        <f t="shared" si="4"/>
        <v>Aug-2025</v>
      </c>
      <c r="M74" s="14">
        <f t="shared" si="5"/>
        <v>45870</v>
      </c>
    </row>
    <row r="75" spans="1:13" x14ac:dyDescent="0.35">
      <c r="A75" t="s">
        <v>152</v>
      </c>
      <c r="B75" s="2">
        <v>45995</v>
      </c>
      <c r="C75" t="s">
        <v>111</v>
      </c>
      <c r="D75" t="s">
        <v>12</v>
      </c>
      <c r="E75" t="s">
        <v>13</v>
      </c>
      <c r="F75" t="s">
        <v>25</v>
      </c>
      <c r="G75">
        <v>3</v>
      </c>
      <c r="H75">
        <v>0.2</v>
      </c>
      <c r="I75">
        <v>84</v>
      </c>
      <c r="J75">
        <v>19.399999999999999</v>
      </c>
      <c r="K75" t="str">
        <f t="shared" si="3"/>
        <v>Technology</v>
      </c>
      <c r="L75" t="str">
        <f t="shared" si="4"/>
        <v>Dec-2025</v>
      </c>
      <c r="M75" s="14">
        <f t="shared" si="5"/>
        <v>45992</v>
      </c>
    </row>
    <row r="76" spans="1:13" x14ac:dyDescent="0.35">
      <c r="A76" t="s">
        <v>153</v>
      </c>
      <c r="B76" s="2">
        <v>45705</v>
      </c>
      <c r="C76" t="s">
        <v>154</v>
      </c>
      <c r="D76" t="s">
        <v>21</v>
      </c>
      <c r="E76" t="s">
        <v>18</v>
      </c>
      <c r="F76" t="s">
        <v>14</v>
      </c>
      <c r="G76">
        <v>3</v>
      </c>
      <c r="H76">
        <v>0.05</v>
      </c>
      <c r="I76">
        <v>156.75</v>
      </c>
      <c r="J76">
        <v>28.82</v>
      </c>
      <c r="K76" t="str">
        <f t="shared" si="3"/>
        <v>Furniture</v>
      </c>
      <c r="L76" t="str">
        <f t="shared" si="4"/>
        <v>Feb-2025</v>
      </c>
      <c r="M76" s="14">
        <f t="shared" si="5"/>
        <v>45689</v>
      </c>
    </row>
    <row r="77" spans="1:13" x14ac:dyDescent="0.35">
      <c r="A77" t="s">
        <v>155</v>
      </c>
      <c r="B77" s="2">
        <v>45681</v>
      </c>
      <c r="C77" t="s">
        <v>128</v>
      </c>
      <c r="D77" t="s">
        <v>21</v>
      </c>
      <c r="E77" t="s">
        <v>18</v>
      </c>
      <c r="F77" t="s">
        <v>50</v>
      </c>
      <c r="G77">
        <v>4</v>
      </c>
      <c r="H77">
        <v>0.2</v>
      </c>
      <c r="I77">
        <v>176</v>
      </c>
      <c r="J77">
        <v>29.85</v>
      </c>
      <c r="K77" t="str">
        <f t="shared" si="3"/>
        <v>Furniture</v>
      </c>
      <c r="L77" t="str">
        <f t="shared" si="4"/>
        <v>Jan-2025</v>
      </c>
      <c r="M77" s="14">
        <f t="shared" si="5"/>
        <v>45658</v>
      </c>
    </row>
    <row r="78" spans="1:13" x14ac:dyDescent="0.35">
      <c r="A78" t="s">
        <v>156</v>
      </c>
      <c r="B78" s="2">
        <v>45870</v>
      </c>
      <c r="C78" t="s">
        <v>59</v>
      </c>
      <c r="D78" t="s">
        <v>38</v>
      </c>
      <c r="E78" t="s">
        <v>13</v>
      </c>
      <c r="F78" t="s">
        <v>50</v>
      </c>
      <c r="G78">
        <v>5</v>
      </c>
      <c r="H78">
        <v>0.05</v>
      </c>
      <c r="I78">
        <v>1520</v>
      </c>
      <c r="J78">
        <v>323.68</v>
      </c>
      <c r="K78" t="str">
        <f t="shared" si="3"/>
        <v>Technology</v>
      </c>
      <c r="L78" t="str">
        <f t="shared" si="4"/>
        <v>Aug-2025</v>
      </c>
      <c r="M78" s="14">
        <f t="shared" si="5"/>
        <v>45870</v>
      </c>
    </row>
    <row r="79" spans="1:13" x14ac:dyDescent="0.35">
      <c r="A79" t="s">
        <v>157</v>
      </c>
      <c r="B79" s="2">
        <v>45862</v>
      </c>
      <c r="C79" t="s">
        <v>158</v>
      </c>
      <c r="D79" t="s">
        <v>21</v>
      </c>
      <c r="E79" t="s">
        <v>18</v>
      </c>
      <c r="F79" t="s">
        <v>14</v>
      </c>
      <c r="G79">
        <v>2</v>
      </c>
      <c r="H79">
        <v>0</v>
      </c>
      <c r="I79">
        <v>110</v>
      </c>
      <c r="J79">
        <v>17.100000000000001</v>
      </c>
      <c r="K79" t="str">
        <f t="shared" si="3"/>
        <v>Furniture</v>
      </c>
      <c r="L79" t="str">
        <f t="shared" si="4"/>
        <v>Jul-2025</v>
      </c>
      <c r="M79" s="14">
        <f t="shared" si="5"/>
        <v>45839</v>
      </c>
    </row>
    <row r="80" spans="1:13" x14ac:dyDescent="0.35">
      <c r="A80" t="s">
        <v>159</v>
      </c>
      <c r="B80" s="2">
        <v>45875</v>
      </c>
      <c r="C80" t="s">
        <v>20</v>
      </c>
      <c r="D80" t="s">
        <v>21</v>
      </c>
      <c r="E80" t="s">
        <v>18</v>
      </c>
      <c r="F80" t="s">
        <v>22</v>
      </c>
      <c r="G80">
        <v>2</v>
      </c>
      <c r="H80">
        <v>0.2</v>
      </c>
      <c r="I80">
        <v>88</v>
      </c>
      <c r="J80">
        <v>26.11</v>
      </c>
      <c r="K80" t="str">
        <f t="shared" si="3"/>
        <v>Furniture</v>
      </c>
      <c r="L80" t="str">
        <f t="shared" si="4"/>
        <v>Aug-2025</v>
      </c>
      <c r="M80" s="14">
        <f t="shared" si="5"/>
        <v>45870</v>
      </c>
    </row>
    <row r="81" spans="1:13" x14ac:dyDescent="0.35">
      <c r="A81" t="s">
        <v>160</v>
      </c>
      <c r="B81" s="2">
        <v>45720</v>
      </c>
      <c r="C81" t="s">
        <v>20</v>
      </c>
      <c r="D81" t="s">
        <v>45</v>
      </c>
      <c r="E81" t="s">
        <v>46</v>
      </c>
      <c r="F81" t="s">
        <v>25</v>
      </c>
      <c r="G81">
        <v>2</v>
      </c>
      <c r="H81">
        <v>0.15</v>
      </c>
      <c r="I81">
        <v>30.6</v>
      </c>
      <c r="J81">
        <v>7.03</v>
      </c>
      <c r="K81" t="str">
        <f t="shared" si="3"/>
        <v>Office Supplies</v>
      </c>
      <c r="L81" t="str">
        <f t="shared" si="4"/>
        <v>Mar-2025</v>
      </c>
      <c r="M81" s="14">
        <f t="shared" si="5"/>
        <v>45717</v>
      </c>
    </row>
    <row r="82" spans="1:13" x14ac:dyDescent="0.35">
      <c r="A82" t="s">
        <v>161</v>
      </c>
      <c r="B82" s="2">
        <v>45884</v>
      </c>
      <c r="C82" t="s">
        <v>95</v>
      </c>
      <c r="D82" t="s">
        <v>83</v>
      </c>
      <c r="E82" t="s">
        <v>46</v>
      </c>
      <c r="F82" t="s">
        <v>50</v>
      </c>
      <c r="G82">
        <v>5</v>
      </c>
      <c r="H82">
        <v>0.15</v>
      </c>
      <c r="I82">
        <v>106.25</v>
      </c>
      <c r="J82">
        <v>18.690000000000001</v>
      </c>
      <c r="K82" t="str">
        <f t="shared" si="3"/>
        <v>Office Supplies</v>
      </c>
      <c r="L82" t="str">
        <f t="shared" si="4"/>
        <v>Aug-2025</v>
      </c>
      <c r="M82" s="14">
        <f t="shared" si="5"/>
        <v>45870</v>
      </c>
    </row>
    <row r="83" spans="1:13" x14ac:dyDescent="0.35">
      <c r="A83" t="s">
        <v>162</v>
      </c>
      <c r="B83" s="2">
        <v>45739</v>
      </c>
      <c r="C83" t="s">
        <v>163</v>
      </c>
      <c r="D83" t="s">
        <v>17</v>
      </c>
      <c r="E83" t="s">
        <v>18</v>
      </c>
      <c r="F83" t="s">
        <v>25</v>
      </c>
      <c r="G83">
        <v>4</v>
      </c>
      <c r="H83">
        <v>0.15</v>
      </c>
      <c r="I83">
        <v>714</v>
      </c>
      <c r="J83">
        <v>260.23</v>
      </c>
      <c r="K83" t="str">
        <f t="shared" si="3"/>
        <v>Furniture</v>
      </c>
      <c r="L83" t="str">
        <f t="shared" si="4"/>
        <v>Mar-2025</v>
      </c>
      <c r="M83" s="14">
        <f t="shared" si="5"/>
        <v>45717</v>
      </c>
    </row>
    <row r="84" spans="1:13" x14ac:dyDescent="0.35">
      <c r="A84" t="s">
        <v>164</v>
      </c>
      <c r="B84" s="2">
        <v>45924</v>
      </c>
      <c r="C84" t="s">
        <v>165</v>
      </c>
      <c r="D84" t="s">
        <v>45</v>
      </c>
      <c r="E84" t="s">
        <v>46</v>
      </c>
      <c r="F84" t="s">
        <v>25</v>
      </c>
      <c r="G84">
        <v>2</v>
      </c>
      <c r="H84">
        <v>0.1</v>
      </c>
      <c r="I84">
        <v>32.4</v>
      </c>
      <c r="J84">
        <v>9.8800000000000008</v>
      </c>
      <c r="K84" t="str">
        <f t="shared" si="3"/>
        <v>Office Supplies</v>
      </c>
      <c r="L84" t="str">
        <f t="shared" si="4"/>
        <v>Sept-2025</v>
      </c>
      <c r="M84" s="14">
        <f t="shared" si="5"/>
        <v>45901</v>
      </c>
    </row>
    <row r="85" spans="1:13" x14ac:dyDescent="0.35">
      <c r="A85" t="s">
        <v>166</v>
      </c>
      <c r="B85" s="2">
        <v>45778</v>
      </c>
      <c r="C85" t="s">
        <v>167</v>
      </c>
      <c r="D85" t="s">
        <v>35</v>
      </c>
      <c r="E85" t="s">
        <v>13</v>
      </c>
      <c r="F85" t="s">
        <v>22</v>
      </c>
      <c r="G85">
        <v>3</v>
      </c>
      <c r="H85">
        <v>0.1</v>
      </c>
      <c r="I85">
        <v>2295</v>
      </c>
      <c r="J85">
        <v>356.42</v>
      </c>
      <c r="K85" t="str">
        <f t="shared" si="3"/>
        <v>Technology</v>
      </c>
      <c r="L85" t="str">
        <f t="shared" si="4"/>
        <v>May-2025</v>
      </c>
      <c r="M85" s="14">
        <f t="shared" si="5"/>
        <v>45778</v>
      </c>
    </row>
    <row r="86" spans="1:13" x14ac:dyDescent="0.35">
      <c r="A86" t="s">
        <v>168</v>
      </c>
      <c r="B86" s="2">
        <v>45735</v>
      </c>
      <c r="C86" t="s">
        <v>80</v>
      </c>
      <c r="D86" t="s">
        <v>21</v>
      </c>
      <c r="E86" t="s">
        <v>18</v>
      </c>
      <c r="F86" t="s">
        <v>50</v>
      </c>
      <c r="G86">
        <v>4</v>
      </c>
      <c r="H86">
        <v>0.05</v>
      </c>
      <c r="I86">
        <v>209</v>
      </c>
      <c r="J86">
        <v>45.33</v>
      </c>
      <c r="K86" t="str">
        <f t="shared" si="3"/>
        <v>Furniture</v>
      </c>
      <c r="L86" t="str">
        <f t="shared" si="4"/>
        <v>Mar-2025</v>
      </c>
      <c r="M86" s="14">
        <f t="shared" si="5"/>
        <v>45717</v>
      </c>
    </row>
    <row r="87" spans="1:13" x14ac:dyDescent="0.35">
      <c r="A87" t="s">
        <v>169</v>
      </c>
      <c r="B87" s="2">
        <v>45866</v>
      </c>
      <c r="C87" t="s">
        <v>124</v>
      </c>
      <c r="D87" t="s">
        <v>49</v>
      </c>
      <c r="E87" t="s">
        <v>13</v>
      </c>
      <c r="F87" t="s">
        <v>50</v>
      </c>
      <c r="G87">
        <v>5</v>
      </c>
      <c r="H87">
        <v>0.15</v>
      </c>
      <c r="I87">
        <v>297.5</v>
      </c>
      <c r="J87">
        <v>93.06</v>
      </c>
      <c r="K87" t="str">
        <f t="shared" si="3"/>
        <v>Technology</v>
      </c>
      <c r="L87" t="str">
        <f t="shared" si="4"/>
        <v>Jul-2025</v>
      </c>
      <c r="M87" s="14">
        <f t="shared" si="5"/>
        <v>45839</v>
      </c>
    </row>
    <row r="88" spans="1:13" x14ac:dyDescent="0.35">
      <c r="A88" t="s">
        <v>170</v>
      </c>
      <c r="B88" s="2">
        <v>45857</v>
      </c>
      <c r="C88" t="s">
        <v>82</v>
      </c>
      <c r="D88" t="s">
        <v>83</v>
      </c>
      <c r="E88" t="s">
        <v>46</v>
      </c>
      <c r="F88" t="s">
        <v>25</v>
      </c>
      <c r="G88">
        <v>1</v>
      </c>
      <c r="H88">
        <v>0.2</v>
      </c>
      <c r="I88">
        <v>20</v>
      </c>
      <c r="J88">
        <v>6.49</v>
      </c>
      <c r="K88" t="str">
        <f t="shared" si="3"/>
        <v>Office Supplies</v>
      </c>
      <c r="L88" t="str">
        <f t="shared" si="4"/>
        <v>Jul-2025</v>
      </c>
      <c r="M88" s="14">
        <f t="shared" si="5"/>
        <v>45839</v>
      </c>
    </row>
    <row r="89" spans="1:13" x14ac:dyDescent="0.35">
      <c r="A89" t="s">
        <v>171</v>
      </c>
      <c r="B89" s="2">
        <v>45810</v>
      </c>
      <c r="C89" t="s">
        <v>119</v>
      </c>
      <c r="D89" t="s">
        <v>99</v>
      </c>
      <c r="E89" t="s">
        <v>18</v>
      </c>
      <c r="F89" t="s">
        <v>22</v>
      </c>
      <c r="G89">
        <v>4</v>
      </c>
      <c r="H89">
        <v>0.2</v>
      </c>
      <c r="I89">
        <v>608</v>
      </c>
      <c r="J89">
        <v>123.62</v>
      </c>
      <c r="K89" t="str">
        <f t="shared" si="3"/>
        <v>Furniture</v>
      </c>
      <c r="L89" t="str">
        <f t="shared" si="4"/>
        <v>Jun-2025</v>
      </c>
      <c r="M89" s="14">
        <f t="shared" si="5"/>
        <v>45809</v>
      </c>
    </row>
    <row r="90" spans="1:13" x14ac:dyDescent="0.35">
      <c r="A90" t="s">
        <v>172</v>
      </c>
      <c r="B90" s="2">
        <v>45907</v>
      </c>
      <c r="C90" t="s">
        <v>59</v>
      </c>
      <c r="D90" t="s">
        <v>21</v>
      </c>
      <c r="E90" t="s">
        <v>173</v>
      </c>
      <c r="F90" t="s">
        <v>25</v>
      </c>
      <c r="G90">
        <v>3</v>
      </c>
      <c r="H90">
        <v>0.15</v>
      </c>
      <c r="I90">
        <v>140.25</v>
      </c>
      <c r="J90">
        <v>40.64</v>
      </c>
      <c r="K90" t="str">
        <f t="shared" si="3"/>
        <v>Technology</v>
      </c>
      <c r="L90" t="str">
        <f t="shared" si="4"/>
        <v>Sept-2025</v>
      </c>
      <c r="M90" s="14">
        <f t="shared" si="5"/>
        <v>45901</v>
      </c>
    </row>
    <row r="91" spans="1:13" x14ac:dyDescent="0.35">
      <c r="A91" t="s">
        <v>174</v>
      </c>
      <c r="B91" s="2">
        <v>46000</v>
      </c>
      <c r="C91" t="s">
        <v>115</v>
      </c>
      <c r="D91" t="s">
        <v>38</v>
      </c>
      <c r="E91" t="s">
        <v>13</v>
      </c>
      <c r="F91" t="s">
        <v>14</v>
      </c>
      <c r="G91">
        <v>4</v>
      </c>
      <c r="H91">
        <v>0.05</v>
      </c>
      <c r="I91">
        <v>1216</v>
      </c>
      <c r="J91">
        <v>209.92</v>
      </c>
      <c r="K91" t="str">
        <f t="shared" si="3"/>
        <v>Technology</v>
      </c>
      <c r="L91" t="str">
        <f t="shared" si="4"/>
        <v>Dec-2025</v>
      </c>
      <c r="M91" s="14">
        <f t="shared" si="5"/>
        <v>45992</v>
      </c>
    </row>
    <row r="92" spans="1:13" x14ac:dyDescent="0.35">
      <c r="A92" t="s">
        <v>175</v>
      </c>
      <c r="B92" s="2">
        <v>45859</v>
      </c>
      <c r="C92" t="s">
        <v>93</v>
      </c>
      <c r="D92" t="s">
        <v>83</v>
      </c>
      <c r="E92" t="s">
        <v>46</v>
      </c>
      <c r="F92" t="s">
        <v>22</v>
      </c>
      <c r="G92">
        <v>5</v>
      </c>
      <c r="H92">
        <v>0</v>
      </c>
      <c r="I92">
        <v>125</v>
      </c>
      <c r="J92">
        <v>52.79</v>
      </c>
      <c r="K92" t="str">
        <f t="shared" si="3"/>
        <v>Office Supplies</v>
      </c>
      <c r="L92" t="str">
        <f t="shared" si="4"/>
        <v>Jul-2025</v>
      </c>
      <c r="M92" s="14">
        <f t="shared" si="5"/>
        <v>45839</v>
      </c>
    </row>
    <row r="93" spans="1:13" x14ac:dyDescent="0.35">
      <c r="A93" t="s">
        <v>176</v>
      </c>
      <c r="B93" s="2">
        <v>45894</v>
      </c>
      <c r="C93" t="s">
        <v>27</v>
      </c>
      <c r="D93" t="s">
        <v>28</v>
      </c>
      <c r="E93" t="s">
        <v>18</v>
      </c>
      <c r="F93" t="s">
        <v>50</v>
      </c>
      <c r="G93">
        <v>1</v>
      </c>
      <c r="H93">
        <v>0.1</v>
      </c>
      <c r="I93">
        <v>252</v>
      </c>
      <c r="J93">
        <v>81.87</v>
      </c>
      <c r="K93" t="str">
        <f t="shared" si="3"/>
        <v>Furniture</v>
      </c>
      <c r="L93" t="str">
        <f t="shared" si="4"/>
        <v>Aug-2025</v>
      </c>
      <c r="M93" s="14">
        <f t="shared" si="5"/>
        <v>45870</v>
      </c>
    </row>
    <row r="94" spans="1:13" x14ac:dyDescent="0.35">
      <c r="A94" t="s">
        <v>177</v>
      </c>
      <c r="B94" s="2">
        <v>45825</v>
      </c>
      <c r="C94" t="s">
        <v>178</v>
      </c>
      <c r="D94" t="s">
        <v>49</v>
      </c>
      <c r="E94" t="s">
        <v>13</v>
      </c>
      <c r="F94" t="s">
        <v>25</v>
      </c>
      <c r="G94">
        <v>4</v>
      </c>
      <c r="H94">
        <v>0.1</v>
      </c>
      <c r="I94">
        <v>252</v>
      </c>
      <c r="J94">
        <v>50.86</v>
      </c>
      <c r="K94" t="str">
        <f t="shared" si="3"/>
        <v>Technology</v>
      </c>
      <c r="L94" t="str">
        <f t="shared" si="4"/>
        <v>Jun-2025</v>
      </c>
      <c r="M94" s="14">
        <f t="shared" si="5"/>
        <v>45809</v>
      </c>
    </row>
    <row r="95" spans="1:13" x14ac:dyDescent="0.35">
      <c r="A95" t="s">
        <v>179</v>
      </c>
      <c r="B95" s="2">
        <v>45699</v>
      </c>
      <c r="C95" t="s">
        <v>30</v>
      </c>
      <c r="D95" t="s">
        <v>45</v>
      </c>
      <c r="E95" t="s">
        <v>46</v>
      </c>
      <c r="F95" t="s">
        <v>22</v>
      </c>
      <c r="G95">
        <v>1</v>
      </c>
      <c r="H95">
        <v>0.2</v>
      </c>
      <c r="I95">
        <v>14.4</v>
      </c>
      <c r="J95">
        <v>6.23</v>
      </c>
      <c r="K95" t="str">
        <f t="shared" si="3"/>
        <v>Office Supplies</v>
      </c>
      <c r="L95" t="str">
        <f t="shared" si="4"/>
        <v>Feb-2025</v>
      </c>
      <c r="M95" s="14">
        <f t="shared" si="5"/>
        <v>45689</v>
      </c>
    </row>
    <row r="96" spans="1:13" x14ac:dyDescent="0.35">
      <c r="A96" t="s">
        <v>180</v>
      </c>
      <c r="B96" s="2">
        <v>45990</v>
      </c>
      <c r="C96" t="s">
        <v>181</v>
      </c>
      <c r="D96" t="s">
        <v>12</v>
      </c>
      <c r="E96" t="s">
        <v>13</v>
      </c>
      <c r="F96" t="s">
        <v>14</v>
      </c>
      <c r="G96">
        <v>1</v>
      </c>
      <c r="H96">
        <v>0</v>
      </c>
      <c r="I96">
        <v>35</v>
      </c>
      <c r="J96">
        <v>4.78</v>
      </c>
      <c r="K96" t="str">
        <f t="shared" si="3"/>
        <v>Technology</v>
      </c>
      <c r="L96" t="str">
        <f t="shared" si="4"/>
        <v>Nov-2025</v>
      </c>
      <c r="M96" s="14">
        <f t="shared" si="5"/>
        <v>45962</v>
      </c>
    </row>
    <row r="97" spans="1:13" x14ac:dyDescent="0.35">
      <c r="A97" t="s">
        <v>182</v>
      </c>
      <c r="B97" s="2">
        <v>45976</v>
      </c>
      <c r="C97" t="s">
        <v>183</v>
      </c>
      <c r="D97" t="s">
        <v>28</v>
      </c>
      <c r="E97" t="s">
        <v>18</v>
      </c>
      <c r="F97" t="s">
        <v>22</v>
      </c>
      <c r="G97">
        <v>2</v>
      </c>
      <c r="H97">
        <v>0.05</v>
      </c>
      <c r="I97">
        <v>532</v>
      </c>
      <c r="J97">
        <v>156.26</v>
      </c>
      <c r="K97" t="str">
        <f t="shared" si="3"/>
        <v>Furniture</v>
      </c>
      <c r="L97" t="str">
        <f t="shared" si="4"/>
        <v>Nov-2025</v>
      </c>
      <c r="M97" s="14">
        <f t="shared" si="5"/>
        <v>45962</v>
      </c>
    </row>
    <row r="98" spans="1:13" x14ac:dyDescent="0.35">
      <c r="A98" t="s">
        <v>184</v>
      </c>
      <c r="B98" s="2">
        <v>45896</v>
      </c>
      <c r="C98" t="s">
        <v>185</v>
      </c>
      <c r="D98" t="s">
        <v>17</v>
      </c>
      <c r="E98" t="s">
        <v>18</v>
      </c>
      <c r="F98" t="s">
        <v>14</v>
      </c>
      <c r="G98">
        <v>3</v>
      </c>
      <c r="H98">
        <v>0.1</v>
      </c>
      <c r="I98">
        <v>567</v>
      </c>
      <c r="J98">
        <v>223.75</v>
      </c>
      <c r="K98" t="str">
        <f t="shared" si="3"/>
        <v>Furniture</v>
      </c>
      <c r="L98" t="str">
        <f t="shared" si="4"/>
        <v>Aug-2025</v>
      </c>
      <c r="M98" s="14">
        <f t="shared" si="5"/>
        <v>45870</v>
      </c>
    </row>
    <row r="99" spans="1:13" x14ac:dyDescent="0.35">
      <c r="A99" t="s">
        <v>186</v>
      </c>
      <c r="B99" s="2">
        <v>45741</v>
      </c>
      <c r="C99" t="s">
        <v>187</v>
      </c>
      <c r="D99" t="s">
        <v>35</v>
      </c>
      <c r="E99" t="s">
        <v>13</v>
      </c>
      <c r="F99" t="s">
        <v>50</v>
      </c>
      <c r="G99">
        <v>1</v>
      </c>
      <c r="H99">
        <v>0.2</v>
      </c>
      <c r="I99">
        <v>680</v>
      </c>
      <c r="J99">
        <v>300.24</v>
      </c>
      <c r="K99" t="str">
        <f t="shared" si="3"/>
        <v>Technology</v>
      </c>
      <c r="L99" t="str">
        <f t="shared" si="4"/>
        <v>Mar-2025</v>
      </c>
      <c r="M99" s="14">
        <f t="shared" si="5"/>
        <v>45717</v>
      </c>
    </row>
    <row r="100" spans="1:13" x14ac:dyDescent="0.35">
      <c r="A100" t="s">
        <v>188</v>
      </c>
      <c r="B100" s="2">
        <v>45861</v>
      </c>
      <c r="C100" t="s">
        <v>189</v>
      </c>
      <c r="D100" t="s">
        <v>17</v>
      </c>
      <c r="E100" t="s">
        <v>18</v>
      </c>
      <c r="F100" t="s">
        <v>22</v>
      </c>
      <c r="G100">
        <v>2</v>
      </c>
      <c r="H100">
        <v>0</v>
      </c>
      <c r="I100">
        <v>420</v>
      </c>
      <c r="J100">
        <v>106.94</v>
      </c>
      <c r="K100" t="str">
        <f t="shared" si="3"/>
        <v>Furniture</v>
      </c>
      <c r="L100" t="str">
        <f t="shared" si="4"/>
        <v>Jul-2025</v>
      </c>
      <c r="M100" s="14">
        <f t="shared" si="5"/>
        <v>45839</v>
      </c>
    </row>
    <row r="101" spans="1:13" x14ac:dyDescent="0.35">
      <c r="A101" t="s">
        <v>190</v>
      </c>
      <c r="B101" s="2">
        <v>45710</v>
      </c>
      <c r="C101" t="s">
        <v>73</v>
      </c>
      <c r="D101" t="s">
        <v>17</v>
      </c>
      <c r="E101" t="s">
        <v>18</v>
      </c>
      <c r="F101" t="s">
        <v>14</v>
      </c>
      <c r="G101">
        <v>3</v>
      </c>
      <c r="H101">
        <v>0.2</v>
      </c>
      <c r="I101">
        <v>504</v>
      </c>
      <c r="J101">
        <v>92.82</v>
      </c>
      <c r="K101" t="str">
        <f t="shared" si="3"/>
        <v>Furniture</v>
      </c>
      <c r="L101" t="str">
        <f t="shared" si="4"/>
        <v>Feb-2025</v>
      </c>
      <c r="M101" s="14">
        <f t="shared" si="5"/>
        <v>45689</v>
      </c>
    </row>
    <row r="102" spans="1:13" x14ac:dyDescent="0.35">
      <c r="A102" t="s">
        <v>191</v>
      </c>
      <c r="B102" s="2">
        <v>45835</v>
      </c>
      <c r="C102" t="s">
        <v>192</v>
      </c>
      <c r="D102" t="s">
        <v>55</v>
      </c>
      <c r="E102" t="s">
        <v>46</v>
      </c>
      <c r="F102" t="s">
        <v>25</v>
      </c>
      <c r="G102">
        <v>4</v>
      </c>
      <c r="H102">
        <v>0.1</v>
      </c>
      <c r="I102">
        <v>864</v>
      </c>
      <c r="J102">
        <v>369.14</v>
      </c>
      <c r="K102" t="str">
        <f t="shared" si="3"/>
        <v>Office Supplies</v>
      </c>
      <c r="L102" t="str">
        <f t="shared" si="4"/>
        <v>Jun-2025</v>
      </c>
      <c r="M102" s="14">
        <f t="shared" si="5"/>
        <v>45809</v>
      </c>
    </row>
    <row r="103" spans="1:13" x14ac:dyDescent="0.35">
      <c r="A103" t="s">
        <v>193</v>
      </c>
      <c r="B103" s="2">
        <v>45664</v>
      </c>
      <c r="C103" t="s">
        <v>194</v>
      </c>
      <c r="D103" t="s">
        <v>99</v>
      </c>
      <c r="E103" t="s">
        <v>18</v>
      </c>
      <c r="F103" t="s">
        <v>50</v>
      </c>
      <c r="G103">
        <v>4</v>
      </c>
      <c r="H103">
        <v>0</v>
      </c>
      <c r="I103">
        <v>760</v>
      </c>
      <c r="J103">
        <v>233.27</v>
      </c>
      <c r="K103" t="str">
        <f t="shared" si="3"/>
        <v>Furniture</v>
      </c>
      <c r="L103" t="str">
        <f t="shared" si="4"/>
        <v>Jan-2025</v>
      </c>
      <c r="M103" s="14">
        <f t="shared" si="5"/>
        <v>45658</v>
      </c>
    </row>
    <row r="104" spans="1:13" x14ac:dyDescent="0.35">
      <c r="A104" t="s">
        <v>195</v>
      </c>
      <c r="B104" s="2">
        <v>46020</v>
      </c>
      <c r="C104" t="s">
        <v>196</v>
      </c>
      <c r="D104" t="s">
        <v>28</v>
      </c>
      <c r="E104" t="s">
        <v>18</v>
      </c>
      <c r="F104" t="s">
        <v>25</v>
      </c>
      <c r="G104">
        <v>4</v>
      </c>
      <c r="H104">
        <v>0.05</v>
      </c>
      <c r="I104">
        <v>1064</v>
      </c>
      <c r="J104">
        <v>221.15</v>
      </c>
      <c r="K104" t="str">
        <f t="shared" si="3"/>
        <v>Furniture</v>
      </c>
      <c r="L104" t="str">
        <f t="shared" si="4"/>
        <v>Dec-2025</v>
      </c>
      <c r="M104" s="14">
        <f t="shared" si="5"/>
        <v>45992</v>
      </c>
    </row>
    <row r="105" spans="1:13" x14ac:dyDescent="0.35">
      <c r="A105" t="s">
        <v>197</v>
      </c>
      <c r="B105" s="2">
        <v>45973</v>
      </c>
      <c r="C105" t="s">
        <v>198</v>
      </c>
      <c r="D105" t="s">
        <v>55</v>
      </c>
      <c r="E105" t="s">
        <v>46</v>
      </c>
      <c r="F105" t="s">
        <v>25</v>
      </c>
      <c r="G105">
        <v>4</v>
      </c>
      <c r="H105">
        <v>0.15</v>
      </c>
      <c r="I105">
        <v>816</v>
      </c>
      <c r="J105">
        <v>249.91</v>
      </c>
      <c r="K105" t="str">
        <f t="shared" si="3"/>
        <v>Office Supplies</v>
      </c>
      <c r="L105" t="str">
        <f t="shared" si="4"/>
        <v>Nov-2025</v>
      </c>
      <c r="M105" s="14">
        <f t="shared" si="5"/>
        <v>45962</v>
      </c>
    </row>
    <row r="106" spans="1:13" x14ac:dyDescent="0.35">
      <c r="A106" t="s">
        <v>199</v>
      </c>
      <c r="B106" s="2">
        <v>45823</v>
      </c>
      <c r="C106" t="s">
        <v>163</v>
      </c>
      <c r="D106" t="s">
        <v>21</v>
      </c>
      <c r="E106" t="s">
        <v>18</v>
      </c>
      <c r="F106" t="s">
        <v>50</v>
      </c>
      <c r="G106">
        <v>1</v>
      </c>
      <c r="H106">
        <v>0.1</v>
      </c>
      <c r="I106">
        <v>49.5</v>
      </c>
      <c r="J106">
        <v>7.87</v>
      </c>
      <c r="K106" t="str">
        <f t="shared" si="3"/>
        <v>Furniture</v>
      </c>
      <c r="L106" t="str">
        <f t="shared" si="4"/>
        <v>Jun-2025</v>
      </c>
      <c r="M106" s="14">
        <f t="shared" si="5"/>
        <v>45809</v>
      </c>
    </row>
    <row r="107" spans="1:13" x14ac:dyDescent="0.35">
      <c r="A107" t="s">
        <v>200</v>
      </c>
      <c r="B107" s="2">
        <v>45949</v>
      </c>
      <c r="C107" t="s">
        <v>150</v>
      </c>
      <c r="D107" t="s">
        <v>83</v>
      </c>
      <c r="E107" t="s">
        <v>46</v>
      </c>
      <c r="F107" t="s">
        <v>22</v>
      </c>
      <c r="G107">
        <v>4</v>
      </c>
      <c r="H107">
        <v>0.1</v>
      </c>
      <c r="I107">
        <v>90</v>
      </c>
      <c r="J107">
        <v>39.65</v>
      </c>
      <c r="K107" t="str">
        <f t="shared" si="3"/>
        <v>Office Supplies</v>
      </c>
      <c r="L107" t="str">
        <f t="shared" si="4"/>
        <v>Oct-2025</v>
      </c>
      <c r="M107" s="14">
        <f t="shared" si="5"/>
        <v>45931</v>
      </c>
    </row>
    <row r="108" spans="1:13" x14ac:dyDescent="0.35">
      <c r="A108" t="s">
        <v>201</v>
      </c>
      <c r="B108" s="2">
        <v>45907</v>
      </c>
      <c r="C108" t="s">
        <v>202</v>
      </c>
      <c r="D108" t="s">
        <v>21</v>
      </c>
      <c r="E108" t="s">
        <v>18</v>
      </c>
      <c r="F108" t="s">
        <v>25</v>
      </c>
      <c r="G108">
        <v>3</v>
      </c>
      <c r="H108">
        <v>0.1</v>
      </c>
      <c r="I108">
        <v>148.5</v>
      </c>
      <c r="J108">
        <v>50.15</v>
      </c>
      <c r="K108" t="str">
        <f t="shared" si="3"/>
        <v>Furniture</v>
      </c>
      <c r="L108" t="str">
        <f t="shared" si="4"/>
        <v>Sept-2025</v>
      </c>
      <c r="M108" s="14">
        <f t="shared" si="5"/>
        <v>45901</v>
      </c>
    </row>
    <row r="109" spans="1:13" x14ac:dyDescent="0.35">
      <c r="A109" t="s">
        <v>203</v>
      </c>
      <c r="B109" s="2">
        <v>45942</v>
      </c>
      <c r="C109" t="s">
        <v>204</v>
      </c>
      <c r="D109" t="s">
        <v>67</v>
      </c>
      <c r="E109" t="s">
        <v>13</v>
      </c>
      <c r="F109" t="s">
        <v>50</v>
      </c>
      <c r="G109">
        <v>5</v>
      </c>
      <c r="H109">
        <v>0.05</v>
      </c>
      <c r="I109">
        <v>5700</v>
      </c>
      <c r="J109">
        <v>2403.96</v>
      </c>
      <c r="K109" t="str">
        <f t="shared" si="3"/>
        <v>Technology</v>
      </c>
      <c r="L109" t="str">
        <f t="shared" si="4"/>
        <v>Oct-2025</v>
      </c>
      <c r="M109" s="14">
        <f t="shared" si="5"/>
        <v>45931</v>
      </c>
    </row>
    <row r="110" spans="1:13" x14ac:dyDescent="0.35">
      <c r="A110" t="s">
        <v>205</v>
      </c>
      <c r="B110" s="2">
        <v>45908</v>
      </c>
      <c r="C110" t="s">
        <v>206</v>
      </c>
      <c r="D110" t="s">
        <v>55</v>
      </c>
      <c r="E110" t="s">
        <v>46</v>
      </c>
      <c r="F110" t="s">
        <v>50</v>
      </c>
      <c r="G110">
        <v>2</v>
      </c>
      <c r="H110">
        <v>0.15</v>
      </c>
      <c r="I110">
        <v>408</v>
      </c>
      <c r="J110">
        <v>96.64</v>
      </c>
      <c r="K110" t="str">
        <f t="shared" si="3"/>
        <v>Office Supplies</v>
      </c>
      <c r="L110" t="str">
        <f t="shared" si="4"/>
        <v>Sept-2025</v>
      </c>
      <c r="M110" s="14">
        <f t="shared" si="5"/>
        <v>45901</v>
      </c>
    </row>
    <row r="111" spans="1:13" x14ac:dyDescent="0.35">
      <c r="A111" t="s">
        <v>207</v>
      </c>
      <c r="B111" s="2">
        <v>45666</v>
      </c>
      <c r="C111" t="s">
        <v>163</v>
      </c>
      <c r="D111" t="s">
        <v>12</v>
      </c>
      <c r="E111" t="s">
        <v>13</v>
      </c>
      <c r="F111" t="s">
        <v>25</v>
      </c>
      <c r="G111">
        <v>3</v>
      </c>
      <c r="H111">
        <v>0.05</v>
      </c>
      <c r="I111">
        <v>99.75</v>
      </c>
      <c r="J111">
        <v>31.58</v>
      </c>
      <c r="K111" t="str">
        <f t="shared" si="3"/>
        <v>Technology</v>
      </c>
      <c r="L111" t="str">
        <f t="shared" si="4"/>
        <v>Jan-2025</v>
      </c>
      <c r="M111" s="14">
        <f t="shared" si="5"/>
        <v>45658</v>
      </c>
    </row>
    <row r="112" spans="1:13" x14ac:dyDescent="0.35">
      <c r="A112" t="s">
        <v>208</v>
      </c>
      <c r="B112" s="2">
        <v>45997</v>
      </c>
      <c r="C112" t="s">
        <v>30</v>
      </c>
      <c r="D112" t="s">
        <v>83</v>
      </c>
      <c r="E112" t="s">
        <v>46</v>
      </c>
      <c r="F112" t="s">
        <v>50</v>
      </c>
      <c r="G112">
        <v>3</v>
      </c>
      <c r="H112">
        <v>0.15</v>
      </c>
      <c r="I112">
        <v>63.75</v>
      </c>
      <c r="J112">
        <v>17.04</v>
      </c>
      <c r="K112" t="str">
        <f t="shared" si="3"/>
        <v>Office Supplies</v>
      </c>
      <c r="L112" t="str">
        <f t="shared" si="4"/>
        <v>Dec-2025</v>
      </c>
      <c r="M112" s="14">
        <f t="shared" si="5"/>
        <v>45992</v>
      </c>
    </row>
    <row r="113" spans="1:13" x14ac:dyDescent="0.35">
      <c r="A113" t="s">
        <v>209</v>
      </c>
      <c r="B113" s="2">
        <v>45939</v>
      </c>
      <c r="C113" t="s">
        <v>210</v>
      </c>
      <c r="D113" t="s">
        <v>49</v>
      </c>
      <c r="E113" t="s">
        <v>13</v>
      </c>
      <c r="F113" t="s">
        <v>22</v>
      </c>
      <c r="G113">
        <v>3</v>
      </c>
      <c r="H113">
        <v>0.15</v>
      </c>
      <c r="I113">
        <v>178.5</v>
      </c>
      <c r="J113">
        <v>64.37</v>
      </c>
      <c r="K113" t="str">
        <f t="shared" si="3"/>
        <v>Technology</v>
      </c>
      <c r="L113" t="str">
        <f t="shared" si="4"/>
        <v>Oct-2025</v>
      </c>
      <c r="M113" s="14">
        <f t="shared" si="5"/>
        <v>45931</v>
      </c>
    </row>
    <row r="114" spans="1:13" x14ac:dyDescent="0.35">
      <c r="A114" t="s">
        <v>211</v>
      </c>
      <c r="B114" s="2">
        <v>45719</v>
      </c>
      <c r="C114" t="s">
        <v>42</v>
      </c>
      <c r="D114" t="s">
        <v>17</v>
      </c>
      <c r="E114" t="s">
        <v>18</v>
      </c>
      <c r="F114" t="s">
        <v>22</v>
      </c>
      <c r="G114">
        <v>2</v>
      </c>
      <c r="H114">
        <v>0.1</v>
      </c>
      <c r="I114">
        <v>378</v>
      </c>
      <c r="J114">
        <v>155.19</v>
      </c>
      <c r="K114" t="str">
        <f t="shared" si="3"/>
        <v>Furniture</v>
      </c>
      <c r="L114" t="str">
        <f t="shared" si="4"/>
        <v>Mar-2025</v>
      </c>
      <c r="M114" s="14">
        <f t="shared" si="5"/>
        <v>45717</v>
      </c>
    </row>
    <row r="115" spans="1:13" x14ac:dyDescent="0.35">
      <c r="A115" t="s">
        <v>212</v>
      </c>
      <c r="B115" s="2">
        <v>45756</v>
      </c>
      <c r="C115" t="s">
        <v>213</v>
      </c>
      <c r="D115" t="s">
        <v>21</v>
      </c>
      <c r="E115" t="s">
        <v>18</v>
      </c>
      <c r="F115" t="s">
        <v>25</v>
      </c>
      <c r="G115">
        <v>4</v>
      </c>
      <c r="H115">
        <v>0.1</v>
      </c>
      <c r="I115">
        <v>198</v>
      </c>
      <c r="J115">
        <v>41.76</v>
      </c>
      <c r="K115" t="str">
        <f t="shared" si="3"/>
        <v>Furniture</v>
      </c>
      <c r="L115" t="str">
        <f t="shared" si="4"/>
        <v>Apr-2025</v>
      </c>
      <c r="M115" s="14">
        <f t="shared" si="5"/>
        <v>45748</v>
      </c>
    </row>
    <row r="116" spans="1:13" x14ac:dyDescent="0.35">
      <c r="A116" t="s">
        <v>214</v>
      </c>
      <c r="B116" s="2">
        <v>45709</v>
      </c>
      <c r="C116" t="s">
        <v>215</v>
      </c>
      <c r="D116" t="s">
        <v>21</v>
      </c>
      <c r="E116" t="s">
        <v>18</v>
      </c>
      <c r="F116" t="s">
        <v>14</v>
      </c>
      <c r="G116">
        <v>3</v>
      </c>
      <c r="H116">
        <v>0.05</v>
      </c>
      <c r="I116">
        <v>156.75</v>
      </c>
      <c r="J116">
        <v>51.87</v>
      </c>
      <c r="K116" t="str">
        <f t="shared" si="3"/>
        <v>Furniture</v>
      </c>
      <c r="L116" t="str">
        <f t="shared" si="4"/>
        <v>Feb-2025</v>
      </c>
      <c r="M116" s="14">
        <f t="shared" si="5"/>
        <v>45689</v>
      </c>
    </row>
    <row r="117" spans="1:13" x14ac:dyDescent="0.35">
      <c r="A117" t="s">
        <v>216</v>
      </c>
      <c r="B117" s="2">
        <v>46020</v>
      </c>
      <c r="C117" t="s">
        <v>217</v>
      </c>
      <c r="D117" t="s">
        <v>55</v>
      </c>
      <c r="E117" t="s">
        <v>46</v>
      </c>
      <c r="F117" t="s">
        <v>25</v>
      </c>
      <c r="G117">
        <v>2</v>
      </c>
      <c r="H117">
        <v>0.1</v>
      </c>
      <c r="I117">
        <v>432</v>
      </c>
      <c r="J117">
        <v>187.91</v>
      </c>
      <c r="K117" t="str">
        <f t="shared" si="3"/>
        <v>Office Supplies</v>
      </c>
      <c r="L117" t="str">
        <f t="shared" si="4"/>
        <v>Dec-2025</v>
      </c>
      <c r="M117" s="14">
        <f t="shared" si="5"/>
        <v>45992</v>
      </c>
    </row>
    <row r="118" spans="1:13" x14ac:dyDescent="0.35">
      <c r="A118" t="s">
        <v>218</v>
      </c>
      <c r="B118" s="2">
        <v>46015</v>
      </c>
      <c r="C118" t="s">
        <v>219</v>
      </c>
      <c r="D118" t="s">
        <v>28</v>
      </c>
      <c r="E118" t="s">
        <v>18</v>
      </c>
      <c r="F118" t="s">
        <v>25</v>
      </c>
      <c r="G118">
        <v>4</v>
      </c>
      <c r="H118">
        <v>0</v>
      </c>
      <c r="I118">
        <v>1120</v>
      </c>
      <c r="J118">
        <v>181.44</v>
      </c>
      <c r="K118" t="str">
        <f t="shared" si="3"/>
        <v>Furniture</v>
      </c>
      <c r="L118" t="str">
        <f t="shared" si="4"/>
        <v>Dec-2025</v>
      </c>
      <c r="M118" s="14">
        <f t="shared" si="5"/>
        <v>45992</v>
      </c>
    </row>
    <row r="119" spans="1:13" x14ac:dyDescent="0.35">
      <c r="A119" t="s">
        <v>220</v>
      </c>
      <c r="B119" s="2">
        <v>45898</v>
      </c>
      <c r="C119" t="s">
        <v>217</v>
      </c>
      <c r="D119" t="s">
        <v>45</v>
      </c>
      <c r="E119" t="s">
        <v>46</v>
      </c>
      <c r="F119" t="s">
        <v>25</v>
      </c>
      <c r="G119">
        <v>4</v>
      </c>
      <c r="H119">
        <v>0.1</v>
      </c>
      <c r="I119">
        <v>64.8</v>
      </c>
      <c r="J119">
        <v>25.22</v>
      </c>
      <c r="K119" t="str">
        <f t="shared" si="3"/>
        <v>Office Supplies</v>
      </c>
      <c r="L119" t="str">
        <f t="shared" si="4"/>
        <v>Aug-2025</v>
      </c>
      <c r="M119" s="14">
        <f t="shared" si="5"/>
        <v>45870</v>
      </c>
    </row>
    <row r="120" spans="1:13" x14ac:dyDescent="0.35">
      <c r="A120" t="s">
        <v>221</v>
      </c>
      <c r="B120" s="2">
        <v>45902</v>
      </c>
      <c r="C120" t="s">
        <v>219</v>
      </c>
      <c r="D120" t="s">
        <v>12</v>
      </c>
      <c r="E120" t="s">
        <v>13</v>
      </c>
      <c r="F120" t="s">
        <v>14</v>
      </c>
      <c r="G120">
        <v>1</v>
      </c>
      <c r="H120">
        <v>0.15</v>
      </c>
      <c r="I120">
        <v>29.75</v>
      </c>
      <c r="J120">
        <v>8.56</v>
      </c>
      <c r="K120" t="str">
        <f t="shared" si="3"/>
        <v>Technology</v>
      </c>
      <c r="L120" t="str">
        <f t="shared" si="4"/>
        <v>Sept-2025</v>
      </c>
      <c r="M120" s="14">
        <f t="shared" si="5"/>
        <v>45901</v>
      </c>
    </row>
    <row r="121" spans="1:13" x14ac:dyDescent="0.35">
      <c r="A121" t="s">
        <v>222</v>
      </c>
      <c r="B121" s="2">
        <v>45735</v>
      </c>
      <c r="C121" t="s">
        <v>163</v>
      </c>
      <c r="D121" t="s">
        <v>28</v>
      </c>
      <c r="E121" t="s">
        <v>18</v>
      </c>
      <c r="F121" t="s">
        <v>14</v>
      </c>
      <c r="G121">
        <v>5</v>
      </c>
      <c r="H121">
        <v>0.1</v>
      </c>
      <c r="I121">
        <v>1260</v>
      </c>
      <c r="J121">
        <v>531.58000000000004</v>
      </c>
      <c r="K121" t="str">
        <f t="shared" si="3"/>
        <v>Furniture</v>
      </c>
      <c r="L121" t="str">
        <f t="shared" si="4"/>
        <v>Mar-2025</v>
      </c>
      <c r="M121" s="14">
        <f t="shared" si="5"/>
        <v>45717</v>
      </c>
    </row>
    <row r="122" spans="1:13" x14ac:dyDescent="0.35">
      <c r="A122" t="s">
        <v>223</v>
      </c>
      <c r="B122" s="2">
        <v>45943</v>
      </c>
      <c r="C122" t="s">
        <v>224</v>
      </c>
      <c r="D122" t="s">
        <v>99</v>
      </c>
      <c r="E122" t="s">
        <v>18</v>
      </c>
      <c r="F122" t="s">
        <v>50</v>
      </c>
      <c r="G122">
        <v>5</v>
      </c>
      <c r="H122">
        <v>0.2</v>
      </c>
      <c r="I122">
        <v>760</v>
      </c>
      <c r="J122">
        <v>143.68</v>
      </c>
      <c r="K122" t="str">
        <f t="shared" si="3"/>
        <v>Furniture</v>
      </c>
      <c r="L122" t="str">
        <f t="shared" si="4"/>
        <v>Oct-2025</v>
      </c>
      <c r="M122" s="14">
        <f t="shared" si="5"/>
        <v>45931</v>
      </c>
    </row>
    <row r="123" spans="1:13" x14ac:dyDescent="0.35">
      <c r="A123" t="s">
        <v>225</v>
      </c>
      <c r="B123" s="2">
        <v>45888</v>
      </c>
      <c r="C123" t="s">
        <v>187</v>
      </c>
      <c r="D123" t="s">
        <v>45</v>
      </c>
      <c r="E123" t="s">
        <v>46</v>
      </c>
      <c r="F123" t="s">
        <v>14</v>
      </c>
      <c r="G123">
        <v>3</v>
      </c>
      <c r="H123">
        <v>0.2</v>
      </c>
      <c r="I123">
        <v>43.2</v>
      </c>
      <c r="J123">
        <v>5.33</v>
      </c>
      <c r="K123" t="str">
        <f t="shared" si="3"/>
        <v>Office Supplies</v>
      </c>
      <c r="L123" t="str">
        <f t="shared" si="4"/>
        <v>Aug-2025</v>
      </c>
      <c r="M123" s="14">
        <f t="shared" si="5"/>
        <v>45870</v>
      </c>
    </row>
    <row r="124" spans="1:13" x14ac:dyDescent="0.35">
      <c r="A124" t="s">
        <v>226</v>
      </c>
      <c r="B124" s="2">
        <v>45970</v>
      </c>
      <c r="C124" t="s">
        <v>113</v>
      </c>
      <c r="D124" t="s">
        <v>17</v>
      </c>
      <c r="E124" t="s">
        <v>18</v>
      </c>
      <c r="F124" t="s">
        <v>14</v>
      </c>
      <c r="G124">
        <v>1</v>
      </c>
      <c r="H124">
        <v>0.05</v>
      </c>
      <c r="I124">
        <v>199.5</v>
      </c>
      <c r="J124">
        <v>48.59</v>
      </c>
      <c r="K124" t="str">
        <f t="shared" si="3"/>
        <v>Furniture</v>
      </c>
      <c r="L124" t="str">
        <f t="shared" si="4"/>
        <v>Nov-2025</v>
      </c>
      <c r="M124" s="14">
        <f t="shared" si="5"/>
        <v>45962</v>
      </c>
    </row>
    <row r="125" spans="1:13" x14ac:dyDescent="0.35">
      <c r="A125" t="s">
        <v>227</v>
      </c>
      <c r="B125" s="2">
        <v>45738</v>
      </c>
      <c r="C125" t="s">
        <v>82</v>
      </c>
      <c r="D125" t="s">
        <v>21</v>
      </c>
      <c r="E125" t="s">
        <v>18</v>
      </c>
      <c r="F125" t="s">
        <v>50</v>
      </c>
      <c r="G125">
        <v>2</v>
      </c>
      <c r="H125">
        <v>0.2</v>
      </c>
      <c r="I125">
        <v>88</v>
      </c>
      <c r="J125">
        <v>37.42</v>
      </c>
      <c r="K125" t="str">
        <f t="shared" si="3"/>
        <v>Furniture</v>
      </c>
      <c r="L125" t="str">
        <f t="shared" si="4"/>
        <v>Mar-2025</v>
      </c>
      <c r="M125" s="14">
        <f t="shared" si="5"/>
        <v>45717</v>
      </c>
    </row>
    <row r="126" spans="1:13" x14ac:dyDescent="0.35">
      <c r="A126" t="s">
        <v>228</v>
      </c>
      <c r="B126" s="2">
        <v>45888</v>
      </c>
      <c r="C126" t="s">
        <v>37</v>
      </c>
      <c r="D126" t="s">
        <v>17</v>
      </c>
      <c r="E126" t="s">
        <v>18</v>
      </c>
      <c r="F126" t="s">
        <v>25</v>
      </c>
      <c r="G126">
        <v>5</v>
      </c>
      <c r="H126">
        <v>0.15</v>
      </c>
      <c r="I126">
        <v>892.5</v>
      </c>
      <c r="J126">
        <v>315.83999999999997</v>
      </c>
      <c r="K126" t="str">
        <f t="shared" si="3"/>
        <v>Furniture</v>
      </c>
      <c r="L126" t="str">
        <f t="shared" si="4"/>
        <v>Aug-2025</v>
      </c>
      <c r="M126" s="14">
        <f t="shared" si="5"/>
        <v>45870</v>
      </c>
    </row>
    <row r="127" spans="1:13" x14ac:dyDescent="0.35">
      <c r="A127" t="s">
        <v>229</v>
      </c>
      <c r="B127" s="2">
        <v>46019</v>
      </c>
      <c r="C127" t="s">
        <v>113</v>
      </c>
      <c r="D127" t="s">
        <v>35</v>
      </c>
      <c r="E127" t="s">
        <v>13</v>
      </c>
      <c r="F127" t="s">
        <v>22</v>
      </c>
      <c r="G127">
        <v>4</v>
      </c>
      <c r="H127">
        <v>0</v>
      </c>
      <c r="I127">
        <v>3400</v>
      </c>
      <c r="J127">
        <v>758.75</v>
      </c>
      <c r="K127" t="str">
        <f t="shared" si="3"/>
        <v>Technology</v>
      </c>
      <c r="L127" t="str">
        <f t="shared" si="4"/>
        <v>Dec-2025</v>
      </c>
      <c r="M127" s="14">
        <f t="shared" si="5"/>
        <v>45992</v>
      </c>
    </row>
    <row r="128" spans="1:13" x14ac:dyDescent="0.35">
      <c r="A128" t="s">
        <v>230</v>
      </c>
      <c r="B128" s="2">
        <v>45875</v>
      </c>
      <c r="C128" t="s">
        <v>231</v>
      </c>
      <c r="D128" t="s">
        <v>12</v>
      </c>
      <c r="E128" t="s">
        <v>13</v>
      </c>
      <c r="F128" t="s">
        <v>22</v>
      </c>
      <c r="G128">
        <v>5</v>
      </c>
      <c r="H128">
        <v>0.05</v>
      </c>
      <c r="I128">
        <v>166.25</v>
      </c>
      <c r="J128">
        <v>39.28</v>
      </c>
      <c r="K128" t="str">
        <f t="shared" si="3"/>
        <v>Technology</v>
      </c>
      <c r="L128" t="str">
        <f t="shared" si="4"/>
        <v>Aug-2025</v>
      </c>
      <c r="M128" s="14">
        <f t="shared" si="5"/>
        <v>45870</v>
      </c>
    </row>
    <row r="129" spans="1:13" x14ac:dyDescent="0.35">
      <c r="A129" t="s">
        <v>232</v>
      </c>
      <c r="B129" s="2">
        <v>45694</v>
      </c>
      <c r="C129" t="s">
        <v>73</v>
      </c>
      <c r="D129" t="s">
        <v>67</v>
      </c>
      <c r="E129" t="s">
        <v>13</v>
      </c>
      <c r="F129" t="s">
        <v>25</v>
      </c>
      <c r="G129">
        <v>2</v>
      </c>
      <c r="H129">
        <v>0.1</v>
      </c>
      <c r="I129">
        <v>2160</v>
      </c>
      <c r="J129">
        <v>547.85</v>
      </c>
      <c r="K129" t="str">
        <f t="shared" si="3"/>
        <v>Technology</v>
      </c>
      <c r="L129" t="str">
        <f t="shared" si="4"/>
        <v>Feb-2025</v>
      </c>
      <c r="M129" s="14">
        <f t="shared" si="5"/>
        <v>45689</v>
      </c>
    </row>
    <row r="130" spans="1:13" x14ac:dyDescent="0.35">
      <c r="A130" t="s">
        <v>233</v>
      </c>
      <c r="B130" s="2">
        <v>45882</v>
      </c>
      <c r="C130" t="s">
        <v>231</v>
      </c>
      <c r="D130" t="s">
        <v>12</v>
      </c>
      <c r="E130" t="s">
        <v>13</v>
      </c>
      <c r="F130" t="s">
        <v>50</v>
      </c>
      <c r="G130">
        <v>4</v>
      </c>
      <c r="H130">
        <v>0.1</v>
      </c>
      <c r="I130">
        <v>126</v>
      </c>
      <c r="J130">
        <v>27.61</v>
      </c>
      <c r="K130" t="str">
        <f t="shared" ref="K130:K193" si="6">TRIM(E130)</f>
        <v>Technology</v>
      </c>
      <c r="L130" t="str">
        <f t="shared" si="4"/>
        <v>Aug-2025</v>
      </c>
      <c r="M130" s="14">
        <f t="shared" si="5"/>
        <v>45870</v>
      </c>
    </row>
    <row r="131" spans="1:13" x14ac:dyDescent="0.35">
      <c r="A131" t="s">
        <v>234</v>
      </c>
      <c r="B131" s="2">
        <v>45882</v>
      </c>
      <c r="C131" t="s">
        <v>133</v>
      </c>
      <c r="D131" t="s">
        <v>12</v>
      </c>
      <c r="E131" t="s">
        <v>13</v>
      </c>
      <c r="F131" t="s">
        <v>25</v>
      </c>
      <c r="G131">
        <v>5</v>
      </c>
      <c r="H131">
        <v>0</v>
      </c>
      <c r="I131">
        <v>175</v>
      </c>
      <c r="J131">
        <v>27.39</v>
      </c>
      <c r="K131" t="str">
        <f t="shared" si="6"/>
        <v>Technology</v>
      </c>
      <c r="L131" t="str">
        <f t="shared" ref="L131:L194" si="7">TEXT(B131,"mmm-yyyy")</f>
        <v>Aug-2025</v>
      </c>
      <c r="M131" s="14">
        <f t="shared" ref="M131:M194" si="8">DATE(YEAR(B131),MONTH(B131),1)</f>
        <v>45870</v>
      </c>
    </row>
    <row r="132" spans="1:13" x14ac:dyDescent="0.35">
      <c r="A132" t="s">
        <v>235</v>
      </c>
      <c r="B132" s="2">
        <v>45967</v>
      </c>
      <c r="C132" t="s">
        <v>236</v>
      </c>
      <c r="D132" t="s">
        <v>35</v>
      </c>
      <c r="E132" t="s">
        <v>13</v>
      </c>
      <c r="F132" t="s">
        <v>14</v>
      </c>
      <c r="G132">
        <v>1</v>
      </c>
      <c r="H132">
        <v>0</v>
      </c>
      <c r="I132">
        <v>850</v>
      </c>
      <c r="J132">
        <v>318.29000000000002</v>
      </c>
      <c r="K132" t="str">
        <f t="shared" si="6"/>
        <v>Technology</v>
      </c>
      <c r="L132" t="str">
        <f t="shared" si="7"/>
        <v>Nov-2025</v>
      </c>
      <c r="M132" s="14">
        <f t="shared" si="8"/>
        <v>45962</v>
      </c>
    </row>
    <row r="133" spans="1:13" x14ac:dyDescent="0.35">
      <c r="A133" t="s">
        <v>237</v>
      </c>
      <c r="B133" s="2">
        <v>46002</v>
      </c>
      <c r="C133" t="s">
        <v>238</v>
      </c>
      <c r="D133" t="s">
        <v>35</v>
      </c>
      <c r="E133" t="s">
        <v>13</v>
      </c>
      <c r="F133" t="s">
        <v>50</v>
      </c>
      <c r="G133">
        <v>5</v>
      </c>
      <c r="H133">
        <v>0</v>
      </c>
      <c r="I133">
        <v>4250</v>
      </c>
      <c r="J133">
        <v>842.24</v>
      </c>
      <c r="K133" t="str">
        <f t="shared" si="6"/>
        <v>Technology</v>
      </c>
      <c r="L133" t="str">
        <f t="shared" si="7"/>
        <v>Dec-2025</v>
      </c>
      <c r="M133" s="14">
        <f t="shared" si="8"/>
        <v>45992</v>
      </c>
    </row>
    <row r="134" spans="1:13" x14ac:dyDescent="0.35">
      <c r="A134" t="s">
        <v>239</v>
      </c>
      <c r="B134" s="2">
        <v>45923</v>
      </c>
      <c r="C134" t="s">
        <v>54</v>
      </c>
      <c r="D134" t="s">
        <v>38</v>
      </c>
      <c r="E134" t="s">
        <v>13</v>
      </c>
      <c r="F134" t="s">
        <v>50</v>
      </c>
      <c r="G134">
        <v>4</v>
      </c>
      <c r="H134">
        <v>0.1</v>
      </c>
      <c r="I134">
        <v>1152</v>
      </c>
      <c r="J134">
        <v>449.41</v>
      </c>
      <c r="K134" t="str">
        <f t="shared" si="6"/>
        <v>Technology</v>
      </c>
      <c r="L134" t="str">
        <f t="shared" si="7"/>
        <v>Sept-2025</v>
      </c>
      <c r="M134" s="14">
        <f t="shared" si="8"/>
        <v>45901</v>
      </c>
    </row>
    <row r="135" spans="1:13" x14ac:dyDescent="0.35">
      <c r="A135" t="s">
        <v>240</v>
      </c>
      <c r="B135" s="2">
        <v>45983</v>
      </c>
      <c r="C135" t="s">
        <v>241</v>
      </c>
      <c r="D135" t="s">
        <v>45</v>
      </c>
      <c r="E135" t="s">
        <v>46</v>
      </c>
      <c r="F135" t="s">
        <v>25</v>
      </c>
      <c r="G135">
        <v>1</v>
      </c>
      <c r="H135">
        <v>0.15</v>
      </c>
      <c r="I135">
        <v>15.3</v>
      </c>
      <c r="J135">
        <v>5.13</v>
      </c>
      <c r="K135" t="str">
        <f t="shared" si="6"/>
        <v>Office Supplies</v>
      </c>
      <c r="L135" t="str">
        <f t="shared" si="7"/>
        <v>Nov-2025</v>
      </c>
      <c r="M135" s="14">
        <f t="shared" si="8"/>
        <v>45962</v>
      </c>
    </row>
    <row r="136" spans="1:13" x14ac:dyDescent="0.35">
      <c r="A136" t="s">
        <v>242</v>
      </c>
      <c r="B136" s="2">
        <v>46001</v>
      </c>
      <c r="C136" t="s">
        <v>243</v>
      </c>
      <c r="D136" t="s">
        <v>12</v>
      </c>
      <c r="E136" t="s">
        <v>13</v>
      </c>
      <c r="F136" t="s">
        <v>25</v>
      </c>
      <c r="G136">
        <v>2</v>
      </c>
      <c r="H136">
        <v>0.1</v>
      </c>
      <c r="I136">
        <v>63</v>
      </c>
      <c r="J136">
        <v>19.79</v>
      </c>
      <c r="K136" t="str">
        <f t="shared" si="6"/>
        <v>Technology</v>
      </c>
      <c r="L136" t="str">
        <f t="shared" si="7"/>
        <v>Dec-2025</v>
      </c>
      <c r="M136" s="14">
        <f t="shared" si="8"/>
        <v>45992</v>
      </c>
    </row>
    <row r="137" spans="1:13" x14ac:dyDescent="0.35">
      <c r="A137" t="s">
        <v>244</v>
      </c>
      <c r="B137" s="2">
        <v>45997</v>
      </c>
      <c r="C137" t="s">
        <v>48</v>
      </c>
      <c r="D137" t="s">
        <v>99</v>
      </c>
      <c r="E137" t="s">
        <v>18</v>
      </c>
      <c r="F137" t="s">
        <v>25</v>
      </c>
      <c r="G137">
        <v>5</v>
      </c>
      <c r="H137">
        <v>0</v>
      </c>
      <c r="I137">
        <v>950</v>
      </c>
      <c r="J137">
        <v>284.91000000000003</v>
      </c>
      <c r="K137" t="str">
        <f t="shared" si="6"/>
        <v>Furniture</v>
      </c>
      <c r="L137" t="str">
        <f t="shared" si="7"/>
        <v>Dec-2025</v>
      </c>
      <c r="M137" s="14">
        <f t="shared" si="8"/>
        <v>45992</v>
      </c>
    </row>
    <row r="138" spans="1:13" x14ac:dyDescent="0.35">
      <c r="A138" t="s">
        <v>245</v>
      </c>
      <c r="B138" s="2">
        <v>45823</v>
      </c>
      <c r="C138" t="s">
        <v>82</v>
      </c>
      <c r="D138" t="s">
        <v>12</v>
      </c>
      <c r="E138" t="s">
        <v>13</v>
      </c>
      <c r="F138" t="s">
        <v>50</v>
      </c>
      <c r="G138">
        <v>4</v>
      </c>
      <c r="H138">
        <v>0.2</v>
      </c>
      <c r="I138">
        <v>112</v>
      </c>
      <c r="J138">
        <v>19.91</v>
      </c>
      <c r="K138" t="str">
        <f t="shared" si="6"/>
        <v>Technology</v>
      </c>
      <c r="L138" t="str">
        <f t="shared" si="7"/>
        <v>Jun-2025</v>
      </c>
      <c r="M138" s="14">
        <f t="shared" si="8"/>
        <v>45809</v>
      </c>
    </row>
    <row r="139" spans="1:13" x14ac:dyDescent="0.35">
      <c r="A139" t="s">
        <v>246</v>
      </c>
      <c r="B139" s="2">
        <v>45869</v>
      </c>
      <c r="C139" t="s">
        <v>57</v>
      </c>
      <c r="D139" t="s">
        <v>67</v>
      </c>
      <c r="E139" t="s">
        <v>13</v>
      </c>
      <c r="F139" t="s">
        <v>50</v>
      </c>
      <c r="G139">
        <v>2</v>
      </c>
      <c r="H139">
        <v>0.2</v>
      </c>
      <c r="I139">
        <v>1920</v>
      </c>
      <c r="J139">
        <v>634.78</v>
      </c>
      <c r="K139" t="str">
        <f t="shared" si="6"/>
        <v>Technology</v>
      </c>
      <c r="L139" t="str">
        <f t="shared" si="7"/>
        <v>Jul-2025</v>
      </c>
      <c r="M139" s="14">
        <f t="shared" si="8"/>
        <v>45839</v>
      </c>
    </row>
    <row r="140" spans="1:13" x14ac:dyDescent="0.35">
      <c r="A140" t="s">
        <v>247</v>
      </c>
      <c r="B140" s="2">
        <v>45978</v>
      </c>
      <c r="C140" t="s">
        <v>115</v>
      </c>
      <c r="D140" t="s">
        <v>45</v>
      </c>
      <c r="E140" t="s">
        <v>46</v>
      </c>
      <c r="F140" t="s">
        <v>25</v>
      </c>
      <c r="G140">
        <v>1</v>
      </c>
      <c r="H140">
        <v>0.05</v>
      </c>
      <c r="I140">
        <v>17.100000000000001</v>
      </c>
      <c r="J140">
        <v>6.19</v>
      </c>
      <c r="K140" t="str">
        <f t="shared" si="6"/>
        <v>Office Supplies</v>
      </c>
      <c r="L140" t="str">
        <f t="shared" si="7"/>
        <v>Nov-2025</v>
      </c>
      <c r="M140" s="14">
        <f t="shared" si="8"/>
        <v>45962</v>
      </c>
    </row>
    <row r="141" spans="1:13" x14ac:dyDescent="0.35">
      <c r="A141" t="s">
        <v>248</v>
      </c>
      <c r="B141" s="2">
        <v>45882</v>
      </c>
      <c r="C141" t="s">
        <v>189</v>
      </c>
      <c r="D141" t="s">
        <v>17</v>
      </c>
      <c r="E141" t="s">
        <v>18</v>
      </c>
      <c r="F141" t="s">
        <v>22</v>
      </c>
      <c r="G141">
        <v>4</v>
      </c>
      <c r="H141">
        <v>0</v>
      </c>
      <c r="I141">
        <v>840</v>
      </c>
      <c r="J141">
        <v>370</v>
      </c>
      <c r="K141" t="str">
        <f t="shared" si="6"/>
        <v>Furniture</v>
      </c>
      <c r="L141" t="str">
        <f t="shared" si="7"/>
        <v>Aug-2025</v>
      </c>
      <c r="M141" s="14">
        <f t="shared" si="8"/>
        <v>45870</v>
      </c>
    </row>
    <row r="142" spans="1:13" x14ac:dyDescent="0.35">
      <c r="A142" t="s">
        <v>249</v>
      </c>
      <c r="B142" s="2">
        <v>46021</v>
      </c>
      <c r="C142" t="s">
        <v>87</v>
      </c>
      <c r="D142" t="s">
        <v>28</v>
      </c>
      <c r="E142" t="s">
        <v>18</v>
      </c>
      <c r="F142" t="s">
        <v>14</v>
      </c>
      <c r="G142">
        <v>3</v>
      </c>
      <c r="H142">
        <v>0.2</v>
      </c>
      <c r="I142">
        <v>672</v>
      </c>
      <c r="J142">
        <v>299.37</v>
      </c>
      <c r="K142" t="str">
        <f t="shared" si="6"/>
        <v>Furniture</v>
      </c>
      <c r="L142" t="str">
        <f t="shared" si="7"/>
        <v>Dec-2025</v>
      </c>
      <c r="M142" s="14">
        <f t="shared" si="8"/>
        <v>45992</v>
      </c>
    </row>
    <row r="143" spans="1:13" x14ac:dyDescent="0.35">
      <c r="A143" t="s">
        <v>250</v>
      </c>
      <c r="B143" s="2">
        <v>45773</v>
      </c>
      <c r="C143" t="s">
        <v>251</v>
      </c>
      <c r="D143" t="s">
        <v>12</v>
      </c>
      <c r="E143" t="s">
        <v>13</v>
      </c>
      <c r="F143" t="s">
        <v>50</v>
      </c>
      <c r="G143">
        <v>4</v>
      </c>
      <c r="H143">
        <v>0</v>
      </c>
      <c r="I143">
        <v>140</v>
      </c>
      <c r="J143">
        <v>33.08</v>
      </c>
      <c r="K143" t="str">
        <f t="shared" si="6"/>
        <v>Technology</v>
      </c>
      <c r="L143" t="str">
        <f t="shared" si="7"/>
        <v>Apr-2025</v>
      </c>
      <c r="M143" s="14">
        <f t="shared" si="8"/>
        <v>45748</v>
      </c>
    </row>
    <row r="144" spans="1:13" x14ac:dyDescent="0.35">
      <c r="A144" t="s">
        <v>252</v>
      </c>
      <c r="B144" s="2">
        <v>45807</v>
      </c>
      <c r="C144" t="s">
        <v>253</v>
      </c>
      <c r="D144" t="s">
        <v>55</v>
      </c>
      <c r="E144" t="s">
        <v>46</v>
      </c>
      <c r="F144" t="s">
        <v>22</v>
      </c>
      <c r="G144">
        <v>3</v>
      </c>
      <c r="H144">
        <v>0.15</v>
      </c>
      <c r="I144">
        <v>612</v>
      </c>
      <c r="J144">
        <v>106.82</v>
      </c>
      <c r="K144" t="str">
        <f t="shared" si="6"/>
        <v>Office Supplies</v>
      </c>
      <c r="L144" t="str">
        <f t="shared" si="7"/>
        <v>May-2025</v>
      </c>
      <c r="M144" s="14">
        <f t="shared" si="8"/>
        <v>45778</v>
      </c>
    </row>
    <row r="145" spans="1:13" x14ac:dyDescent="0.35">
      <c r="A145" t="s">
        <v>254</v>
      </c>
      <c r="B145" s="2">
        <v>45891</v>
      </c>
      <c r="C145" t="s">
        <v>202</v>
      </c>
      <c r="D145" t="s">
        <v>55</v>
      </c>
      <c r="E145" t="s">
        <v>46</v>
      </c>
      <c r="F145" t="s">
        <v>22</v>
      </c>
      <c r="G145">
        <v>2</v>
      </c>
      <c r="H145">
        <v>0.15</v>
      </c>
      <c r="I145">
        <v>408</v>
      </c>
      <c r="J145">
        <v>157.94</v>
      </c>
      <c r="K145" t="str">
        <f t="shared" si="6"/>
        <v>Office Supplies</v>
      </c>
      <c r="L145" t="str">
        <f t="shared" si="7"/>
        <v>Aug-2025</v>
      </c>
      <c r="M145" s="14">
        <f t="shared" si="8"/>
        <v>45870</v>
      </c>
    </row>
    <row r="146" spans="1:13" x14ac:dyDescent="0.35">
      <c r="A146" t="s">
        <v>255</v>
      </c>
      <c r="B146" s="2">
        <v>45693</v>
      </c>
      <c r="C146" t="s">
        <v>66</v>
      </c>
      <c r="D146" t="s">
        <v>35</v>
      </c>
      <c r="E146" t="s">
        <v>13</v>
      </c>
      <c r="F146" t="s">
        <v>25</v>
      </c>
      <c r="G146">
        <v>4</v>
      </c>
      <c r="H146">
        <v>0.1</v>
      </c>
      <c r="I146">
        <v>3060</v>
      </c>
      <c r="J146">
        <v>433.6</v>
      </c>
      <c r="K146" t="str">
        <f t="shared" si="6"/>
        <v>Technology</v>
      </c>
      <c r="L146" t="str">
        <f t="shared" si="7"/>
        <v>Feb-2025</v>
      </c>
      <c r="M146" s="14">
        <f t="shared" si="8"/>
        <v>45689</v>
      </c>
    </row>
    <row r="147" spans="1:13" x14ac:dyDescent="0.35">
      <c r="A147" t="s">
        <v>256</v>
      </c>
      <c r="B147" s="2">
        <v>45659</v>
      </c>
      <c r="C147" t="s">
        <v>145</v>
      </c>
      <c r="D147" t="s">
        <v>35</v>
      </c>
      <c r="E147" t="s">
        <v>13</v>
      </c>
      <c r="F147" t="s">
        <v>50</v>
      </c>
      <c r="G147">
        <v>3</v>
      </c>
      <c r="H147">
        <v>0.2</v>
      </c>
      <c r="I147">
        <v>2040</v>
      </c>
      <c r="J147">
        <v>527.6</v>
      </c>
      <c r="K147" t="str">
        <f t="shared" si="6"/>
        <v>Technology</v>
      </c>
      <c r="L147" t="str">
        <f t="shared" si="7"/>
        <v>Jan-2025</v>
      </c>
      <c r="M147" s="14">
        <f t="shared" si="8"/>
        <v>45658</v>
      </c>
    </row>
    <row r="148" spans="1:13" x14ac:dyDescent="0.35">
      <c r="A148" t="s">
        <v>257</v>
      </c>
      <c r="B148" s="2">
        <v>45734</v>
      </c>
      <c r="C148" t="s">
        <v>95</v>
      </c>
      <c r="D148" t="s">
        <v>45</v>
      </c>
      <c r="E148" t="s">
        <v>46</v>
      </c>
      <c r="F148" t="s">
        <v>50</v>
      </c>
      <c r="G148">
        <v>5</v>
      </c>
      <c r="H148">
        <v>0.15</v>
      </c>
      <c r="I148">
        <v>76.5</v>
      </c>
      <c r="J148">
        <v>25.71</v>
      </c>
      <c r="K148" t="str">
        <f t="shared" si="6"/>
        <v>Office Supplies</v>
      </c>
      <c r="L148" t="str">
        <f t="shared" si="7"/>
        <v>Mar-2025</v>
      </c>
      <c r="M148" s="14">
        <f t="shared" si="8"/>
        <v>45717</v>
      </c>
    </row>
    <row r="149" spans="1:13" x14ac:dyDescent="0.35">
      <c r="A149" t="s">
        <v>258</v>
      </c>
      <c r="B149" s="2">
        <v>45891</v>
      </c>
      <c r="C149" t="s">
        <v>37</v>
      </c>
      <c r="D149" t="s">
        <v>49</v>
      </c>
      <c r="E149" t="s">
        <v>13</v>
      </c>
      <c r="F149" t="s">
        <v>50</v>
      </c>
      <c r="G149">
        <v>2</v>
      </c>
      <c r="H149">
        <v>0.05</v>
      </c>
      <c r="I149">
        <v>133</v>
      </c>
      <c r="J149">
        <v>34.75</v>
      </c>
      <c r="K149" t="str">
        <f t="shared" si="6"/>
        <v>Technology</v>
      </c>
      <c r="L149" t="str">
        <f t="shared" si="7"/>
        <v>Aug-2025</v>
      </c>
      <c r="M149" s="14">
        <f t="shared" si="8"/>
        <v>45870</v>
      </c>
    </row>
    <row r="150" spans="1:13" x14ac:dyDescent="0.35">
      <c r="A150" t="s">
        <v>259</v>
      </c>
      <c r="B150" s="2">
        <v>45680</v>
      </c>
      <c r="C150" t="s">
        <v>145</v>
      </c>
      <c r="D150" t="s">
        <v>49</v>
      </c>
      <c r="E150" t="s">
        <v>13</v>
      </c>
      <c r="F150" t="s">
        <v>22</v>
      </c>
      <c r="G150">
        <v>4</v>
      </c>
      <c r="H150">
        <v>0.15</v>
      </c>
      <c r="I150">
        <v>238</v>
      </c>
      <c r="J150">
        <v>76.78</v>
      </c>
      <c r="K150" t="str">
        <f t="shared" si="6"/>
        <v>Technology</v>
      </c>
      <c r="L150" t="str">
        <f t="shared" si="7"/>
        <v>Jan-2025</v>
      </c>
      <c r="M150" s="14">
        <f t="shared" si="8"/>
        <v>45658</v>
      </c>
    </row>
    <row r="151" spans="1:13" x14ac:dyDescent="0.35">
      <c r="A151" t="s">
        <v>260</v>
      </c>
      <c r="B151" s="2">
        <v>45911</v>
      </c>
      <c r="C151" t="s">
        <v>241</v>
      </c>
      <c r="D151" t="s">
        <v>67</v>
      </c>
      <c r="E151" t="s">
        <v>13</v>
      </c>
      <c r="F151" t="s">
        <v>14</v>
      </c>
      <c r="G151">
        <v>2</v>
      </c>
      <c r="H151">
        <v>0.2</v>
      </c>
      <c r="I151">
        <v>1920</v>
      </c>
      <c r="J151">
        <v>252.35</v>
      </c>
      <c r="K151" t="str">
        <f t="shared" si="6"/>
        <v>Technology</v>
      </c>
      <c r="L151" t="str">
        <f t="shared" si="7"/>
        <v>Sept-2025</v>
      </c>
      <c r="M151" s="14">
        <f t="shared" si="8"/>
        <v>45901</v>
      </c>
    </row>
    <row r="152" spans="1:13" x14ac:dyDescent="0.35">
      <c r="A152" t="s">
        <v>261</v>
      </c>
      <c r="B152" s="2">
        <v>45883</v>
      </c>
      <c r="C152" t="s">
        <v>154</v>
      </c>
      <c r="D152" t="s">
        <v>12</v>
      </c>
      <c r="E152" t="s">
        <v>13</v>
      </c>
      <c r="F152" t="s">
        <v>50</v>
      </c>
      <c r="G152">
        <v>5</v>
      </c>
      <c r="H152">
        <v>0.15</v>
      </c>
      <c r="I152">
        <v>148.75</v>
      </c>
      <c r="J152">
        <v>66.180000000000007</v>
      </c>
      <c r="K152" t="str">
        <f t="shared" si="6"/>
        <v>Technology</v>
      </c>
      <c r="L152" t="str">
        <f t="shared" si="7"/>
        <v>Aug-2025</v>
      </c>
      <c r="M152" s="14">
        <f t="shared" si="8"/>
        <v>45870</v>
      </c>
    </row>
    <row r="153" spans="1:13" x14ac:dyDescent="0.35">
      <c r="A153" t="s">
        <v>262</v>
      </c>
      <c r="B153" s="2">
        <v>45993</v>
      </c>
      <c r="C153" t="s">
        <v>113</v>
      </c>
      <c r="D153" t="s">
        <v>28</v>
      </c>
      <c r="E153" t="s">
        <v>18</v>
      </c>
      <c r="F153" t="s">
        <v>25</v>
      </c>
      <c r="G153">
        <v>1</v>
      </c>
      <c r="H153">
        <v>0.15</v>
      </c>
      <c r="I153">
        <v>238</v>
      </c>
      <c r="J153">
        <v>45.72</v>
      </c>
      <c r="K153" t="str">
        <f t="shared" si="6"/>
        <v>Furniture</v>
      </c>
      <c r="L153" t="str">
        <f t="shared" si="7"/>
        <v>Dec-2025</v>
      </c>
      <c r="M153" s="14">
        <f t="shared" si="8"/>
        <v>45992</v>
      </c>
    </row>
    <row r="154" spans="1:13" x14ac:dyDescent="0.35">
      <c r="A154" t="s">
        <v>263</v>
      </c>
      <c r="B154" s="2">
        <v>45977</v>
      </c>
      <c r="C154" t="s">
        <v>236</v>
      </c>
      <c r="D154" t="s">
        <v>17</v>
      </c>
      <c r="E154" t="s">
        <v>18</v>
      </c>
      <c r="F154" t="s">
        <v>50</v>
      </c>
      <c r="G154">
        <v>4</v>
      </c>
      <c r="H154">
        <v>0</v>
      </c>
      <c r="I154">
        <v>840</v>
      </c>
      <c r="J154">
        <v>141.88999999999999</v>
      </c>
      <c r="K154" t="str">
        <f t="shared" si="6"/>
        <v>Furniture</v>
      </c>
      <c r="L154" t="str">
        <f t="shared" si="7"/>
        <v>Nov-2025</v>
      </c>
      <c r="M154" s="14">
        <f t="shared" si="8"/>
        <v>45962</v>
      </c>
    </row>
    <row r="155" spans="1:13" x14ac:dyDescent="0.35">
      <c r="A155" t="s">
        <v>264</v>
      </c>
      <c r="B155" s="2">
        <v>45820</v>
      </c>
      <c r="C155" t="s">
        <v>80</v>
      </c>
      <c r="D155" t="s">
        <v>38</v>
      </c>
      <c r="E155" t="s">
        <v>13</v>
      </c>
      <c r="F155" t="s">
        <v>22</v>
      </c>
      <c r="G155">
        <v>4</v>
      </c>
      <c r="H155">
        <v>0.2</v>
      </c>
      <c r="I155">
        <v>1024</v>
      </c>
      <c r="J155">
        <v>448.67</v>
      </c>
      <c r="K155" t="str">
        <f t="shared" si="6"/>
        <v>Technology</v>
      </c>
      <c r="L155" t="str">
        <f t="shared" si="7"/>
        <v>Jun-2025</v>
      </c>
      <c r="M155" s="14">
        <f t="shared" si="8"/>
        <v>45809</v>
      </c>
    </row>
    <row r="156" spans="1:13" x14ac:dyDescent="0.35">
      <c r="A156" t="s">
        <v>265</v>
      </c>
      <c r="B156" s="2">
        <v>45981</v>
      </c>
      <c r="C156" t="s">
        <v>64</v>
      </c>
      <c r="D156" t="s">
        <v>38</v>
      </c>
      <c r="E156" t="s">
        <v>13</v>
      </c>
      <c r="F156" t="s">
        <v>14</v>
      </c>
      <c r="G156">
        <v>3</v>
      </c>
      <c r="H156">
        <v>0.05</v>
      </c>
      <c r="I156">
        <v>912</v>
      </c>
      <c r="J156">
        <v>185.65</v>
      </c>
      <c r="K156" t="str">
        <f t="shared" si="6"/>
        <v>Technology</v>
      </c>
      <c r="L156" t="str">
        <f t="shared" si="7"/>
        <v>Nov-2025</v>
      </c>
      <c r="M156" s="14">
        <f t="shared" si="8"/>
        <v>45962</v>
      </c>
    </row>
    <row r="157" spans="1:13" x14ac:dyDescent="0.35">
      <c r="A157" t="s">
        <v>266</v>
      </c>
      <c r="B157" s="2">
        <v>45982</v>
      </c>
      <c r="C157" t="s">
        <v>215</v>
      </c>
      <c r="D157" t="s">
        <v>17</v>
      </c>
      <c r="E157" t="s">
        <v>18</v>
      </c>
      <c r="F157" t="s">
        <v>14</v>
      </c>
      <c r="G157">
        <v>1</v>
      </c>
      <c r="H157">
        <v>0.15</v>
      </c>
      <c r="I157">
        <v>178.5</v>
      </c>
      <c r="J157">
        <v>70.53</v>
      </c>
      <c r="K157" t="str">
        <f t="shared" si="6"/>
        <v>Furniture</v>
      </c>
      <c r="L157" t="str">
        <f t="shared" si="7"/>
        <v>Nov-2025</v>
      </c>
      <c r="M157" s="14">
        <f t="shared" si="8"/>
        <v>45962</v>
      </c>
    </row>
    <row r="158" spans="1:13" x14ac:dyDescent="0.35">
      <c r="A158" t="s">
        <v>267</v>
      </c>
      <c r="B158" s="2">
        <v>45681</v>
      </c>
      <c r="C158" t="s">
        <v>64</v>
      </c>
      <c r="D158" t="s">
        <v>49</v>
      </c>
      <c r="E158" t="s">
        <v>13</v>
      </c>
      <c r="F158" t="s">
        <v>22</v>
      </c>
      <c r="G158">
        <v>1</v>
      </c>
      <c r="H158">
        <v>0.1</v>
      </c>
      <c r="I158">
        <v>63</v>
      </c>
      <c r="J158">
        <v>20.9</v>
      </c>
      <c r="K158" t="str">
        <f t="shared" si="6"/>
        <v>Technology</v>
      </c>
      <c r="L158" t="str">
        <f t="shared" si="7"/>
        <v>Jan-2025</v>
      </c>
      <c r="M158" s="14">
        <f t="shared" si="8"/>
        <v>45658</v>
      </c>
    </row>
    <row r="159" spans="1:13" x14ac:dyDescent="0.35">
      <c r="A159" t="s">
        <v>268</v>
      </c>
      <c r="B159" s="2">
        <v>45783</v>
      </c>
      <c r="C159" t="s">
        <v>269</v>
      </c>
      <c r="D159" t="s">
        <v>55</v>
      </c>
      <c r="E159" t="s">
        <v>46</v>
      </c>
      <c r="F159" t="s">
        <v>22</v>
      </c>
      <c r="G159">
        <v>4</v>
      </c>
      <c r="H159">
        <v>0.2</v>
      </c>
      <c r="I159">
        <v>768</v>
      </c>
      <c r="J159">
        <v>172.8</v>
      </c>
      <c r="K159" t="str">
        <f t="shared" si="6"/>
        <v>Office Supplies</v>
      </c>
      <c r="L159" t="str">
        <f t="shared" si="7"/>
        <v>May-2025</v>
      </c>
      <c r="M159" s="14">
        <f t="shared" si="8"/>
        <v>45778</v>
      </c>
    </row>
    <row r="160" spans="1:13" x14ac:dyDescent="0.35">
      <c r="A160" t="s">
        <v>270</v>
      </c>
      <c r="B160" s="2">
        <v>45747</v>
      </c>
      <c r="C160" t="s">
        <v>109</v>
      </c>
      <c r="D160" t="s">
        <v>12</v>
      </c>
      <c r="E160" t="s">
        <v>13</v>
      </c>
      <c r="F160" t="s">
        <v>50</v>
      </c>
      <c r="G160">
        <v>5</v>
      </c>
      <c r="H160">
        <v>0.15</v>
      </c>
      <c r="I160">
        <v>148.75</v>
      </c>
      <c r="J160">
        <v>36.520000000000003</v>
      </c>
      <c r="K160" t="str">
        <f t="shared" si="6"/>
        <v>Technology</v>
      </c>
      <c r="L160" t="str">
        <f t="shared" si="7"/>
        <v>Mar-2025</v>
      </c>
      <c r="M160" s="14">
        <f t="shared" si="8"/>
        <v>45717</v>
      </c>
    </row>
    <row r="161" spans="1:13" x14ac:dyDescent="0.35">
      <c r="A161" t="s">
        <v>271</v>
      </c>
      <c r="B161" s="2">
        <v>45956</v>
      </c>
      <c r="C161" t="s">
        <v>101</v>
      </c>
      <c r="D161" t="s">
        <v>28</v>
      </c>
      <c r="E161" t="s">
        <v>18</v>
      </c>
      <c r="F161" t="s">
        <v>25</v>
      </c>
      <c r="G161">
        <v>2</v>
      </c>
      <c r="H161">
        <v>0.15</v>
      </c>
      <c r="I161">
        <v>476</v>
      </c>
      <c r="J161">
        <v>114</v>
      </c>
      <c r="K161" t="str">
        <f t="shared" si="6"/>
        <v>Furniture</v>
      </c>
      <c r="L161" t="str">
        <f t="shared" si="7"/>
        <v>Oct-2025</v>
      </c>
      <c r="M161" s="14">
        <f t="shared" si="8"/>
        <v>45931</v>
      </c>
    </row>
    <row r="162" spans="1:13" x14ac:dyDescent="0.35">
      <c r="A162" t="s">
        <v>272</v>
      </c>
      <c r="B162" s="2">
        <v>45999</v>
      </c>
      <c r="C162" t="s">
        <v>273</v>
      </c>
      <c r="D162" t="s">
        <v>67</v>
      </c>
      <c r="E162" t="s">
        <v>13</v>
      </c>
      <c r="F162" t="s">
        <v>14</v>
      </c>
      <c r="G162">
        <v>4</v>
      </c>
      <c r="H162">
        <v>0.1</v>
      </c>
      <c r="I162">
        <v>4320</v>
      </c>
      <c r="J162">
        <v>978</v>
      </c>
      <c r="K162" t="str">
        <f t="shared" si="6"/>
        <v>Technology</v>
      </c>
      <c r="L162" t="str">
        <f t="shared" si="7"/>
        <v>Dec-2025</v>
      </c>
      <c r="M162" s="14">
        <f t="shared" si="8"/>
        <v>45992</v>
      </c>
    </row>
    <row r="163" spans="1:13" x14ac:dyDescent="0.35">
      <c r="A163" t="s">
        <v>274</v>
      </c>
      <c r="B163" s="2">
        <v>45884</v>
      </c>
      <c r="C163" t="s">
        <v>93</v>
      </c>
      <c r="D163" t="s">
        <v>49</v>
      </c>
      <c r="E163" t="s">
        <v>13</v>
      </c>
      <c r="F163" t="s">
        <v>25</v>
      </c>
      <c r="G163">
        <v>5</v>
      </c>
      <c r="H163">
        <v>0.1</v>
      </c>
      <c r="I163">
        <v>315</v>
      </c>
      <c r="J163">
        <v>75.33</v>
      </c>
      <c r="K163" t="str">
        <f t="shared" si="6"/>
        <v>Technology</v>
      </c>
      <c r="L163" t="str">
        <f t="shared" si="7"/>
        <v>Aug-2025</v>
      </c>
      <c r="M163" s="14">
        <f t="shared" si="8"/>
        <v>45870</v>
      </c>
    </row>
    <row r="164" spans="1:13" x14ac:dyDescent="0.35">
      <c r="A164" t="s">
        <v>275</v>
      </c>
      <c r="B164" s="2">
        <v>45891</v>
      </c>
      <c r="C164" t="s">
        <v>122</v>
      </c>
      <c r="D164" t="s">
        <v>35</v>
      </c>
      <c r="E164" t="s">
        <v>13</v>
      </c>
      <c r="F164" t="s">
        <v>22</v>
      </c>
      <c r="G164">
        <v>2</v>
      </c>
      <c r="H164">
        <v>0.15</v>
      </c>
      <c r="I164">
        <v>1445</v>
      </c>
      <c r="J164">
        <v>243.34</v>
      </c>
      <c r="K164" t="str">
        <f t="shared" si="6"/>
        <v>Technology</v>
      </c>
      <c r="L164" t="str">
        <f t="shared" si="7"/>
        <v>Aug-2025</v>
      </c>
      <c r="M164" s="14">
        <f t="shared" si="8"/>
        <v>45870</v>
      </c>
    </row>
    <row r="165" spans="1:13" x14ac:dyDescent="0.35">
      <c r="A165" t="s">
        <v>276</v>
      </c>
      <c r="B165" s="2">
        <v>45853</v>
      </c>
      <c r="C165" t="s">
        <v>135</v>
      </c>
      <c r="D165" t="s">
        <v>83</v>
      </c>
      <c r="E165" t="s">
        <v>46</v>
      </c>
      <c r="F165" t="s">
        <v>25</v>
      </c>
      <c r="G165">
        <v>3</v>
      </c>
      <c r="H165">
        <v>0.2</v>
      </c>
      <c r="I165">
        <v>60</v>
      </c>
      <c r="J165">
        <v>21.14</v>
      </c>
      <c r="K165" t="str">
        <f t="shared" si="6"/>
        <v>Office Supplies</v>
      </c>
      <c r="L165" t="str">
        <f t="shared" si="7"/>
        <v>Jul-2025</v>
      </c>
      <c r="M165" s="14">
        <f t="shared" si="8"/>
        <v>45839</v>
      </c>
    </row>
    <row r="166" spans="1:13" x14ac:dyDescent="0.35">
      <c r="A166" t="s">
        <v>277</v>
      </c>
      <c r="B166" s="2">
        <v>45669</v>
      </c>
      <c r="C166" t="s">
        <v>278</v>
      </c>
      <c r="D166" t="s">
        <v>38</v>
      </c>
      <c r="E166" t="s">
        <v>13</v>
      </c>
      <c r="F166" t="s">
        <v>14</v>
      </c>
      <c r="G166">
        <v>4</v>
      </c>
      <c r="H166">
        <v>0.1</v>
      </c>
      <c r="I166">
        <v>1152</v>
      </c>
      <c r="J166">
        <v>515.32000000000005</v>
      </c>
      <c r="K166" t="str">
        <f t="shared" si="6"/>
        <v>Technology</v>
      </c>
      <c r="L166" t="str">
        <f t="shared" si="7"/>
        <v>Jan-2025</v>
      </c>
      <c r="M166" s="14">
        <f t="shared" si="8"/>
        <v>45658</v>
      </c>
    </row>
    <row r="167" spans="1:13" x14ac:dyDescent="0.35">
      <c r="A167" t="s">
        <v>279</v>
      </c>
      <c r="B167" s="2">
        <v>45968</v>
      </c>
      <c r="C167" t="s">
        <v>37</v>
      </c>
      <c r="D167" t="s">
        <v>17</v>
      </c>
      <c r="E167" t="s">
        <v>18</v>
      </c>
      <c r="F167" t="s">
        <v>25</v>
      </c>
      <c r="G167">
        <v>4</v>
      </c>
      <c r="H167">
        <v>0.1</v>
      </c>
      <c r="I167">
        <v>756</v>
      </c>
      <c r="J167">
        <v>146.66999999999999</v>
      </c>
      <c r="K167" t="str">
        <f t="shared" si="6"/>
        <v>Furniture</v>
      </c>
      <c r="L167" t="str">
        <f t="shared" si="7"/>
        <v>Nov-2025</v>
      </c>
      <c r="M167" s="14">
        <f t="shared" si="8"/>
        <v>45962</v>
      </c>
    </row>
    <row r="168" spans="1:13" x14ac:dyDescent="0.35">
      <c r="A168" t="s">
        <v>280</v>
      </c>
      <c r="B168" s="2">
        <v>45770</v>
      </c>
      <c r="C168" t="s">
        <v>57</v>
      </c>
      <c r="D168" t="s">
        <v>38</v>
      </c>
      <c r="E168" t="s">
        <v>13</v>
      </c>
      <c r="F168" t="s">
        <v>22</v>
      </c>
      <c r="G168">
        <v>2</v>
      </c>
      <c r="H168">
        <v>0.2</v>
      </c>
      <c r="I168">
        <v>512</v>
      </c>
      <c r="J168">
        <v>188.05</v>
      </c>
      <c r="K168" t="str">
        <f t="shared" si="6"/>
        <v>Technology</v>
      </c>
      <c r="L168" t="str">
        <f t="shared" si="7"/>
        <v>Apr-2025</v>
      </c>
      <c r="M168" s="14">
        <f t="shared" si="8"/>
        <v>45748</v>
      </c>
    </row>
    <row r="169" spans="1:13" x14ac:dyDescent="0.35">
      <c r="A169" t="s">
        <v>281</v>
      </c>
      <c r="B169" s="2">
        <v>45979</v>
      </c>
      <c r="C169" t="s">
        <v>16</v>
      </c>
      <c r="D169" t="s">
        <v>12</v>
      </c>
      <c r="E169" t="s">
        <v>13</v>
      </c>
      <c r="F169" t="s">
        <v>25</v>
      </c>
      <c r="G169">
        <v>1</v>
      </c>
      <c r="H169">
        <v>0.1</v>
      </c>
      <c r="I169">
        <v>31.5</v>
      </c>
      <c r="J169">
        <v>5.98</v>
      </c>
      <c r="K169" t="str">
        <f t="shared" si="6"/>
        <v>Technology</v>
      </c>
      <c r="L169" t="str">
        <f t="shared" si="7"/>
        <v>Nov-2025</v>
      </c>
      <c r="M169" s="14">
        <f t="shared" si="8"/>
        <v>45962</v>
      </c>
    </row>
    <row r="170" spans="1:13" x14ac:dyDescent="0.35">
      <c r="A170" t="s">
        <v>282</v>
      </c>
      <c r="B170" s="2">
        <v>45725</v>
      </c>
      <c r="C170" t="s">
        <v>238</v>
      </c>
      <c r="D170" t="s">
        <v>12</v>
      </c>
      <c r="E170" t="s">
        <v>13</v>
      </c>
      <c r="F170" t="s">
        <v>22</v>
      </c>
      <c r="G170">
        <v>3</v>
      </c>
      <c r="H170">
        <v>0.1</v>
      </c>
      <c r="I170">
        <v>94.5</v>
      </c>
      <c r="J170">
        <v>19.21</v>
      </c>
      <c r="K170" t="str">
        <f t="shared" si="6"/>
        <v>Technology</v>
      </c>
      <c r="L170" t="str">
        <f t="shared" si="7"/>
        <v>Mar-2025</v>
      </c>
      <c r="M170" s="14">
        <f t="shared" si="8"/>
        <v>45717</v>
      </c>
    </row>
    <row r="171" spans="1:13" x14ac:dyDescent="0.35">
      <c r="A171" t="s">
        <v>283</v>
      </c>
      <c r="B171" s="2">
        <v>45725</v>
      </c>
      <c r="C171" t="s">
        <v>231</v>
      </c>
      <c r="D171" t="s">
        <v>55</v>
      </c>
      <c r="E171" t="s">
        <v>46</v>
      </c>
      <c r="F171" t="s">
        <v>22</v>
      </c>
      <c r="G171">
        <v>3</v>
      </c>
      <c r="H171">
        <v>0.2</v>
      </c>
      <c r="I171">
        <v>576</v>
      </c>
      <c r="J171">
        <v>163.82</v>
      </c>
      <c r="K171" t="str">
        <f t="shared" si="6"/>
        <v>Office Supplies</v>
      </c>
      <c r="L171" t="str">
        <f t="shared" si="7"/>
        <v>Mar-2025</v>
      </c>
      <c r="M171" s="14">
        <f t="shared" si="8"/>
        <v>45717</v>
      </c>
    </row>
    <row r="172" spans="1:13" x14ac:dyDescent="0.35">
      <c r="A172" t="s">
        <v>284</v>
      </c>
      <c r="B172" s="2">
        <v>45789</v>
      </c>
      <c r="C172" t="s">
        <v>89</v>
      </c>
      <c r="D172" t="s">
        <v>45</v>
      </c>
      <c r="E172" t="s">
        <v>46</v>
      </c>
      <c r="F172" t="s">
        <v>14</v>
      </c>
      <c r="G172">
        <v>3</v>
      </c>
      <c r="H172">
        <v>0.1</v>
      </c>
      <c r="I172">
        <v>48.6</v>
      </c>
      <c r="J172">
        <v>8.9700000000000006</v>
      </c>
      <c r="K172" t="str">
        <f t="shared" si="6"/>
        <v>Office Supplies</v>
      </c>
      <c r="L172" t="str">
        <f t="shared" si="7"/>
        <v>May-2025</v>
      </c>
      <c r="M172" s="14">
        <f t="shared" si="8"/>
        <v>45778</v>
      </c>
    </row>
    <row r="173" spans="1:13" x14ac:dyDescent="0.35">
      <c r="A173" t="s">
        <v>285</v>
      </c>
      <c r="B173" s="2">
        <v>45730</v>
      </c>
      <c r="C173" t="s">
        <v>286</v>
      </c>
      <c r="D173" t="s">
        <v>21</v>
      </c>
      <c r="E173" t="s">
        <v>18</v>
      </c>
      <c r="F173" t="s">
        <v>14</v>
      </c>
      <c r="G173">
        <v>4</v>
      </c>
      <c r="H173">
        <v>0.2</v>
      </c>
      <c r="I173">
        <v>176</v>
      </c>
      <c r="J173">
        <v>57.96</v>
      </c>
      <c r="K173" t="str">
        <f t="shared" si="6"/>
        <v>Furniture</v>
      </c>
      <c r="L173" t="str">
        <f t="shared" si="7"/>
        <v>Mar-2025</v>
      </c>
      <c r="M173" s="14">
        <f t="shared" si="8"/>
        <v>45717</v>
      </c>
    </row>
    <row r="174" spans="1:13" x14ac:dyDescent="0.35">
      <c r="A174" t="s">
        <v>287</v>
      </c>
      <c r="B174" s="2">
        <v>45793</v>
      </c>
      <c r="C174" t="s">
        <v>288</v>
      </c>
      <c r="D174" t="s">
        <v>55</v>
      </c>
      <c r="E174" t="s">
        <v>46</v>
      </c>
      <c r="F174" t="s">
        <v>25</v>
      </c>
      <c r="G174">
        <v>1</v>
      </c>
      <c r="H174">
        <v>0.15</v>
      </c>
      <c r="I174">
        <v>204</v>
      </c>
      <c r="J174">
        <v>66.989999999999995</v>
      </c>
      <c r="K174" t="str">
        <f t="shared" si="6"/>
        <v>Office Supplies</v>
      </c>
      <c r="L174" t="str">
        <f t="shared" si="7"/>
        <v>May-2025</v>
      </c>
      <c r="M174" s="14">
        <f t="shared" si="8"/>
        <v>45778</v>
      </c>
    </row>
    <row r="175" spans="1:13" x14ac:dyDescent="0.35">
      <c r="A175" t="s">
        <v>289</v>
      </c>
      <c r="B175" s="2">
        <v>45957</v>
      </c>
      <c r="C175" t="s">
        <v>253</v>
      </c>
      <c r="D175" t="s">
        <v>99</v>
      </c>
      <c r="E175" t="s">
        <v>18</v>
      </c>
      <c r="F175" t="s">
        <v>14</v>
      </c>
      <c r="G175">
        <v>3</v>
      </c>
      <c r="H175">
        <v>0</v>
      </c>
      <c r="I175">
        <v>570</v>
      </c>
      <c r="J175">
        <v>129.56</v>
      </c>
      <c r="K175" t="str">
        <f t="shared" si="6"/>
        <v>Furniture</v>
      </c>
      <c r="L175" t="str">
        <f t="shared" si="7"/>
        <v>Oct-2025</v>
      </c>
      <c r="M175" s="14">
        <f t="shared" si="8"/>
        <v>45931</v>
      </c>
    </row>
    <row r="176" spans="1:13" x14ac:dyDescent="0.35">
      <c r="A176" t="s">
        <v>290</v>
      </c>
      <c r="B176" s="2">
        <v>45975</v>
      </c>
      <c r="C176" t="s">
        <v>80</v>
      </c>
      <c r="D176" t="s">
        <v>55</v>
      </c>
      <c r="E176" t="s">
        <v>46</v>
      </c>
      <c r="F176" t="s">
        <v>50</v>
      </c>
      <c r="G176">
        <v>3</v>
      </c>
      <c r="H176">
        <v>0.2</v>
      </c>
      <c r="I176">
        <v>576</v>
      </c>
      <c r="J176">
        <v>217.12</v>
      </c>
      <c r="K176" t="str">
        <f t="shared" si="6"/>
        <v>Office Supplies</v>
      </c>
      <c r="L176" t="str">
        <f t="shared" si="7"/>
        <v>Nov-2025</v>
      </c>
      <c r="M176" s="14">
        <f t="shared" si="8"/>
        <v>45962</v>
      </c>
    </row>
    <row r="177" spans="1:13" x14ac:dyDescent="0.35">
      <c r="A177" t="s">
        <v>291</v>
      </c>
      <c r="B177" s="2">
        <v>46016</v>
      </c>
      <c r="C177" t="s">
        <v>16</v>
      </c>
      <c r="D177" t="s">
        <v>35</v>
      </c>
      <c r="E177" t="s">
        <v>13</v>
      </c>
      <c r="F177" t="s">
        <v>25</v>
      </c>
      <c r="G177">
        <v>4</v>
      </c>
      <c r="H177">
        <v>0</v>
      </c>
      <c r="I177">
        <v>3400</v>
      </c>
      <c r="J177">
        <v>1373.17</v>
      </c>
      <c r="K177" t="str">
        <f t="shared" si="6"/>
        <v>Technology</v>
      </c>
      <c r="L177" t="str">
        <f t="shared" si="7"/>
        <v>Dec-2025</v>
      </c>
      <c r="M177" s="14">
        <f t="shared" si="8"/>
        <v>45992</v>
      </c>
    </row>
    <row r="178" spans="1:13" x14ac:dyDescent="0.35">
      <c r="A178" t="s">
        <v>292</v>
      </c>
      <c r="B178" s="2">
        <v>45910</v>
      </c>
      <c r="C178" t="s">
        <v>11</v>
      </c>
      <c r="D178" t="s">
        <v>12</v>
      </c>
      <c r="E178" t="s">
        <v>13</v>
      </c>
      <c r="F178" t="s">
        <v>50</v>
      </c>
      <c r="G178">
        <v>1</v>
      </c>
      <c r="H178">
        <v>0.05</v>
      </c>
      <c r="I178">
        <v>33.25</v>
      </c>
      <c r="J178">
        <v>5.23</v>
      </c>
      <c r="K178" t="str">
        <f t="shared" si="6"/>
        <v>Technology</v>
      </c>
      <c r="L178" t="str">
        <f t="shared" si="7"/>
        <v>Sept-2025</v>
      </c>
      <c r="M178" s="14">
        <f t="shared" si="8"/>
        <v>45901</v>
      </c>
    </row>
    <row r="179" spans="1:13" x14ac:dyDescent="0.35">
      <c r="A179" t="s">
        <v>293</v>
      </c>
      <c r="B179" s="2">
        <v>45890</v>
      </c>
      <c r="C179" t="s">
        <v>198</v>
      </c>
      <c r="D179" t="s">
        <v>49</v>
      </c>
      <c r="E179" t="s">
        <v>13</v>
      </c>
      <c r="F179" t="s">
        <v>22</v>
      </c>
      <c r="G179">
        <v>5</v>
      </c>
      <c r="H179">
        <v>0.15</v>
      </c>
      <c r="I179">
        <v>297.5</v>
      </c>
      <c r="J179">
        <v>76.209999999999994</v>
      </c>
      <c r="K179" t="str">
        <f t="shared" si="6"/>
        <v>Technology</v>
      </c>
      <c r="L179" t="str">
        <f t="shared" si="7"/>
        <v>Aug-2025</v>
      </c>
      <c r="M179" s="14">
        <f t="shared" si="8"/>
        <v>45870</v>
      </c>
    </row>
    <row r="180" spans="1:13" x14ac:dyDescent="0.35">
      <c r="A180" t="s">
        <v>294</v>
      </c>
      <c r="B180" s="2">
        <v>45870</v>
      </c>
      <c r="C180" t="s">
        <v>295</v>
      </c>
      <c r="D180" t="s">
        <v>38</v>
      </c>
      <c r="E180" t="s">
        <v>13</v>
      </c>
      <c r="F180" t="s">
        <v>14</v>
      </c>
      <c r="G180">
        <v>1</v>
      </c>
      <c r="H180">
        <v>0.15</v>
      </c>
      <c r="I180">
        <v>272</v>
      </c>
      <c r="J180">
        <v>67.14</v>
      </c>
      <c r="K180" t="str">
        <f t="shared" si="6"/>
        <v>Technology</v>
      </c>
      <c r="L180" t="str">
        <f t="shared" si="7"/>
        <v>Aug-2025</v>
      </c>
      <c r="M180" s="14">
        <f t="shared" si="8"/>
        <v>45870</v>
      </c>
    </row>
    <row r="181" spans="1:13" x14ac:dyDescent="0.35">
      <c r="A181" t="s">
        <v>296</v>
      </c>
      <c r="B181" s="2">
        <v>46011</v>
      </c>
      <c r="C181" t="s">
        <v>109</v>
      </c>
      <c r="D181" t="s">
        <v>49</v>
      </c>
      <c r="E181" t="s">
        <v>13</v>
      </c>
      <c r="F181" t="s">
        <v>25</v>
      </c>
      <c r="G181">
        <v>2</v>
      </c>
      <c r="H181">
        <v>0.15</v>
      </c>
      <c r="I181">
        <v>119</v>
      </c>
      <c r="J181">
        <v>36.090000000000003</v>
      </c>
      <c r="K181" t="str">
        <f t="shared" si="6"/>
        <v>Technology</v>
      </c>
      <c r="L181" t="str">
        <f t="shared" si="7"/>
        <v>Dec-2025</v>
      </c>
      <c r="M181" s="14">
        <f t="shared" si="8"/>
        <v>45992</v>
      </c>
    </row>
    <row r="182" spans="1:13" x14ac:dyDescent="0.35">
      <c r="A182" t="s">
        <v>297</v>
      </c>
      <c r="B182" s="2">
        <v>45708</v>
      </c>
      <c r="C182" t="s">
        <v>192</v>
      </c>
      <c r="D182" t="s">
        <v>38</v>
      </c>
      <c r="E182" t="s">
        <v>13</v>
      </c>
      <c r="F182" t="s">
        <v>25</v>
      </c>
      <c r="G182">
        <v>3</v>
      </c>
      <c r="H182">
        <v>0.2</v>
      </c>
      <c r="I182">
        <v>768</v>
      </c>
      <c r="J182">
        <v>117.07</v>
      </c>
      <c r="K182" t="str">
        <f t="shared" si="6"/>
        <v>Technology</v>
      </c>
      <c r="L182" t="str">
        <f t="shared" si="7"/>
        <v>Feb-2025</v>
      </c>
      <c r="M182" s="14">
        <f t="shared" si="8"/>
        <v>45689</v>
      </c>
    </row>
    <row r="183" spans="1:13" x14ac:dyDescent="0.35">
      <c r="A183" t="s">
        <v>298</v>
      </c>
      <c r="B183" s="2">
        <v>45689</v>
      </c>
      <c r="C183" t="s">
        <v>101</v>
      </c>
      <c r="D183" t="s">
        <v>99</v>
      </c>
      <c r="E183" t="s">
        <v>18</v>
      </c>
      <c r="F183" t="s">
        <v>14</v>
      </c>
      <c r="G183">
        <v>3</v>
      </c>
      <c r="H183">
        <v>0.05</v>
      </c>
      <c r="I183">
        <v>541.5</v>
      </c>
      <c r="J183">
        <v>70.66</v>
      </c>
      <c r="K183" t="str">
        <f t="shared" si="6"/>
        <v>Furniture</v>
      </c>
      <c r="L183" t="str">
        <f t="shared" si="7"/>
        <v>Feb-2025</v>
      </c>
      <c r="M183" s="14">
        <f t="shared" si="8"/>
        <v>45689</v>
      </c>
    </row>
    <row r="184" spans="1:13" x14ac:dyDescent="0.35">
      <c r="A184" t="s">
        <v>299</v>
      </c>
      <c r="B184" s="2">
        <v>45997</v>
      </c>
      <c r="C184" t="s">
        <v>241</v>
      </c>
      <c r="D184" t="s">
        <v>21</v>
      </c>
      <c r="E184" t="s">
        <v>18</v>
      </c>
      <c r="F184" t="s">
        <v>22</v>
      </c>
      <c r="G184">
        <v>5</v>
      </c>
      <c r="H184">
        <v>0</v>
      </c>
      <c r="I184">
        <v>275</v>
      </c>
      <c r="J184">
        <v>119.16</v>
      </c>
      <c r="K184" t="str">
        <f t="shared" si="6"/>
        <v>Furniture</v>
      </c>
      <c r="L184" t="str">
        <f t="shared" si="7"/>
        <v>Dec-2025</v>
      </c>
      <c r="M184" s="14">
        <f t="shared" si="8"/>
        <v>45992</v>
      </c>
    </row>
    <row r="185" spans="1:13" x14ac:dyDescent="0.35">
      <c r="A185" t="s">
        <v>300</v>
      </c>
      <c r="B185" s="2">
        <v>45722</v>
      </c>
      <c r="C185" t="s">
        <v>95</v>
      </c>
      <c r="D185" t="s">
        <v>83</v>
      </c>
      <c r="E185" t="s">
        <v>46</v>
      </c>
      <c r="F185" t="s">
        <v>22</v>
      </c>
      <c r="G185">
        <v>2</v>
      </c>
      <c r="H185">
        <v>0</v>
      </c>
      <c r="I185">
        <v>50</v>
      </c>
      <c r="J185">
        <v>8.81</v>
      </c>
      <c r="K185" t="str">
        <f t="shared" si="6"/>
        <v>Office Supplies</v>
      </c>
      <c r="L185" t="str">
        <f t="shared" si="7"/>
        <v>Mar-2025</v>
      </c>
      <c r="M185" s="14">
        <f t="shared" si="8"/>
        <v>45717</v>
      </c>
    </row>
    <row r="186" spans="1:13" x14ac:dyDescent="0.35">
      <c r="A186" t="s">
        <v>301</v>
      </c>
      <c r="B186" s="2">
        <v>45958</v>
      </c>
      <c r="C186" t="s">
        <v>202</v>
      </c>
      <c r="D186" t="s">
        <v>21</v>
      </c>
      <c r="E186" t="s">
        <v>18</v>
      </c>
      <c r="F186" t="s">
        <v>14</v>
      </c>
      <c r="G186">
        <v>2</v>
      </c>
      <c r="H186">
        <v>0.1</v>
      </c>
      <c r="I186">
        <v>99</v>
      </c>
      <c r="J186">
        <v>19.25</v>
      </c>
      <c r="K186" t="str">
        <f t="shared" si="6"/>
        <v>Furniture</v>
      </c>
      <c r="L186" t="str">
        <f t="shared" si="7"/>
        <v>Oct-2025</v>
      </c>
      <c r="M186" s="14">
        <f t="shared" si="8"/>
        <v>45931</v>
      </c>
    </row>
    <row r="187" spans="1:13" x14ac:dyDescent="0.35">
      <c r="A187" t="s">
        <v>302</v>
      </c>
      <c r="B187" s="2">
        <v>45799</v>
      </c>
      <c r="C187" t="s">
        <v>238</v>
      </c>
      <c r="D187" t="s">
        <v>28</v>
      </c>
      <c r="E187" t="s">
        <v>18</v>
      </c>
      <c r="F187" t="s">
        <v>14</v>
      </c>
      <c r="G187">
        <v>2</v>
      </c>
      <c r="H187">
        <v>0.2</v>
      </c>
      <c r="I187">
        <v>448</v>
      </c>
      <c r="J187">
        <v>164.54</v>
      </c>
      <c r="K187" t="str">
        <f t="shared" si="6"/>
        <v>Furniture</v>
      </c>
      <c r="L187" t="str">
        <f t="shared" si="7"/>
        <v>May-2025</v>
      </c>
      <c r="M187" s="14">
        <f t="shared" si="8"/>
        <v>45778</v>
      </c>
    </row>
    <row r="188" spans="1:13" x14ac:dyDescent="0.35">
      <c r="A188" t="s">
        <v>303</v>
      </c>
      <c r="B188" s="2">
        <v>45996</v>
      </c>
      <c r="C188" t="s">
        <v>109</v>
      </c>
      <c r="D188" t="s">
        <v>67</v>
      </c>
      <c r="E188" t="s">
        <v>13</v>
      </c>
      <c r="F188" t="s">
        <v>25</v>
      </c>
      <c r="G188">
        <v>2</v>
      </c>
      <c r="H188">
        <v>0</v>
      </c>
      <c r="I188">
        <v>2400</v>
      </c>
      <c r="J188">
        <v>796.27</v>
      </c>
      <c r="K188" t="str">
        <f t="shared" si="6"/>
        <v>Technology</v>
      </c>
      <c r="L188" t="str">
        <f t="shared" si="7"/>
        <v>Dec-2025</v>
      </c>
      <c r="M188" s="14">
        <f t="shared" si="8"/>
        <v>45992</v>
      </c>
    </row>
    <row r="189" spans="1:13" x14ac:dyDescent="0.35">
      <c r="A189" t="s">
        <v>304</v>
      </c>
      <c r="B189" s="2">
        <v>45666</v>
      </c>
      <c r="C189" t="s">
        <v>178</v>
      </c>
      <c r="D189" t="s">
        <v>28</v>
      </c>
      <c r="E189" t="s">
        <v>18</v>
      </c>
      <c r="F189" t="s">
        <v>14</v>
      </c>
      <c r="G189">
        <v>3</v>
      </c>
      <c r="H189">
        <v>0</v>
      </c>
      <c r="I189">
        <v>840</v>
      </c>
      <c r="J189">
        <v>342.86</v>
      </c>
      <c r="K189" t="str">
        <f t="shared" si="6"/>
        <v>Furniture</v>
      </c>
      <c r="L189" t="str">
        <f t="shared" si="7"/>
        <v>Jan-2025</v>
      </c>
      <c r="M189" s="14">
        <f t="shared" si="8"/>
        <v>45658</v>
      </c>
    </row>
    <row r="190" spans="1:13" x14ac:dyDescent="0.35">
      <c r="A190" t="s">
        <v>305</v>
      </c>
      <c r="B190" s="2">
        <v>45690</v>
      </c>
      <c r="C190" t="s">
        <v>122</v>
      </c>
      <c r="D190" t="s">
        <v>45</v>
      </c>
      <c r="E190" t="s">
        <v>46</v>
      </c>
      <c r="F190" t="s">
        <v>50</v>
      </c>
      <c r="G190">
        <v>4</v>
      </c>
      <c r="H190">
        <v>0.1</v>
      </c>
      <c r="I190">
        <v>64.8</v>
      </c>
      <c r="J190">
        <v>18.18</v>
      </c>
      <c r="K190" t="str">
        <f t="shared" si="6"/>
        <v>Office Supplies</v>
      </c>
      <c r="L190" t="str">
        <f t="shared" si="7"/>
        <v>Feb-2025</v>
      </c>
      <c r="M190" s="14">
        <f t="shared" si="8"/>
        <v>45689</v>
      </c>
    </row>
    <row r="191" spans="1:13" x14ac:dyDescent="0.35">
      <c r="A191" t="s">
        <v>306</v>
      </c>
      <c r="B191" s="2">
        <v>45915</v>
      </c>
      <c r="C191" t="s">
        <v>145</v>
      </c>
      <c r="D191" t="s">
        <v>21</v>
      </c>
      <c r="E191" t="s">
        <v>18</v>
      </c>
      <c r="F191" t="s">
        <v>25</v>
      </c>
      <c r="G191">
        <v>5</v>
      </c>
      <c r="H191">
        <v>0</v>
      </c>
      <c r="I191">
        <v>275</v>
      </c>
      <c r="J191">
        <v>57.75</v>
      </c>
      <c r="K191" t="str">
        <f t="shared" si="6"/>
        <v>Furniture</v>
      </c>
      <c r="L191" t="str">
        <f t="shared" si="7"/>
        <v>Sept-2025</v>
      </c>
      <c r="M191" s="14">
        <f t="shared" si="8"/>
        <v>45901</v>
      </c>
    </row>
    <row r="192" spans="1:13" x14ac:dyDescent="0.35">
      <c r="A192" t="s">
        <v>307</v>
      </c>
      <c r="B192" s="2">
        <v>45892</v>
      </c>
      <c r="C192" t="s">
        <v>98</v>
      </c>
      <c r="D192" t="s">
        <v>38</v>
      </c>
      <c r="E192" t="s">
        <v>13</v>
      </c>
      <c r="F192" t="s">
        <v>50</v>
      </c>
      <c r="G192">
        <v>1</v>
      </c>
      <c r="H192">
        <v>0</v>
      </c>
      <c r="I192">
        <v>320</v>
      </c>
      <c r="J192">
        <v>38.549999999999997</v>
      </c>
      <c r="K192" t="str">
        <f t="shared" si="6"/>
        <v>Technology</v>
      </c>
      <c r="L192" t="str">
        <f t="shared" si="7"/>
        <v>Aug-2025</v>
      </c>
      <c r="M192" s="14">
        <f t="shared" si="8"/>
        <v>45870</v>
      </c>
    </row>
    <row r="193" spans="1:13" x14ac:dyDescent="0.35">
      <c r="A193" t="s">
        <v>308</v>
      </c>
      <c r="B193" s="2">
        <v>46009</v>
      </c>
      <c r="C193" t="s">
        <v>167</v>
      </c>
      <c r="D193" t="s">
        <v>12</v>
      </c>
      <c r="E193" t="s">
        <v>13</v>
      </c>
      <c r="F193" t="s">
        <v>25</v>
      </c>
      <c r="G193">
        <v>4</v>
      </c>
      <c r="H193">
        <v>0.15</v>
      </c>
      <c r="I193">
        <v>119</v>
      </c>
      <c r="J193">
        <v>50.66</v>
      </c>
      <c r="K193" t="str">
        <f t="shared" si="6"/>
        <v>Technology</v>
      </c>
      <c r="L193" t="str">
        <f t="shared" si="7"/>
        <v>Dec-2025</v>
      </c>
      <c r="M193" s="14">
        <f t="shared" si="8"/>
        <v>45992</v>
      </c>
    </row>
    <row r="194" spans="1:13" x14ac:dyDescent="0.35">
      <c r="A194" t="s">
        <v>309</v>
      </c>
      <c r="B194" s="2">
        <v>45969</v>
      </c>
      <c r="C194" t="s">
        <v>44</v>
      </c>
      <c r="D194" t="s">
        <v>28</v>
      </c>
      <c r="E194" t="s">
        <v>18</v>
      </c>
      <c r="F194" t="s">
        <v>25</v>
      </c>
      <c r="G194">
        <v>1</v>
      </c>
      <c r="H194">
        <v>0.05</v>
      </c>
      <c r="I194">
        <v>266</v>
      </c>
      <c r="J194">
        <v>95.56</v>
      </c>
      <c r="K194" t="str">
        <f t="shared" ref="K194:K257" si="9">TRIM(E194)</f>
        <v>Furniture</v>
      </c>
      <c r="L194" t="str">
        <f t="shared" si="7"/>
        <v>Nov-2025</v>
      </c>
      <c r="M194" s="14">
        <f t="shared" si="8"/>
        <v>45962</v>
      </c>
    </row>
    <row r="195" spans="1:13" x14ac:dyDescent="0.35">
      <c r="A195" t="s">
        <v>310</v>
      </c>
      <c r="B195" s="2">
        <v>45853</v>
      </c>
      <c r="C195" t="s">
        <v>185</v>
      </c>
      <c r="D195" t="s">
        <v>83</v>
      </c>
      <c r="E195" t="s">
        <v>46</v>
      </c>
      <c r="F195" t="s">
        <v>50</v>
      </c>
      <c r="G195">
        <v>5</v>
      </c>
      <c r="H195">
        <v>0.1</v>
      </c>
      <c r="I195">
        <v>112.5</v>
      </c>
      <c r="J195">
        <v>33.78</v>
      </c>
      <c r="K195" t="str">
        <f t="shared" si="9"/>
        <v>Office Supplies</v>
      </c>
      <c r="L195" t="str">
        <f t="shared" ref="L195:L258" si="10">TEXT(B195,"mmm-yyyy")</f>
        <v>Jul-2025</v>
      </c>
      <c r="M195" s="14">
        <f t="shared" ref="M195:M258" si="11">DATE(YEAR(B195),MONTH(B195),1)</f>
        <v>45839</v>
      </c>
    </row>
    <row r="196" spans="1:13" x14ac:dyDescent="0.35">
      <c r="A196" t="s">
        <v>311</v>
      </c>
      <c r="B196" s="2">
        <v>45708</v>
      </c>
      <c r="C196" t="s">
        <v>27</v>
      </c>
      <c r="D196" t="s">
        <v>17</v>
      </c>
      <c r="E196" t="s">
        <v>18</v>
      </c>
      <c r="F196" t="s">
        <v>50</v>
      </c>
      <c r="G196">
        <v>1</v>
      </c>
      <c r="H196">
        <v>0.2</v>
      </c>
      <c r="I196">
        <v>168</v>
      </c>
      <c r="J196">
        <v>35.64</v>
      </c>
      <c r="K196" t="str">
        <f t="shared" si="9"/>
        <v>Furniture</v>
      </c>
      <c r="L196" t="str">
        <f t="shared" si="10"/>
        <v>Feb-2025</v>
      </c>
      <c r="M196" s="14">
        <f t="shared" si="11"/>
        <v>45689</v>
      </c>
    </row>
    <row r="197" spans="1:13" x14ac:dyDescent="0.35">
      <c r="A197" t="s">
        <v>312</v>
      </c>
      <c r="B197" s="2">
        <v>45889</v>
      </c>
      <c r="C197" t="s">
        <v>98</v>
      </c>
      <c r="D197" t="s">
        <v>21</v>
      </c>
      <c r="E197" t="s">
        <v>18</v>
      </c>
      <c r="F197" t="s">
        <v>50</v>
      </c>
      <c r="G197">
        <v>4</v>
      </c>
      <c r="H197">
        <v>0.1</v>
      </c>
      <c r="I197">
        <v>198</v>
      </c>
      <c r="J197">
        <v>35.04</v>
      </c>
      <c r="K197" t="str">
        <f t="shared" si="9"/>
        <v>Furniture</v>
      </c>
      <c r="L197" t="str">
        <f t="shared" si="10"/>
        <v>Aug-2025</v>
      </c>
      <c r="M197" s="14">
        <f t="shared" si="11"/>
        <v>45870</v>
      </c>
    </row>
    <row r="198" spans="1:13" x14ac:dyDescent="0.35">
      <c r="A198" t="s">
        <v>313</v>
      </c>
      <c r="B198" s="2">
        <v>45706</v>
      </c>
      <c r="C198" t="s">
        <v>69</v>
      </c>
      <c r="D198" t="s">
        <v>49</v>
      </c>
      <c r="E198" t="s">
        <v>13</v>
      </c>
      <c r="F198" t="s">
        <v>22</v>
      </c>
      <c r="G198">
        <v>4</v>
      </c>
      <c r="H198">
        <v>0.1</v>
      </c>
      <c r="I198">
        <v>252</v>
      </c>
      <c r="J198">
        <v>58.09</v>
      </c>
      <c r="K198" t="str">
        <f t="shared" si="9"/>
        <v>Technology</v>
      </c>
      <c r="L198" t="str">
        <f t="shared" si="10"/>
        <v>Feb-2025</v>
      </c>
      <c r="M198" s="14">
        <f t="shared" si="11"/>
        <v>45689</v>
      </c>
    </row>
    <row r="199" spans="1:13" x14ac:dyDescent="0.35">
      <c r="A199" t="s">
        <v>314</v>
      </c>
      <c r="B199" s="2">
        <v>46009</v>
      </c>
      <c r="C199" t="s">
        <v>315</v>
      </c>
      <c r="D199" t="s">
        <v>45</v>
      </c>
      <c r="E199" t="s">
        <v>46</v>
      </c>
      <c r="F199" t="s">
        <v>50</v>
      </c>
      <c r="G199">
        <v>1</v>
      </c>
      <c r="H199">
        <v>0</v>
      </c>
      <c r="I199">
        <v>18</v>
      </c>
      <c r="J199">
        <v>3.16</v>
      </c>
      <c r="K199" t="str">
        <f t="shared" si="9"/>
        <v>Office Supplies</v>
      </c>
      <c r="L199" t="str">
        <f t="shared" si="10"/>
        <v>Dec-2025</v>
      </c>
      <c r="M199" s="14">
        <f t="shared" si="11"/>
        <v>45992</v>
      </c>
    </row>
    <row r="200" spans="1:13" x14ac:dyDescent="0.35">
      <c r="A200" t="s">
        <v>316</v>
      </c>
      <c r="B200" s="2">
        <v>45707</v>
      </c>
      <c r="C200" t="s">
        <v>24</v>
      </c>
      <c r="D200" t="s">
        <v>17</v>
      </c>
      <c r="E200" t="s">
        <v>18</v>
      </c>
      <c r="F200" t="s">
        <v>25</v>
      </c>
      <c r="G200">
        <v>3</v>
      </c>
      <c r="H200">
        <v>0.05</v>
      </c>
      <c r="I200">
        <v>598.5</v>
      </c>
      <c r="J200">
        <v>159.44</v>
      </c>
      <c r="K200" t="str">
        <f t="shared" si="9"/>
        <v>Furniture</v>
      </c>
      <c r="L200" t="str">
        <f t="shared" si="10"/>
        <v>Feb-2025</v>
      </c>
      <c r="M200" s="14">
        <f t="shared" si="11"/>
        <v>45689</v>
      </c>
    </row>
    <row r="201" spans="1:13" x14ac:dyDescent="0.35">
      <c r="A201" t="s">
        <v>317</v>
      </c>
      <c r="B201" s="2">
        <v>46001</v>
      </c>
      <c r="C201" t="s">
        <v>57</v>
      </c>
      <c r="D201" t="s">
        <v>12</v>
      </c>
      <c r="E201" t="s">
        <v>13</v>
      </c>
      <c r="F201" t="s">
        <v>50</v>
      </c>
      <c r="G201">
        <v>4</v>
      </c>
      <c r="H201">
        <v>0.1</v>
      </c>
      <c r="I201">
        <v>126</v>
      </c>
      <c r="J201">
        <v>20.38</v>
      </c>
      <c r="K201" t="str">
        <f t="shared" si="9"/>
        <v>Technology</v>
      </c>
      <c r="L201" t="str">
        <f t="shared" si="10"/>
        <v>Dec-2025</v>
      </c>
      <c r="M201" s="14">
        <f t="shared" si="11"/>
        <v>45992</v>
      </c>
    </row>
    <row r="202" spans="1:13" x14ac:dyDescent="0.35">
      <c r="A202" t="s">
        <v>318</v>
      </c>
      <c r="B202" s="2">
        <v>45684</v>
      </c>
      <c r="C202" t="s">
        <v>219</v>
      </c>
      <c r="D202" t="s">
        <v>35</v>
      </c>
      <c r="E202" t="s">
        <v>13</v>
      </c>
      <c r="F202" t="s">
        <v>22</v>
      </c>
      <c r="G202">
        <v>5</v>
      </c>
      <c r="H202">
        <v>0.1</v>
      </c>
      <c r="I202">
        <v>3825</v>
      </c>
      <c r="J202">
        <v>1277.3800000000001</v>
      </c>
      <c r="K202" t="str">
        <f t="shared" si="9"/>
        <v>Technology</v>
      </c>
      <c r="L202" t="str">
        <f t="shared" si="10"/>
        <v>Jan-2025</v>
      </c>
      <c r="M202" s="14">
        <f t="shared" si="11"/>
        <v>45658</v>
      </c>
    </row>
    <row r="203" spans="1:13" x14ac:dyDescent="0.35">
      <c r="A203" t="s">
        <v>319</v>
      </c>
      <c r="B203" s="2">
        <v>45737</v>
      </c>
      <c r="C203" t="s">
        <v>30</v>
      </c>
      <c r="D203" t="s">
        <v>38</v>
      </c>
      <c r="E203" t="s">
        <v>13</v>
      </c>
      <c r="F203" t="s">
        <v>25</v>
      </c>
      <c r="G203">
        <v>4</v>
      </c>
      <c r="H203">
        <v>0.05</v>
      </c>
      <c r="I203">
        <v>1216</v>
      </c>
      <c r="J203">
        <v>207.21</v>
      </c>
      <c r="K203" t="str">
        <f t="shared" si="9"/>
        <v>Technology</v>
      </c>
      <c r="L203" t="str">
        <f t="shared" si="10"/>
        <v>Mar-2025</v>
      </c>
      <c r="M203" s="14">
        <f t="shared" si="11"/>
        <v>45717</v>
      </c>
    </row>
    <row r="204" spans="1:13" x14ac:dyDescent="0.35">
      <c r="A204" t="s">
        <v>320</v>
      </c>
      <c r="B204" s="2">
        <v>45716</v>
      </c>
      <c r="C204" t="s">
        <v>20</v>
      </c>
      <c r="D204" t="s">
        <v>35</v>
      </c>
      <c r="E204" t="s">
        <v>13</v>
      </c>
      <c r="F204" t="s">
        <v>14</v>
      </c>
      <c r="G204">
        <v>5</v>
      </c>
      <c r="H204">
        <v>0.05</v>
      </c>
      <c r="I204">
        <v>4037.5</v>
      </c>
      <c r="J204">
        <v>741.35</v>
      </c>
      <c r="K204" t="str">
        <f t="shared" si="9"/>
        <v>Technology</v>
      </c>
      <c r="L204" t="str">
        <f t="shared" si="10"/>
        <v>Feb-2025</v>
      </c>
      <c r="M204" s="14">
        <f t="shared" si="11"/>
        <v>45689</v>
      </c>
    </row>
    <row r="205" spans="1:13" x14ac:dyDescent="0.35">
      <c r="A205" t="s">
        <v>321</v>
      </c>
      <c r="B205" s="2">
        <v>45969</v>
      </c>
      <c r="C205" t="s">
        <v>135</v>
      </c>
      <c r="D205" t="s">
        <v>38</v>
      </c>
      <c r="E205" t="s">
        <v>13</v>
      </c>
      <c r="F205" t="s">
        <v>25</v>
      </c>
      <c r="G205">
        <v>3</v>
      </c>
      <c r="H205">
        <v>0</v>
      </c>
      <c r="I205">
        <v>960</v>
      </c>
      <c r="J205">
        <v>374.84</v>
      </c>
      <c r="K205" t="str">
        <f t="shared" si="9"/>
        <v>Technology</v>
      </c>
      <c r="L205" t="str">
        <f t="shared" si="10"/>
        <v>Nov-2025</v>
      </c>
      <c r="M205" s="14">
        <f t="shared" si="11"/>
        <v>45962</v>
      </c>
    </row>
    <row r="206" spans="1:13" x14ac:dyDescent="0.35">
      <c r="A206" t="s">
        <v>322</v>
      </c>
      <c r="B206" s="2">
        <v>45831</v>
      </c>
      <c r="C206" t="s">
        <v>73</v>
      </c>
      <c r="D206" t="s">
        <v>49</v>
      </c>
      <c r="E206" t="s">
        <v>13</v>
      </c>
      <c r="F206" t="s">
        <v>50</v>
      </c>
      <c r="G206">
        <v>1</v>
      </c>
      <c r="H206">
        <v>0.05</v>
      </c>
      <c r="I206">
        <v>66.5</v>
      </c>
      <c r="J206">
        <v>10.84</v>
      </c>
      <c r="K206" t="str">
        <f t="shared" si="9"/>
        <v>Technology</v>
      </c>
      <c r="L206" t="str">
        <f t="shared" si="10"/>
        <v>Jun-2025</v>
      </c>
      <c r="M206" s="14">
        <f t="shared" si="11"/>
        <v>45809</v>
      </c>
    </row>
    <row r="207" spans="1:13" x14ac:dyDescent="0.35">
      <c r="A207" t="s">
        <v>323</v>
      </c>
      <c r="B207" s="2">
        <v>45693</v>
      </c>
      <c r="C207" t="s">
        <v>27</v>
      </c>
      <c r="D207" t="s">
        <v>28</v>
      </c>
      <c r="E207" t="s">
        <v>18</v>
      </c>
      <c r="F207" t="s">
        <v>50</v>
      </c>
      <c r="G207">
        <v>1</v>
      </c>
      <c r="H207">
        <v>0</v>
      </c>
      <c r="I207">
        <v>280</v>
      </c>
      <c r="J207">
        <v>57.06</v>
      </c>
      <c r="K207" t="str">
        <f t="shared" si="9"/>
        <v>Furniture</v>
      </c>
      <c r="L207" t="str">
        <f t="shared" si="10"/>
        <v>Feb-2025</v>
      </c>
      <c r="M207" s="14">
        <f t="shared" si="11"/>
        <v>45689</v>
      </c>
    </row>
    <row r="208" spans="1:13" x14ac:dyDescent="0.35">
      <c r="A208" t="s">
        <v>324</v>
      </c>
      <c r="B208" s="2">
        <v>45872</v>
      </c>
      <c r="C208" t="s">
        <v>204</v>
      </c>
      <c r="D208" t="s">
        <v>45</v>
      </c>
      <c r="E208" t="s">
        <v>46</v>
      </c>
      <c r="F208" t="s">
        <v>25</v>
      </c>
      <c r="G208">
        <v>3</v>
      </c>
      <c r="H208">
        <v>0.05</v>
      </c>
      <c r="I208">
        <v>51.3</v>
      </c>
      <c r="J208">
        <v>16.82</v>
      </c>
      <c r="K208" t="str">
        <f t="shared" si="9"/>
        <v>Office Supplies</v>
      </c>
      <c r="L208" t="str">
        <f t="shared" si="10"/>
        <v>Aug-2025</v>
      </c>
      <c r="M208" s="14">
        <f t="shared" si="11"/>
        <v>45870</v>
      </c>
    </row>
    <row r="209" spans="1:13" x14ac:dyDescent="0.35">
      <c r="A209" t="s">
        <v>325</v>
      </c>
      <c r="B209" s="2">
        <v>45948</v>
      </c>
      <c r="C209" t="s">
        <v>57</v>
      </c>
      <c r="D209" t="s">
        <v>83</v>
      </c>
      <c r="E209" t="s">
        <v>46</v>
      </c>
      <c r="F209" t="s">
        <v>14</v>
      </c>
      <c r="G209">
        <v>1</v>
      </c>
      <c r="H209">
        <v>0</v>
      </c>
      <c r="I209">
        <v>25</v>
      </c>
      <c r="J209">
        <v>9.9700000000000006</v>
      </c>
      <c r="K209" t="str">
        <f t="shared" si="9"/>
        <v>Office Supplies</v>
      </c>
      <c r="L209" t="str">
        <f t="shared" si="10"/>
        <v>Oct-2025</v>
      </c>
      <c r="M209" s="14">
        <f t="shared" si="11"/>
        <v>45931</v>
      </c>
    </row>
    <row r="210" spans="1:13" x14ac:dyDescent="0.35">
      <c r="A210" t="s">
        <v>326</v>
      </c>
      <c r="B210" s="2">
        <v>46003</v>
      </c>
      <c r="C210" t="s">
        <v>206</v>
      </c>
      <c r="D210" t="s">
        <v>12</v>
      </c>
      <c r="E210" t="s">
        <v>13</v>
      </c>
      <c r="F210" t="s">
        <v>50</v>
      </c>
      <c r="G210">
        <v>3</v>
      </c>
      <c r="H210">
        <v>0.15</v>
      </c>
      <c r="I210">
        <v>89.25</v>
      </c>
      <c r="J210">
        <v>20.67</v>
      </c>
      <c r="K210" t="str">
        <f t="shared" si="9"/>
        <v>Technology</v>
      </c>
      <c r="L210" t="str">
        <f t="shared" si="10"/>
        <v>Dec-2025</v>
      </c>
      <c r="M210" s="14">
        <f t="shared" si="11"/>
        <v>45992</v>
      </c>
    </row>
    <row r="211" spans="1:13" x14ac:dyDescent="0.35">
      <c r="A211" t="s">
        <v>327</v>
      </c>
      <c r="B211" s="2">
        <v>45870</v>
      </c>
      <c r="C211" t="s">
        <v>64</v>
      </c>
      <c r="D211" t="s">
        <v>35</v>
      </c>
      <c r="E211" t="s">
        <v>13</v>
      </c>
      <c r="F211" t="s">
        <v>14</v>
      </c>
      <c r="G211">
        <v>2</v>
      </c>
      <c r="H211">
        <v>0.2</v>
      </c>
      <c r="I211">
        <v>1360</v>
      </c>
      <c r="J211">
        <v>560.91999999999996</v>
      </c>
      <c r="K211" t="str">
        <f t="shared" si="9"/>
        <v>Technology</v>
      </c>
      <c r="L211" t="str">
        <f t="shared" si="10"/>
        <v>Aug-2025</v>
      </c>
      <c r="M211" s="14">
        <f t="shared" si="11"/>
        <v>45870</v>
      </c>
    </row>
    <row r="212" spans="1:13" x14ac:dyDescent="0.35">
      <c r="A212" t="s">
        <v>328</v>
      </c>
      <c r="B212" s="2">
        <v>45803</v>
      </c>
      <c r="C212" t="s">
        <v>187</v>
      </c>
      <c r="D212" t="s">
        <v>38</v>
      </c>
      <c r="E212" t="s">
        <v>13</v>
      </c>
      <c r="F212" t="s">
        <v>14</v>
      </c>
      <c r="G212">
        <v>5</v>
      </c>
      <c r="H212">
        <v>0.15</v>
      </c>
      <c r="I212">
        <v>1360</v>
      </c>
      <c r="J212">
        <v>375.51</v>
      </c>
      <c r="K212" t="str">
        <f t="shared" si="9"/>
        <v>Technology</v>
      </c>
      <c r="L212" t="str">
        <f t="shared" si="10"/>
        <v>May-2025</v>
      </c>
      <c r="M212" s="14">
        <f t="shared" si="11"/>
        <v>45778</v>
      </c>
    </row>
    <row r="213" spans="1:13" x14ac:dyDescent="0.35">
      <c r="A213" t="s">
        <v>329</v>
      </c>
      <c r="B213" s="2">
        <v>45770</v>
      </c>
      <c r="C213" t="s">
        <v>215</v>
      </c>
      <c r="D213" t="s">
        <v>99</v>
      </c>
      <c r="E213" t="s">
        <v>18</v>
      </c>
      <c r="F213" t="s">
        <v>22</v>
      </c>
      <c r="G213">
        <v>5</v>
      </c>
      <c r="H213">
        <v>0</v>
      </c>
      <c r="I213">
        <v>950</v>
      </c>
      <c r="J213">
        <v>425.09</v>
      </c>
      <c r="K213" t="str">
        <f t="shared" si="9"/>
        <v>Furniture</v>
      </c>
      <c r="L213" t="str">
        <f t="shared" si="10"/>
        <v>Apr-2025</v>
      </c>
      <c r="M213" s="14">
        <f t="shared" si="11"/>
        <v>45748</v>
      </c>
    </row>
    <row r="214" spans="1:13" x14ac:dyDescent="0.35">
      <c r="A214" t="s">
        <v>330</v>
      </c>
      <c r="B214" s="2">
        <v>45728</v>
      </c>
      <c r="C214" t="s">
        <v>243</v>
      </c>
      <c r="D214" t="s">
        <v>35</v>
      </c>
      <c r="E214" t="s">
        <v>13</v>
      </c>
      <c r="F214" t="s">
        <v>50</v>
      </c>
      <c r="G214">
        <v>3</v>
      </c>
      <c r="H214">
        <v>0.1</v>
      </c>
      <c r="I214">
        <v>2295</v>
      </c>
      <c r="J214">
        <v>941.88</v>
      </c>
      <c r="K214" t="str">
        <f t="shared" si="9"/>
        <v>Technology</v>
      </c>
      <c r="L214" t="str">
        <f t="shared" si="10"/>
        <v>Mar-2025</v>
      </c>
      <c r="M214" s="14">
        <f t="shared" si="11"/>
        <v>45717</v>
      </c>
    </row>
    <row r="215" spans="1:13" x14ac:dyDescent="0.35">
      <c r="A215" t="s">
        <v>331</v>
      </c>
      <c r="B215" s="2">
        <v>45747</v>
      </c>
      <c r="C215" t="s">
        <v>66</v>
      </c>
      <c r="D215" t="s">
        <v>28</v>
      </c>
      <c r="E215" t="s">
        <v>18</v>
      </c>
      <c r="F215" t="s">
        <v>25</v>
      </c>
      <c r="G215">
        <v>4</v>
      </c>
      <c r="H215">
        <v>0.2</v>
      </c>
      <c r="I215">
        <v>896</v>
      </c>
      <c r="J215">
        <v>195.14</v>
      </c>
      <c r="K215" t="str">
        <f t="shared" si="9"/>
        <v>Furniture</v>
      </c>
      <c r="L215" t="str">
        <f t="shared" si="10"/>
        <v>Mar-2025</v>
      </c>
      <c r="M215" s="14">
        <f t="shared" si="11"/>
        <v>45717</v>
      </c>
    </row>
    <row r="216" spans="1:13" x14ac:dyDescent="0.35">
      <c r="A216" t="s">
        <v>332</v>
      </c>
      <c r="B216" s="2">
        <v>45694</v>
      </c>
      <c r="C216" t="s">
        <v>128</v>
      </c>
      <c r="D216" t="s">
        <v>99</v>
      </c>
      <c r="E216" t="s">
        <v>18</v>
      </c>
      <c r="F216" t="s">
        <v>25</v>
      </c>
      <c r="G216">
        <v>1</v>
      </c>
      <c r="H216">
        <v>0.15</v>
      </c>
      <c r="I216">
        <v>161.5</v>
      </c>
      <c r="J216">
        <v>71.680000000000007</v>
      </c>
      <c r="K216" t="str">
        <f t="shared" si="9"/>
        <v>Furniture</v>
      </c>
      <c r="L216" t="str">
        <f t="shared" si="10"/>
        <v>Feb-2025</v>
      </c>
      <c r="M216" s="14">
        <f t="shared" si="11"/>
        <v>45689</v>
      </c>
    </row>
    <row r="217" spans="1:13" x14ac:dyDescent="0.35">
      <c r="A217" t="s">
        <v>333</v>
      </c>
      <c r="B217" s="2">
        <v>45952</v>
      </c>
      <c r="C217" t="s">
        <v>178</v>
      </c>
      <c r="D217" t="s">
        <v>99</v>
      </c>
      <c r="E217" t="s">
        <v>18</v>
      </c>
      <c r="F217" t="s">
        <v>25</v>
      </c>
      <c r="G217">
        <v>5</v>
      </c>
      <c r="H217">
        <v>0.15</v>
      </c>
      <c r="I217">
        <v>807.5</v>
      </c>
      <c r="J217">
        <v>174.31</v>
      </c>
      <c r="K217" t="str">
        <f t="shared" si="9"/>
        <v>Furniture</v>
      </c>
      <c r="L217" t="str">
        <f t="shared" si="10"/>
        <v>Oct-2025</v>
      </c>
      <c r="M217" s="14">
        <f t="shared" si="11"/>
        <v>45931</v>
      </c>
    </row>
    <row r="218" spans="1:13" x14ac:dyDescent="0.35">
      <c r="A218" t="s">
        <v>334</v>
      </c>
      <c r="B218" s="2">
        <v>45716</v>
      </c>
      <c r="C218" t="s">
        <v>111</v>
      </c>
      <c r="D218" t="s">
        <v>99</v>
      </c>
      <c r="E218" t="s">
        <v>18</v>
      </c>
      <c r="F218" t="s">
        <v>50</v>
      </c>
      <c r="G218">
        <v>1</v>
      </c>
      <c r="H218">
        <v>0.1</v>
      </c>
      <c r="I218">
        <v>171</v>
      </c>
      <c r="J218">
        <v>67.25</v>
      </c>
      <c r="K218" t="str">
        <f t="shared" si="9"/>
        <v>Furniture</v>
      </c>
      <c r="L218" t="str">
        <f t="shared" si="10"/>
        <v>Feb-2025</v>
      </c>
      <c r="M218" s="14">
        <f t="shared" si="11"/>
        <v>45689</v>
      </c>
    </row>
    <row r="219" spans="1:13" x14ac:dyDescent="0.35">
      <c r="A219" t="s">
        <v>335</v>
      </c>
      <c r="B219" s="2">
        <v>46011</v>
      </c>
      <c r="C219" t="s">
        <v>163</v>
      </c>
      <c r="D219" t="s">
        <v>49</v>
      </c>
      <c r="E219" t="s">
        <v>13</v>
      </c>
      <c r="F219" t="s">
        <v>50</v>
      </c>
      <c r="G219">
        <v>1</v>
      </c>
      <c r="H219">
        <v>0.15</v>
      </c>
      <c r="I219">
        <v>59.5</v>
      </c>
      <c r="J219">
        <v>10.19</v>
      </c>
      <c r="K219" t="str">
        <f t="shared" si="9"/>
        <v>Technology</v>
      </c>
      <c r="L219" t="str">
        <f t="shared" si="10"/>
        <v>Dec-2025</v>
      </c>
      <c r="M219" s="14">
        <f t="shared" si="11"/>
        <v>45992</v>
      </c>
    </row>
    <row r="220" spans="1:13" x14ac:dyDescent="0.35">
      <c r="A220" t="s">
        <v>336</v>
      </c>
      <c r="B220" s="2">
        <v>45959</v>
      </c>
      <c r="C220" t="s">
        <v>187</v>
      </c>
      <c r="D220" t="s">
        <v>99</v>
      </c>
      <c r="E220" t="s">
        <v>18</v>
      </c>
      <c r="F220" t="s">
        <v>25</v>
      </c>
      <c r="G220">
        <v>5</v>
      </c>
      <c r="H220">
        <v>0</v>
      </c>
      <c r="I220">
        <v>950</v>
      </c>
      <c r="J220">
        <v>303.43</v>
      </c>
      <c r="K220" t="str">
        <f t="shared" si="9"/>
        <v>Furniture</v>
      </c>
      <c r="L220" t="str">
        <f t="shared" si="10"/>
        <v>Oct-2025</v>
      </c>
      <c r="M220" s="14">
        <f t="shared" si="11"/>
        <v>45931</v>
      </c>
    </row>
    <row r="221" spans="1:13" x14ac:dyDescent="0.35">
      <c r="A221" t="s">
        <v>337</v>
      </c>
      <c r="B221" s="2">
        <v>45771</v>
      </c>
      <c r="C221" t="s">
        <v>183</v>
      </c>
      <c r="D221" t="s">
        <v>49</v>
      </c>
      <c r="E221" t="s">
        <v>13</v>
      </c>
      <c r="F221" t="s">
        <v>22</v>
      </c>
      <c r="G221">
        <v>2</v>
      </c>
      <c r="H221">
        <v>0</v>
      </c>
      <c r="I221">
        <v>140</v>
      </c>
      <c r="J221">
        <v>39.42</v>
      </c>
      <c r="K221" t="str">
        <f t="shared" si="9"/>
        <v>Technology</v>
      </c>
      <c r="L221" t="str">
        <f t="shared" si="10"/>
        <v>Apr-2025</v>
      </c>
      <c r="M221" s="14">
        <f t="shared" si="11"/>
        <v>45748</v>
      </c>
    </row>
    <row r="222" spans="1:13" x14ac:dyDescent="0.35">
      <c r="A222" t="s">
        <v>338</v>
      </c>
      <c r="B222" s="2">
        <v>45836</v>
      </c>
      <c r="C222" t="s">
        <v>210</v>
      </c>
      <c r="D222" t="s">
        <v>49</v>
      </c>
      <c r="E222" t="s">
        <v>13</v>
      </c>
      <c r="F222" t="s">
        <v>22</v>
      </c>
      <c r="G222">
        <v>2</v>
      </c>
      <c r="H222">
        <v>0.05</v>
      </c>
      <c r="I222">
        <v>133</v>
      </c>
      <c r="J222">
        <v>55.34</v>
      </c>
      <c r="K222" t="str">
        <f t="shared" si="9"/>
        <v>Technology</v>
      </c>
      <c r="L222" t="str">
        <f t="shared" si="10"/>
        <v>Jun-2025</v>
      </c>
      <c r="M222" s="14">
        <f t="shared" si="11"/>
        <v>45809</v>
      </c>
    </row>
    <row r="223" spans="1:13" x14ac:dyDescent="0.35">
      <c r="A223" t="s">
        <v>339</v>
      </c>
      <c r="B223" s="2">
        <v>45746</v>
      </c>
      <c r="C223" t="s">
        <v>158</v>
      </c>
      <c r="D223" t="s">
        <v>83</v>
      </c>
      <c r="E223" t="s">
        <v>46</v>
      </c>
      <c r="F223" t="s">
        <v>50</v>
      </c>
      <c r="G223">
        <v>2</v>
      </c>
      <c r="H223">
        <v>0</v>
      </c>
      <c r="I223">
        <v>50</v>
      </c>
      <c r="J223">
        <v>19.579999999999998</v>
      </c>
      <c r="K223" t="str">
        <f t="shared" si="9"/>
        <v>Office Supplies</v>
      </c>
      <c r="L223" t="str">
        <f t="shared" si="10"/>
        <v>Mar-2025</v>
      </c>
      <c r="M223" s="14">
        <f t="shared" si="11"/>
        <v>45717</v>
      </c>
    </row>
    <row r="224" spans="1:13" x14ac:dyDescent="0.35">
      <c r="A224" t="s">
        <v>340</v>
      </c>
      <c r="B224" s="2">
        <v>45895</v>
      </c>
      <c r="C224" t="s">
        <v>73</v>
      </c>
      <c r="D224" t="s">
        <v>83</v>
      </c>
      <c r="E224" t="s">
        <v>46</v>
      </c>
      <c r="F224" t="s">
        <v>25</v>
      </c>
      <c r="G224">
        <v>5</v>
      </c>
      <c r="H224">
        <v>0.15</v>
      </c>
      <c r="I224">
        <v>106.25</v>
      </c>
      <c r="J224">
        <v>23.93</v>
      </c>
      <c r="K224" t="str">
        <f t="shared" si="9"/>
        <v>Office Supplies</v>
      </c>
      <c r="L224" t="str">
        <f t="shared" si="10"/>
        <v>Aug-2025</v>
      </c>
      <c r="M224" s="14">
        <f t="shared" si="11"/>
        <v>45870</v>
      </c>
    </row>
    <row r="225" spans="1:13" x14ac:dyDescent="0.35">
      <c r="A225" t="s">
        <v>341</v>
      </c>
      <c r="B225" s="2">
        <v>45979</v>
      </c>
      <c r="C225" t="s">
        <v>342</v>
      </c>
      <c r="D225" t="s">
        <v>49</v>
      </c>
      <c r="E225" t="s">
        <v>13</v>
      </c>
      <c r="F225" t="s">
        <v>25</v>
      </c>
      <c r="G225">
        <v>2</v>
      </c>
      <c r="H225">
        <v>0.15</v>
      </c>
      <c r="I225">
        <v>119</v>
      </c>
      <c r="J225">
        <v>50.87</v>
      </c>
      <c r="K225" t="str">
        <f t="shared" si="9"/>
        <v>Technology</v>
      </c>
      <c r="L225" t="str">
        <f t="shared" si="10"/>
        <v>Nov-2025</v>
      </c>
      <c r="M225" s="14">
        <f t="shared" si="11"/>
        <v>45962</v>
      </c>
    </row>
    <row r="226" spans="1:13" x14ac:dyDescent="0.35">
      <c r="A226" t="s">
        <v>343</v>
      </c>
      <c r="B226" s="2">
        <v>45798</v>
      </c>
      <c r="C226" t="s">
        <v>187</v>
      </c>
      <c r="D226" t="s">
        <v>83</v>
      </c>
      <c r="E226" t="s">
        <v>46</v>
      </c>
      <c r="F226" t="s">
        <v>50</v>
      </c>
      <c r="G226">
        <v>1</v>
      </c>
      <c r="H226">
        <v>0.1</v>
      </c>
      <c r="I226">
        <v>22.5</v>
      </c>
      <c r="J226">
        <v>6.36</v>
      </c>
      <c r="K226" t="str">
        <f t="shared" si="9"/>
        <v>Office Supplies</v>
      </c>
      <c r="L226" t="str">
        <f t="shared" si="10"/>
        <v>May-2025</v>
      </c>
      <c r="M226" s="14">
        <f t="shared" si="11"/>
        <v>45778</v>
      </c>
    </row>
    <row r="227" spans="1:13" x14ac:dyDescent="0.35">
      <c r="A227" t="s">
        <v>344</v>
      </c>
      <c r="B227" s="2">
        <v>45889</v>
      </c>
      <c r="C227" t="s">
        <v>128</v>
      </c>
      <c r="D227" t="s">
        <v>67</v>
      </c>
      <c r="E227" t="s">
        <v>13</v>
      </c>
      <c r="F227" t="s">
        <v>14</v>
      </c>
      <c r="G227">
        <v>1</v>
      </c>
      <c r="H227">
        <v>0.1</v>
      </c>
      <c r="I227">
        <v>1080</v>
      </c>
      <c r="J227">
        <v>189.58</v>
      </c>
      <c r="K227" t="str">
        <f t="shared" si="9"/>
        <v>Technology</v>
      </c>
      <c r="L227" t="str">
        <f t="shared" si="10"/>
        <v>Aug-2025</v>
      </c>
      <c r="M227" s="14">
        <f t="shared" si="11"/>
        <v>45870</v>
      </c>
    </row>
    <row r="228" spans="1:13" x14ac:dyDescent="0.35">
      <c r="A228" t="s">
        <v>345</v>
      </c>
      <c r="B228" s="2">
        <v>45972</v>
      </c>
      <c r="C228" t="s">
        <v>95</v>
      </c>
      <c r="D228" t="s">
        <v>83</v>
      </c>
      <c r="E228" t="s">
        <v>46</v>
      </c>
      <c r="F228" t="s">
        <v>14</v>
      </c>
      <c r="G228">
        <v>5</v>
      </c>
      <c r="H228">
        <v>0.15</v>
      </c>
      <c r="I228">
        <v>106.25</v>
      </c>
      <c r="J228">
        <v>31.59</v>
      </c>
      <c r="K228" t="str">
        <f t="shared" si="9"/>
        <v>Office Supplies</v>
      </c>
      <c r="L228" t="str">
        <f t="shared" si="10"/>
        <v>Nov-2025</v>
      </c>
      <c r="M228" s="14">
        <f t="shared" si="11"/>
        <v>45962</v>
      </c>
    </row>
    <row r="229" spans="1:13" x14ac:dyDescent="0.35">
      <c r="A229" t="s">
        <v>346</v>
      </c>
      <c r="B229" s="2">
        <v>45888</v>
      </c>
      <c r="C229" t="s">
        <v>66</v>
      </c>
      <c r="D229" t="s">
        <v>83</v>
      </c>
      <c r="E229" t="s">
        <v>46</v>
      </c>
      <c r="F229" t="s">
        <v>22</v>
      </c>
      <c r="G229">
        <v>2</v>
      </c>
      <c r="H229">
        <v>0.1</v>
      </c>
      <c r="I229">
        <v>45</v>
      </c>
      <c r="J229">
        <v>11.27</v>
      </c>
      <c r="K229" t="str">
        <f t="shared" si="9"/>
        <v>Office Supplies</v>
      </c>
      <c r="L229" t="str">
        <f t="shared" si="10"/>
        <v>Aug-2025</v>
      </c>
      <c r="M229" s="14">
        <f t="shared" si="11"/>
        <v>45870</v>
      </c>
    </row>
    <row r="230" spans="1:13" x14ac:dyDescent="0.35">
      <c r="A230" t="s">
        <v>347</v>
      </c>
      <c r="B230" s="2">
        <v>45689</v>
      </c>
      <c r="C230" t="s">
        <v>167</v>
      </c>
      <c r="D230" t="s">
        <v>45</v>
      </c>
      <c r="E230" t="s">
        <v>46</v>
      </c>
      <c r="F230" t="s">
        <v>22</v>
      </c>
      <c r="G230">
        <v>1</v>
      </c>
      <c r="H230">
        <v>0.1</v>
      </c>
      <c r="I230">
        <v>16.2</v>
      </c>
      <c r="J230">
        <v>2.04</v>
      </c>
      <c r="K230" t="str">
        <f t="shared" si="9"/>
        <v>Office Supplies</v>
      </c>
      <c r="L230" t="str">
        <f t="shared" si="10"/>
        <v>Feb-2025</v>
      </c>
      <c r="M230" s="14">
        <f t="shared" si="11"/>
        <v>45689</v>
      </c>
    </row>
    <row r="231" spans="1:13" x14ac:dyDescent="0.35">
      <c r="A231" t="s">
        <v>348</v>
      </c>
      <c r="B231" s="2">
        <v>45678</v>
      </c>
      <c r="C231" t="s">
        <v>349</v>
      </c>
      <c r="D231" t="s">
        <v>21</v>
      </c>
      <c r="E231" t="s">
        <v>18</v>
      </c>
      <c r="F231" t="s">
        <v>22</v>
      </c>
      <c r="G231">
        <v>4</v>
      </c>
      <c r="H231">
        <v>0.15</v>
      </c>
      <c r="I231">
        <v>187</v>
      </c>
      <c r="J231">
        <v>51.81</v>
      </c>
      <c r="K231" t="str">
        <f t="shared" si="9"/>
        <v>Furniture</v>
      </c>
      <c r="L231" t="str">
        <f t="shared" si="10"/>
        <v>Jan-2025</v>
      </c>
      <c r="M231" s="14">
        <f t="shared" si="11"/>
        <v>45658</v>
      </c>
    </row>
    <row r="232" spans="1:13" x14ac:dyDescent="0.35">
      <c r="A232" t="s">
        <v>350</v>
      </c>
      <c r="B232" s="2">
        <v>45844</v>
      </c>
      <c r="C232" t="s">
        <v>91</v>
      </c>
      <c r="D232" t="s">
        <v>49</v>
      </c>
      <c r="E232" t="s">
        <v>13</v>
      </c>
      <c r="F232" t="s">
        <v>14</v>
      </c>
      <c r="G232">
        <v>3</v>
      </c>
      <c r="H232">
        <v>0.15</v>
      </c>
      <c r="I232">
        <v>178.5</v>
      </c>
      <c r="J232">
        <v>56.25</v>
      </c>
      <c r="K232" t="str">
        <f t="shared" si="9"/>
        <v>Technology</v>
      </c>
      <c r="L232" t="str">
        <f t="shared" si="10"/>
        <v>Jul-2025</v>
      </c>
      <c r="M232" s="14">
        <f t="shared" si="11"/>
        <v>45839</v>
      </c>
    </row>
    <row r="233" spans="1:13" x14ac:dyDescent="0.35">
      <c r="A233" t="s">
        <v>351</v>
      </c>
      <c r="B233" s="2">
        <v>45981</v>
      </c>
      <c r="D233" t="s">
        <v>38</v>
      </c>
      <c r="E233" t="s">
        <v>13</v>
      </c>
      <c r="F233" t="s">
        <v>50</v>
      </c>
      <c r="G233">
        <v>3</v>
      </c>
      <c r="H233">
        <v>0</v>
      </c>
      <c r="I233">
        <v>960</v>
      </c>
      <c r="J233">
        <v>327.55</v>
      </c>
      <c r="K233" t="str">
        <f t="shared" si="9"/>
        <v>Technology</v>
      </c>
      <c r="L233" t="str">
        <f t="shared" si="10"/>
        <v>Nov-2025</v>
      </c>
      <c r="M233" s="14">
        <f t="shared" si="11"/>
        <v>45962</v>
      </c>
    </row>
    <row r="234" spans="1:13" x14ac:dyDescent="0.35">
      <c r="A234" t="s">
        <v>352</v>
      </c>
      <c r="B234" s="2">
        <v>45803</v>
      </c>
      <c r="C234" t="s">
        <v>54</v>
      </c>
      <c r="D234" t="s">
        <v>35</v>
      </c>
      <c r="E234" t="s">
        <v>13</v>
      </c>
      <c r="F234" t="s">
        <v>22</v>
      </c>
      <c r="G234">
        <v>5</v>
      </c>
      <c r="H234">
        <v>0.05</v>
      </c>
      <c r="I234">
        <v>4037.5</v>
      </c>
      <c r="J234">
        <v>1372.71</v>
      </c>
      <c r="K234" t="str">
        <f t="shared" si="9"/>
        <v>Technology</v>
      </c>
      <c r="L234" t="str">
        <f t="shared" si="10"/>
        <v>May-2025</v>
      </c>
      <c r="M234" s="14">
        <f t="shared" si="11"/>
        <v>45778</v>
      </c>
    </row>
    <row r="235" spans="1:13" x14ac:dyDescent="0.35">
      <c r="A235" t="s">
        <v>353</v>
      </c>
      <c r="B235" s="2">
        <v>45837</v>
      </c>
      <c r="C235" t="s">
        <v>167</v>
      </c>
      <c r="D235" t="s">
        <v>35</v>
      </c>
      <c r="E235" t="s">
        <v>13</v>
      </c>
      <c r="F235" t="s">
        <v>25</v>
      </c>
      <c r="G235">
        <v>4</v>
      </c>
      <c r="H235">
        <v>0.05</v>
      </c>
      <c r="I235">
        <v>3230</v>
      </c>
      <c r="J235">
        <v>819.25</v>
      </c>
      <c r="K235" t="str">
        <f t="shared" si="9"/>
        <v>Technology</v>
      </c>
      <c r="L235" t="str">
        <f t="shared" si="10"/>
        <v>Jun-2025</v>
      </c>
      <c r="M235" s="14">
        <f t="shared" si="11"/>
        <v>45809</v>
      </c>
    </row>
    <row r="236" spans="1:13" x14ac:dyDescent="0.35">
      <c r="A236" t="s">
        <v>354</v>
      </c>
      <c r="B236" s="2">
        <v>45944</v>
      </c>
      <c r="C236" t="s">
        <v>133</v>
      </c>
      <c r="D236" t="s">
        <v>99</v>
      </c>
      <c r="E236" t="s">
        <v>18</v>
      </c>
      <c r="F236" t="s">
        <v>14</v>
      </c>
      <c r="G236">
        <v>3</v>
      </c>
      <c r="H236">
        <v>0.05</v>
      </c>
      <c r="I236">
        <v>541.5</v>
      </c>
      <c r="J236">
        <v>123.93</v>
      </c>
      <c r="K236" t="str">
        <f t="shared" si="9"/>
        <v>Furniture</v>
      </c>
      <c r="L236" t="str">
        <f t="shared" si="10"/>
        <v>Oct-2025</v>
      </c>
      <c r="M236" s="14">
        <f t="shared" si="11"/>
        <v>45931</v>
      </c>
    </row>
    <row r="237" spans="1:13" x14ac:dyDescent="0.35">
      <c r="A237" t="s">
        <v>355</v>
      </c>
      <c r="B237" s="2">
        <v>45988</v>
      </c>
      <c r="C237" t="s">
        <v>194</v>
      </c>
      <c r="D237" t="s">
        <v>38</v>
      </c>
      <c r="E237" t="s">
        <v>13</v>
      </c>
      <c r="F237" t="s">
        <v>25</v>
      </c>
      <c r="G237">
        <v>4</v>
      </c>
      <c r="H237">
        <v>0.2</v>
      </c>
      <c r="I237">
        <v>1024</v>
      </c>
      <c r="J237">
        <v>338.53</v>
      </c>
      <c r="K237" t="str">
        <f t="shared" si="9"/>
        <v>Technology</v>
      </c>
      <c r="L237" t="str">
        <f t="shared" si="10"/>
        <v>Nov-2025</v>
      </c>
      <c r="M237" s="14">
        <f t="shared" si="11"/>
        <v>45962</v>
      </c>
    </row>
    <row r="238" spans="1:13" x14ac:dyDescent="0.35">
      <c r="A238" t="s">
        <v>356</v>
      </c>
      <c r="B238" s="2">
        <v>45750</v>
      </c>
      <c r="C238" t="s">
        <v>11</v>
      </c>
      <c r="D238" t="s">
        <v>21</v>
      </c>
      <c r="E238" t="s">
        <v>18</v>
      </c>
      <c r="F238" t="s">
        <v>22</v>
      </c>
      <c r="G238">
        <v>3</v>
      </c>
      <c r="H238">
        <v>0.15</v>
      </c>
      <c r="I238">
        <v>140.25</v>
      </c>
      <c r="J238">
        <v>54.23</v>
      </c>
      <c r="K238" t="str">
        <f t="shared" si="9"/>
        <v>Furniture</v>
      </c>
      <c r="L238" t="str">
        <f t="shared" si="10"/>
        <v>Apr-2025</v>
      </c>
      <c r="M238" s="14">
        <f t="shared" si="11"/>
        <v>45748</v>
      </c>
    </row>
    <row r="239" spans="1:13" x14ac:dyDescent="0.35">
      <c r="A239" t="s">
        <v>357</v>
      </c>
      <c r="B239" s="2">
        <v>45697</v>
      </c>
      <c r="C239" t="s">
        <v>133</v>
      </c>
      <c r="D239" t="s">
        <v>35</v>
      </c>
      <c r="E239" t="s">
        <v>13</v>
      </c>
      <c r="F239" t="s">
        <v>14</v>
      </c>
      <c r="G239">
        <v>1</v>
      </c>
      <c r="H239">
        <v>0.2</v>
      </c>
      <c r="I239">
        <v>680</v>
      </c>
      <c r="J239">
        <v>133.02000000000001</v>
      </c>
      <c r="K239" t="str">
        <f t="shared" si="9"/>
        <v>Technology</v>
      </c>
      <c r="L239" t="str">
        <f t="shared" si="10"/>
        <v>Feb-2025</v>
      </c>
      <c r="M239" s="14">
        <f t="shared" si="11"/>
        <v>45689</v>
      </c>
    </row>
    <row r="240" spans="1:13" x14ac:dyDescent="0.35">
      <c r="A240" t="s">
        <v>358</v>
      </c>
      <c r="B240" s="2">
        <v>45996</v>
      </c>
      <c r="C240" t="s">
        <v>251</v>
      </c>
      <c r="D240" t="s">
        <v>49</v>
      </c>
      <c r="E240" t="s">
        <v>13</v>
      </c>
      <c r="F240" t="s">
        <v>22</v>
      </c>
      <c r="G240">
        <v>5</v>
      </c>
      <c r="H240">
        <v>0.05</v>
      </c>
      <c r="I240">
        <v>332.5</v>
      </c>
      <c r="J240">
        <v>84.09</v>
      </c>
      <c r="K240" t="str">
        <f t="shared" si="9"/>
        <v>Technology</v>
      </c>
      <c r="L240" t="str">
        <f t="shared" si="10"/>
        <v>Dec-2025</v>
      </c>
      <c r="M240" s="14">
        <f t="shared" si="11"/>
        <v>45992</v>
      </c>
    </row>
    <row r="241" spans="1:13" x14ac:dyDescent="0.35">
      <c r="A241" t="s">
        <v>359</v>
      </c>
      <c r="B241" s="2">
        <v>45750</v>
      </c>
      <c r="C241" t="s">
        <v>360</v>
      </c>
      <c r="D241" t="s">
        <v>17</v>
      </c>
      <c r="E241" t="s">
        <v>18</v>
      </c>
      <c r="F241" t="s">
        <v>50</v>
      </c>
      <c r="G241">
        <v>5</v>
      </c>
      <c r="H241">
        <v>0.05</v>
      </c>
      <c r="I241">
        <v>997.5</v>
      </c>
      <c r="J241">
        <v>211.48</v>
      </c>
      <c r="K241" t="str">
        <f t="shared" si="9"/>
        <v>Furniture</v>
      </c>
      <c r="L241" t="str">
        <f t="shared" si="10"/>
        <v>Apr-2025</v>
      </c>
      <c r="M241" s="14">
        <f t="shared" si="11"/>
        <v>45748</v>
      </c>
    </row>
    <row r="242" spans="1:13" x14ac:dyDescent="0.35">
      <c r="A242" t="s">
        <v>361</v>
      </c>
      <c r="B242" s="2">
        <v>45844</v>
      </c>
      <c r="C242" t="s">
        <v>57</v>
      </c>
      <c r="D242" t="s">
        <v>38</v>
      </c>
      <c r="E242" t="s">
        <v>13</v>
      </c>
      <c r="F242" t="s">
        <v>50</v>
      </c>
      <c r="G242">
        <v>2</v>
      </c>
      <c r="H242">
        <v>0.15</v>
      </c>
      <c r="I242">
        <v>544</v>
      </c>
      <c r="J242">
        <v>135.19</v>
      </c>
      <c r="K242" t="str">
        <f t="shared" si="9"/>
        <v>Technology</v>
      </c>
      <c r="L242" t="str">
        <f t="shared" si="10"/>
        <v>Jul-2025</v>
      </c>
      <c r="M242" s="14">
        <f t="shared" si="11"/>
        <v>45839</v>
      </c>
    </row>
    <row r="243" spans="1:13" x14ac:dyDescent="0.35">
      <c r="A243" t="s">
        <v>362</v>
      </c>
      <c r="B243" s="2">
        <v>45777</v>
      </c>
      <c r="C243" t="s">
        <v>253</v>
      </c>
      <c r="D243" t="s">
        <v>55</v>
      </c>
      <c r="E243" t="s">
        <v>46</v>
      </c>
      <c r="F243" t="s">
        <v>22</v>
      </c>
      <c r="G243">
        <v>2</v>
      </c>
      <c r="H243">
        <v>0.1</v>
      </c>
      <c r="I243">
        <v>432</v>
      </c>
      <c r="J243">
        <v>56.74</v>
      </c>
      <c r="K243" t="str">
        <f t="shared" si="9"/>
        <v>Office Supplies</v>
      </c>
      <c r="L243" t="str">
        <f t="shared" si="10"/>
        <v>Apr-2025</v>
      </c>
      <c r="M243" s="14">
        <f t="shared" si="11"/>
        <v>45748</v>
      </c>
    </row>
    <row r="244" spans="1:13" x14ac:dyDescent="0.35">
      <c r="A244" t="s">
        <v>363</v>
      </c>
      <c r="B244" s="2">
        <v>45846</v>
      </c>
      <c r="C244" t="s">
        <v>364</v>
      </c>
      <c r="D244" t="s">
        <v>38</v>
      </c>
      <c r="E244" t="s">
        <v>13</v>
      </c>
      <c r="F244" t="s">
        <v>50</v>
      </c>
      <c r="G244">
        <v>5</v>
      </c>
      <c r="H244">
        <v>0.15</v>
      </c>
      <c r="I244">
        <v>1360</v>
      </c>
      <c r="J244">
        <v>404.8</v>
      </c>
      <c r="K244" t="str">
        <f t="shared" si="9"/>
        <v>Technology</v>
      </c>
      <c r="L244" t="str">
        <f t="shared" si="10"/>
        <v>Jul-2025</v>
      </c>
      <c r="M244" s="14">
        <f t="shared" si="11"/>
        <v>45839</v>
      </c>
    </row>
    <row r="245" spans="1:13" x14ac:dyDescent="0.35">
      <c r="A245" t="s">
        <v>365</v>
      </c>
      <c r="B245" s="2">
        <v>45915</v>
      </c>
      <c r="C245" t="s">
        <v>185</v>
      </c>
      <c r="D245" t="s">
        <v>55</v>
      </c>
      <c r="E245" t="s">
        <v>46</v>
      </c>
      <c r="F245" t="s">
        <v>22</v>
      </c>
      <c r="G245">
        <v>4</v>
      </c>
      <c r="H245">
        <v>0.05</v>
      </c>
      <c r="I245">
        <v>912</v>
      </c>
      <c r="J245">
        <v>164.55</v>
      </c>
      <c r="K245" t="str">
        <f t="shared" si="9"/>
        <v>Office Supplies</v>
      </c>
      <c r="L245" t="str">
        <f t="shared" si="10"/>
        <v>Sept-2025</v>
      </c>
      <c r="M245" s="14">
        <f t="shared" si="11"/>
        <v>45901</v>
      </c>
    </row>
    <row r="246" spans="1:13" x14ac:dyDescent="0.35">
      <c r="A246" t="s">
        <v>366</v>
      </c>
      <c r="B246" s="2">
        <v>45786</v>
      </c>
      <c r="C246" t="s">
        <v>122</v>
      </c>
      <c r="D246" t="s">
        <v>67</v>
      </c>
      <c r="E246" t="s">
        <v>13</v>
      </c>
      <c r="F246" t="s">
        <v>14</v>
      </c>
      <c r="G246">
        <v>4</v>
      </c>
      <c r="H246">
        <v>0.1</v>
      </c>
      <c r="I246">
        <v>4320</v>
      </c>
      <c r="J246">
        <v>1153.45</v>
      </c>
      <c r="K246" t="str">
        <f t="shared" si="9"/>
        <v>Technology</v>
      </c>
      <c r="L246" t="str">
        <f t="shared" si="10"/>
        <v>May-2025</v>
      </c>
      <c r="M246" s="14">
        <f t="shared" si="11"/>
        <v>45778</v>
      </c>
    </row>
    <row r="247" spans="1:13" x14ac:dyDescent="0.35">
      <c r="A247" t="s">
        <v>367</v>
      </c>
      <c r="B247" s="2">
        <v>45803</v>
      </c>
      <c r="C247" t="s">
        <v>107</v>
      </c>
      <c r="D247" t="s">
        <v>12</v>
      </c>
      <c r="E247" t="s">
        <v>13</v>
      </c>
      <c r="F247" t="s">
        <v>22</v>
      </c>
      <c r="G247">
        <v>2</v>
      </c>
      <c r="H247">
        <v>0.1</v>
      </c>
      <c r="I247">
        <v>63</v>
      </c>
      <c r="J247">
        <v>19.010000000000002</v>
      </c>
      <c r="K247" t="str">
        <f t="shared" si="9"/>
        <v>Technology</v>
      </c>
      <c r="L247" t="str">
        <f t="shared" si="10"/>
        <v>May-2025</v>
      </c>
      <c r="M247" s="14">
        <f t="shared" si="11"/>
        <v>45778</v>
      </c>
    </row>
    <row r="248" spans="1:13" x14ac:dyDescent="0.35">
      <c r="A248" t="s">
        <v>368</v>
      </c>
      <c r="B248" s="2">
        <v>45881</v>
      </c>
      <c r="C248" t="s">
        <v>369</v>
      </c>
      <c r="D248" t="s">
        <v>12</v>
      </c>
      <c r="E248" t="s">
        <v>13</v>
      </c>
      <c r="F248" t="s">
        <v>50</v>
      </c>
      <c r="G248">
        <v>2</v>
      </c>
      <c r="H248">
        <v>0.15</v>
      </c>
      <c r="I248">
        <v>59.5</v>
      </c>
      <c r="J248">
        <v>9.41</v>
      </c>
      <c r="K248" t="str">
        <f t="shared" si="9"/>
        <v>Technology</v>
      </c>
      <c r="L248" t="str">
        <f t="shared" si="10"/>
        <v>Aug-2025</v>
      </c>
      <c r="M248" s="14">
        <f t="shared" si="11"/>
        <v>45870</v>
      </c>
    </row>
    <row r="249" spans="1:13" x14ac:dyDescent="0.35">
      <c r="A249" t="s">
        <v>370</v>
      </c>
      <c r="B249" s="2">
        <v>45685</v>
      </c>
      <c r="C249" t="s">
        <v>167</v>
      </c>
      <c r="D249" t="s">
        <v>99</v>
      </c>
      <c r="E249" t="s">
        <v>18</v>
      </c>
      <c r="F249" t="s">
        <v>25</v>
      </c>
      <c r="G249">
        <v>5</v>
      </c>
      <c r="H249">
        <v>0.1</v>
      </c>
      <c r="I249">
        <v>855</v>
      </c>
      <c r="J249">
        <v>318.23</v>
      </c>
      <c r="K249" t="str">
        <f t="shared" si="9"/>
        <v>Furniture</v>
      </c>
      <c r="L249" t="str">
        <f t="shared" si="10"/>
        <v>Jan-2025</v>
      </c>
      <c r="M249" s="14">
        <f t="shared" si="11"/>
        <v>45658</v>
      </c>
    </row>
    <row r="250" spans="1:13" x14ac:dyDescent="0.35">
      <c r="A250" t="s">
        <v>371</v>
      </c>
      <c r="B250" s="2">
        <v>45772</v>
      </c>
      <c r="C250" t="s">
        <v>196</v>
      </c>
      <c r="D250" t="s">
        <v>67</v>
      </c>
      <c r="E250" t="s">
        <v>13</v>
      </c>
      <c r="F250" t="s">
        <v>25</v>
      </c>
      <c r="G250">
        <v>3</v>
      </c>
      <c r="H250">
        <v>0</v>
      </c>
      <c r="I250">
        <v>3600</v>
      </c>
      <c r="J250">
        <v>623.05999999999995</v>
      </c>
      <c r="K250" t="str">
        <f t="shared" si="9"/>
        <v>Technology</v>
      </c>
      <c r="L250" t="str">
        <f t="shared" si="10"/>
        <v>Apr-2025</v>
      </c>
      <c r="M250" s="14">
        <f t="shared" si="11"/>
        <v>45748</v>
      </c>
    </row>
    <row r="251" spans="1:13" x14ac:dyDescent="0.35">
      <c r="A251" t="s">
        <v>372</v>
      </c>
      <c r="B251" s="2">
        <v>45732</v>
      </c>
      <c r="C251" t="s">
        <v>253</v>
      </c>
      <c r="D251" t="s">
        <v>28</v>
      </c>
      <c r="E251" t="s">
        <v>18</v>
      </c>
      <c r="F251" t="s">
        <v>22</v>
      </c>
      <c r="G251">
        <v>1</v>
      </c>
      <c r="H251">
        <v>0.1</v>
      </c>
      <c r="I251">
        <v>252</v>
      </c>
      <c r="J251">
        <v>37.11</v>
      </c>
      <c r="K251" t="str">
        <f t="shared" si="9"/>
        <v>Furniture</v>
      </c>
      <c r="L251" t="str">
        <f t="shared" si="10"/>
        <v>Mar-2025</v>
      </c>
      <c r="M251" s="14">
        <f t="shared" si="11"/>
        <v>45717</v>
      </c>
    </row>
    <row r="252" spans="1:13" x14ac:dyDescent="0.35">
      <c r="A252" t="s">
        <v>373</v>
      </c>
      <c r="B252" s="2">
        <v>46019</v>
      </c>
      <c r="C252" t="s">
        <v>167</v>
      </c>
      <c r="D252" t="s">
        <v>45</v>
      </c>
      <c r="E252" t="s">
        <v>46</v>
      </c>
      <c r="F252" t="s">
        <v>14</v>
      </c>
      <c r="G252">
        <v>4</v>
      </c>
      <c r="H252">
        <v>0.2</v>
      </c>
      <c r="I252">
        <v>57.6</v>
      </c>
      <c r="J252">
        <v>25.82</v>
      </c>
      <c r="K252" t="str">
        <f t="shared" si="9"/>
        <v>Office Supplies</v>
      </c>
      <c r="L252" t="str">
        <f t="shared" si="10"/>
        <v>Dec-2025</v>
      </c>
      <c r="M252" s="14">
        <f t="shared" si="11"/>
        <v>45992</v>
      </c>
    </row>
    <row r="253" spans="1:13" x14ac:dyDescent="0.35">
      <c r="A253" t="s">
        <v>374</v>
      </c>
      <c r="B253" s="2">
        <v>45789</v>
      </c>
      <c r="C253" t="s">
        <v>185</v>
      </c>
      <c r="D253" t="s">
        <v>21</v>
      </c>
      <c r="E253" t="s">
        <v>18</v>
      </c>
      <c r="F253" t="s">
        <v>50</v>
      </c>
      <c r="G253">
        <v>2</v>
      </c>
      <c r="H253">
        <v>0.2</v>
      </c>
      <c r="I253">
        <v>88</v>
      </c>
      <c r="J253">
        <v>12.3</v>
      </c>
      <c r="K253" t="str">
        <f t="shared" si="9"/>
        <v>Furniture</v>
      </c>
      <c r="L253" t="str">
        <f t="shared" si="10"/>
        <v>May-2025</v>
      </c>
      <c r="M253" s="14">
        <f t="shared" si="11"/>
        <v>45778</v>
      </c>
    </row>
    <row r="254" spans="1:13" x14ac:dyDescent="0.35">
      <c r="A254" t="s">
        <v>375</v>
      </c>
      <c r="B254" s="2">
        <v>45714</v>
      </c>
      <c r="C254" t="s">
        <v>109</v>
      </c>
      <c r="D254" t="s">
        <v>35</v>
      </c>
      <c r="E254" t="s">
        <v>13</v>
      </c>
      <c r="F254" t="s">
        <v>50</v>
      </c>
      <c r="G254">
        <v>2</v>
      </c>
      <c r="H254">
        <v>0.1</v>
      </c>
      <c r="I254">
        <v>1530</v>
      </c>
      <c r="J254">
        <v>626.98</v>
      </c>
      <c r="K254" t="str">
        <f t="shared" si="9"/>
        <v>Technology</v>
      </c>
      <c r="L254" t="str">
        <f t="shared" si="10"/>
        <v>Feb-2025</v>
      </c>
      <c r="M254" s="14">
        <f t="shared" si="11"/>
        <v>45689</v>
      </c>
    </row>
    <row r="255" spans="1:13" x14ac:dyDescent="0.35">
      <c r="A255" t="s">
        <v>376</v>
      </c>
      <c r="B255" s="2">
        <v>45985</v>
      </c>
      <c r="C255" t="s">
        <v>243</v>
      </c>
      <c r="D255" t="s">
        <v>83</v>
      </c>
      <c r="E255" t="s">
        <v>46</v>
      </c>
      <c r="F255" t="s">
        <v>14</v>
      </c>
      <c r="G255">
        <v>4</v>
      </c>
      <c r="H255">
        <v>0</v>
      </c>
      <c r="I255">
        <v>100</v>
      </c>
      <c r="J255">
        <v>41.34</v>
      </c>
      <c r="K255" t="str">
        <f t="shared" si="9"/>
        <v>Office Supplies</v>
      </c>
      <c r="L255" t="str">
        <f t="shared" si="10"/>
        <v>Nov-2025</v>
      </c>
      <c r="M255" s="14">
        <f t="shared" si="11"/>
        <v>45962</v>
      </c>
    </row>
    <row r="256" spans="1:13" x14ac:dyDescent="0.35">
      <c r="A256" t="s">
        <v>377</v>
      </c>
      <c r="B256" s="2">
        <v>45981</v>
      </c>
      <c r="C256" t="s">
        <v>103</v>
      </c>
      <c r="D256" t="s">
        <v>55</v>
      </c>
      <c r="E256" t="s">
        <v>46</v>
      </c>
      <c r="F256" t="s">
        <v>50</v>
      </c>
      <c r="G256">
        <v>5</v>
      </c>
      <c r="H256">
        <v>0.05</v>
      </c>
      <c r="I256">
        <v>1140</v>
      </c>
      <c r="J256">
        <v>242.68</v>
      </c>
      <c r="K256" t="str">
        <f t="shared" si="9"/>
        <v>Office Supplies</v>
      </c>
      <c r="L256" t="str">
        <f t="shared" si="10"/>
        <v>Nov-2025</v>
      </c>
      <c r="M256" s="14">
        <f t="shared" si="11"/>
        <v>45962</v>
      </c>
    </row>
    <row r="257" spans="1:13" x14ac:dyDescent="0.35">
      <c r="A257" t="s">
        <v>378</v>
      </c>
      <c r="B257" s="2">
        <v>45658</v>
      </c>
      <c r="C257" t="s">
        <v>269</v>
      </c>
      <c r="D257" t="s">
        <v>83</v>
      </c>
      <c r="E257" t="s">
        <v>46</v>
      </c>
      <c r="F257" t="s">
        <v>14</v>
      </c>
      <c r="G257">
        <v>3</v>
      </c>
      <c r="H257">
        <v>0.05</v>
      </c>
      <c r="I257">
        <v>71.25</v>
      </c>
      <c r="J257">
        <v>18.64</v>
      </c>
      <c r="K257" t="str">
        <f t="shared" si="9"/>
        <v>Office Supplies</v>
      </c>
      <c r="L257" t="str">
        <f t="shared" si="10"/>
        <v>Jan-2025</v>
      </c>
      <c r="M257" s="14">
        <f t="shared" si="11"/>
        <v>45658</v>
      </c>
    </row>
    <row r="258" spans="1:13" x14ac:dyDescent="0.35">
      <c r="A258" t="s">
        <v>379</v>
      </c>
      <c r="B258" s="2">
        <v>45926</v>
      </c>
      <c r="C258" t="s">
        <v>66</v>
      </c>
      <c r="D258" t="s">
        <v>49</v>
      </c>
      <c r="E258" t="s">
        <v>13</v>
      </c>
      <c r="F258" t="s">
        <v>14</v>
      </c>
      <c r="G258">
        <v>1</v>
      </c>
      <c r="H258">
        <v>0.2</v>
      </c>
      <c r="I258">
        <v>56</v>
      </c>
      <c r="J258">
        <v>15.15</v>
      </c>
      <c r="K258" t="str">
        <f t="shared" ref="K258:K321" si="12">TRIM(E258)</f>
        <v>Technology</v>
      </c>
      <c r="L258" t="str">
        <f t="shared" si="10"/>
        <v>Sept-2025</v>
      </c>
      <c r="M258" s="14">
        <f t="shared" si="11"/>
        <v>45901</v>
      </c>
    </row>
    <row r="259" spans="1:13" x14ac:dyDescent="0.35">
      <c r="A259" t="s">
        <v>380</v>
      </c>
      <c r="B259" s="2">
        <v>45857</v>
      </c>
      <c r="C259" t="s">
        <v>210</v>
      </c>
      <c r="D259" t="s">
        <v>45</v>
      </c>
      <c r="E259" t="s">
        <v>46</v>
      </c>
      <c r="F259" t="s">
        <v>14</v>
      </c>
      <c r="G259">
        <v>1</v>
      </c>
      <c r="H259">
        <v>0.15</v>
      </c>
      <c r="I259">
        <v>15.3</v>
      </c>
      <c r="J259">
        <v>1.93</v>
      </c>
      <c r="K259" t="str">
        <f t="shared" si="12"/>
        <v>Office Supplies</v>
      </c>
      <c r="L259" t="str">
        <f t="shared" ref="L259:L322" si="13">TEXT(B259,"mmm-yyyy")</f>
        <v>Jul-2025</v>
      </c>
      <c r="M259" s="14">
        <f t="shared" ref="M259:M322" si="14">DATE(YEAR(B259),MONTH(B259),1)</f>
        <v>45839</v>
      </c>
    </row>
    <row r="260" spans="1:13" x14ac:dyDescent="0.35">
      <c r="A260" t="s">
        <v>381</v>
      </c>
      <c r="B260" s="2">
        <v>45840</v>
      </c>
      <c r="C260" t="s">
        <v>189</v>
      </c>
      <c r="D260" t="s">
        <v>12</v>
      </c>
      <c r="E260" t="s">
        <v>13</v>
      </c>
      <c r="F260" t="s">
        <v>14</v>
      </c>
      <c r="G260">
        <v>3</v>
      </c>
      <c r="H260">
        <v>0.05</v>
      </c>
      <c r="I260">
        <v>99.75</v>
      </c>
      <c r="J260">
        <v>20.76</v>
      </c>
      <c r="K260" t="str">
        <f t="shared" si="12"/>
        <v>Technology</v>
      </c>
      <c r="L260" t="str">
        <f t="shared" si="13"/>
        <v>Jul-2025</v>
      </c>
      <c r="M260" s="14">
        <f t="shared" si="14"/>
        <v>45839</v>
      </c>
    </row>
    <row r="261" spans="1:13" x14ac:dyDescent="0.35">
      <c r="A261" t="s">
        <v>382</v>
      </c>
      <c r="B261" s="2">
        <v>45955</v>
      </c>
      <c r="C261" t="s">
        <v>119</v>
      </c>
      <c r="D261" t="s">
        <v>17</v>
      </c>
      <c r="E261" t="s">
        <v>18</v>
      </c>
      <c r="F261" t="s">
        <v>25</v>
      </c>
      <c r="G261">
        <v>3</v>
      </c>
      <c r="H261">
        <v>0.05</v>
      </c>
      <c r="I261">
        <v>598.5</v>
      </c>
      <c r="J261">
        <v>260.57</v>
      </c>
      <c r="K261" t="str">
        <f t="shared" si="12"/>
        <v>Furniture</v>
      </c>
      <c r="L261" t="str">
        <f t="shared" si="13"/>
        <v>Oct-2025</v>
      </c>
      <c r="M261" s="14">
        <f t="shared" si="14"/>
        <v>45931</v>
      </c>
    </row>
    <row r="262" spans="1:13" x14ac:dyDescent="0.35">
      <c r="A262" t="s">
        <v>383</v>
      </c>
      <c r="B262" s="2">
        <v>45987</v>
      </c>
      <c r="C262" t="s">
        <v>11</v>
      </c>
      <c r="D262" t="s">
        <v>28</v>
      </c>
      <c r="E262" t="s">
        <v>18</v>
      </c>
      <c r="F262" t="s">
        <v>14</v>
      </c>
      <c r="G262">
        <v>4</v>
      </c>
      <c r="H262">
        <v>0.15</v>
      </c>
      <c r="I262">
        <v>952</v>
      </c>
      <c r="J262">
        <v>229.93</v>
      </c>
      <c r="K262" t="str">
        <f t="shared" si="12"/>
        <v>Furniture</v>
      </c>
      <c r="L262" t="str">
        <f t="shared" si="13"/>
        <v>Nov-2025</v>
      </c>
      <c r="M262" s="14">
        <f t="shared" si="14"/>
        <v>45962</v>
      </c>
    </row>
    <row r="263" spans="1:13" x14ac:dyDescent="0.35">
      <c r="A263" t="s">
        <v>384</v>
      </c>
      <c r="B263" s="2">
        <v>45892</v>
      </c>
      <c r="C263" t="s">
        <v>181</v>
      </c>
      <c r="D263" t="s">
        <v>67</v>
      </c>
      <c r="E263" t="s">
        <v>13</v>
      </c>
      <c r="F263" t="s">
        <v>14</v>
      </c>
      <c r="G263">
        <v>3</v>
      </c>
      <c r="H263">
        <v>0.05</v>
      </c>
      <c r="I263">
        <v>3420</v>
      </c>
      <c r="J263">
        <v>1489.56</v>
      </c>
      <c r="K263" t="str">
        <f t="shared" si="12"/>
        <v>Technology</v>
      </c>
      <c r="L263" t="str">
        <f t="shared" si="13"/>
        <v>Aug-2025</v>
      </c>
      <c r="M263" s="14">
        <f t="shared" si="14"/>
        <v>45870</v>
      </c>
    </row>
    <row r="264" spans="1:13" x14ac:dyDescent="0.35">
      <c r="A264" t="s">
        <v>385</v>
      </c>
      <c r="B264" s="2">
        <v>45819</v>
      </c>
      <c r="C264" t="s">
        <v>119</v>
      </c>
      <c r="D264" t="s">
        <v>35</v>
      </c>
      <c r="E264" t="s">
        <v>13</v>
      </c>
      <c r="F264" t="s">
        <v>50</v>
      </c>
      <c r="G264">
        <v>5</v>
      </c>
      <c r="H264">
        <v>0.15</v>
      </c>
      <c r="I264">
        <v>3612.5</v>
      </c>
      <c r="J264">
        <v>446.47</v>
      </c>
      <c r="K264" t="str">
        <f t="shared" si="12"/>
        <v>Technology</v>
      </c>
      <c r="L264" t="str">
        <f t="shared" si="13"/>
        <v>Jun-2025</v>
      </c>
      <c r="M264" s="14">
        <f t="shared" si="14"/>
        <v>45809</v>
      </c>
    </row>
    <row r="265" spans="1:13" x14ac:dyDescent="0.35">
      <c r="A265" t="s">
        <v>386</v>
      </c>
      <c r="B265" s="2">
        <v>45787</v>
      </c>
      <c r="C265" t="s">
        <v>387</v>
      </c>
      <c r="D265" t="s">
        <v>67</v>
      </c>
      <c r="E265" t="s">
        <v>13</v>
      </c>
      <c r="F265" t="s">
        <v>14</v>
      </c>
      <c r="G265">
        <v>2</v>
      </c>
      <c r="H265">
        <v>0.1</v>
      </c>
      <c r="I265">
        <v>2160</v>
      </c>
      <c r="J265">
        <v>717.55</v>
      </c>
      <c r="K265" t="str">
        <f t="shared" si="12"/>
        <v>Technology</v>
      </c>
      <c r="L265" t="str">
        <f t="shared" si="13"/>
        <v>May-2025</v>
      </c>
      <c r="M265" s="14">
        <f t="shared" si="14"/>
        <v>45778</v>
      </c>
    </row>
    <row r="266" spans="1:13" x14ac:dyDescent="0.35">
      <c r="A266" t="s">
        <v>388</v>
      </c>
      <c r="B266" s="2">
        <v>45993</v>
      </c>
      <c r="C266" t="s">
        <v>64</v>
      </c>
      <c r="D266" t="s">
        <v>49</v>
      </c>
      <c r="E266" t="s">
        <v>13</v>
      </c>
      <c r="F266" t="s">
        <v>50</v>
      </c>
      <c r="G266">
        <v>3</v>
      </c>
      <c r="H266">
        <v>0</v>
      </c>
      <c r="I266">
        <v>210</v>
      </c>
      <c r="J266">
        <v>39.11</v>
      </c>
      <c r="K266" t="str">
        <f t="shared" si="12"/>
        <v>Technology</v>
      </c>
      <c r="L266" t="str">
        <f t="shared" si="13"/>
        <v>Dec-2025</v>
      </c>
      <c r="M266" s="14">
        <f t="shared" si="14"/>
        <v>45992</v>
      </c>
    </row>
    <row r="267" spans="1:13" x14ac:dyDescent="0.35">
      <c r="A267" t="s">
        <v>389</v>
      </c>
      <c r="B267" s="2">
        <v>45883</v>
      </c>
      <c r="C267" t="s">
        <v>243</v>
      </c>
      <c r="D267" t="s">
        <v>99</v>
      </c>
      <c r="E267" t="s">
        <v>18</v>
      </c>
      <c r="F267" t="s">
        <v>25</v>
      </c>
      <c r="G267">
        <v>3</v>
      </c>
      <c r="H267">
        <v>0.05</v>
      </c>
      <c r="I267">
        <v>541.5</v>
      </c>
      <c r="J267">
        <v>155.01</v>
      </c>
      <c r="K267" t="str">
        <f t="shared" si="12"/>
        <v>Furniture</v>
      </c>
      <c r="L267" t="str">
        <f t="shared" si="13"/>
        <v>Aug-2025</v>
      </c>
      <c r="M267" s="14">
        <f t="shared" si="14"/>
        <v>45870</v>
      </c>
    </row>
    <row r="268" spans="1:13" x14ac:dyDescent="0.35">
      <c r="A268" t="s">
        <v>390</v>
      </c>
      <c r="B268" s="2">
        <v>45923</v>
      </c>
      <c r="C268" t="s">
        <v>185</v>
      </c>
      <c r="D268" t="s">
        <v>35</v>
      </c>
      <c r="E268" t="s">
        <v>13</v>
      </c>
      <c r="F268" t="s">
        <v>22</v>
      </c>
      <c r="G268">
        <v>1</v>
      </c>
      <c r="H268">
        <v>0.15</v>
      </c>
      <c r="I268">
        <v>722.5</v>
      </c>
      <c r="J268">
        <v>306.31</v>
      </c>
      <c r="K268" t="str">
        <f t="shared" si="12"/>
        <v>Technology</v>
      </c>
      <c r="L268" t="str">
        <f t="shared" si="13"/>
        <v>Sept-2025</v>
      </c>
      <c r="M268" s="14">
        <f t="shared" si="14"/>
        <v>45901</v>
      </c>
    </row>
    <row r="269" spans="1:13" x14ac:dyDescent="0.35">
      <c r="A269" t="s">
        <v>391</v>
      </c>
      <c r="B269" s="2">
        <v>45937</v>
      </c>
      <c r="C269" t="s">
        <v>145</v>
      </c>
      <c r="D269" t="s">
        <v>35</v>
      </c>
      <c r="E269" t="s">
        <v>13</v>
      </c>
      <c r="F269" t="s">
        <v>25</v>
      </c>
      <c r="G269">
        <v>3</v>
      </c>
      <c r="H269">
        <v>0</v>
      </c>
      <c r="I269">
        <v>2550</v>
      </c>
      <c r="J269">
        <v>1080.1199999999999</v>
      </c>
      <c r="K269" t="str">
        <f t="shared" si="12"/>
        <v>Technology</v>
      </c>
      <c r="L269" t="str">
        <f t="shared" si="13"/>
        <v>Oct-2025</v>
      </c>
      <c r="M269" s="14">
        <f t="shared" si="14"/>
        <v>45931</v>
      </c>
    </row>
    <row r="270" spans="1:13" x14ac:dyDescent="0.35">
      <c r="A270" t="s">
        <v>392</v>
      </c>
      <c r="B270" s="2">
        <v>45814</v>
      </c>
      <c r="C270" t="s">
        <v>342</v>
      </c>
      <c r="D270" t="s">
        <v>45</v>
      </c>
      <c r="E270" t="s">
        <v>46</v>
      </c>
      <c r="F270" t="s">
        <v>25</v>
      </c>
      <c r="G270">
        <v>5</v>
      </c>
      <c r="H270">
        <v>0.15</v>
      </c>
      <c r="I270">
        <v>76.5</v>
      </c>
      <c r="J270">
        <v>30.22</v>
      </c>
      <c r="K270" t="str">
        <f t="shared" si="12"/>
        <v>Office Supplies</v>
      </c>
      <c r="L270" t="str">
        <f t="shared" si="13"/>
        <v>Jun-2025</v>
      </c>
      <c r="M270" s="14">
        <f t="shared" si="14"/>
        <v>45809</v>
      </c>
    </row>
    <row r="271" spans="1:13" x14ac:dyDescent="0.35">
      <c r="A271" t="s">
        <v>393</v>
      </c>
      <c r="B271" s="2">
        <v>45886</v>
      </c>
      <c r="C271" t="s">
        <v>295</v>
      </c>
      <c r="D271" t="s">
        <v>67</v>
      </c>
      <c r="E271" t="s">
        <v>13</v>
      </c>
      <c r="F271" t="s">
        <v>14</v>
      </c>
      <c r="G271">
        <v>3</v>
      </c>
      <c r="H271">
        <v>0.2</v>
      </c>
      <c r="I271">
        <v>2880</v>
      </c>
      <c r="J271">
        <v>347.36</v>
      </c>
      <c r="K271" t="str">
        <f t="shared" si="12"/>
        <v>Technology</v>
      </c>
      <c r="L271" t="str">
        <f t="shared" si="13"/>
        <v>Aug-2025</v>
      </c>
      <c r="M271" s="14">
        <f t="shared" si="14"/>
        <v>45870</v>
      </c>
    </row>
    <row r="272" spans="1:13" x14ac:dyDescent="0.35">
      <c r="A272" t="s">
        <v>394</v>
      </c>
      <c r="B272" s="2">
        <v>45696</v>
      </c>
      <c r="C272" t="s">
        <v>288</v>
      </c>
      <c r="D272" t="s">
        <v>38</v>
      </c>
      <c r="E272" t="s">
        <v>13</v>
      </c>
      <c r="F272" t="s">
        <v>22</v>
      </c>
      <c r="G272">
        <v>4</v>
      </c>
      <c r="H272">
        <v>0.1</v>
      </c>
      <c r="I272">
        <v>1152</v>
      </c>
      <c r="J272">
        <v>323.35000000000002</v>
      </c>
      <c r="K272" t="str">
        <f t="shared" si="12"/>
        <v>Technology</v>
      </c>
      <c r="L272" t="str">
        <f t="shared" si="13"/>
        <v>Feb-2025</v>
      </c>
      <c r="M272" s="14">
        <f t="shared" si="14"/>
        <v>45689</v>
      </c>
    </row>
    <row r="273" spans="1:13" x14ac:dyDescent="0.35">
      <c r="A273" t="s">
        <v>395</v>
      </c>
      <c r="B273" s="2">
        <v>45673</v>
      </c>
      <c r="C273" t="s">
        <v>80</v>
      </c>
      <c r="D273" t="s">
        <v>28</v>
      </c>
      <c r="E273" t="s">
        <v>18</v>
      </c>
      <c r="F273" t="s">
        <v>22</v>
      </c>
      <c r="G273">
        <v>5</v>
      </c>
      <c r="H273">
        <v>0.15</v>
      </c>
      <c r="I273">
        <v>1190</v>
      </c>
      <c r="J273">
        <v>521.83000000000004</v>
      </c>
      <c r="K273" t="str">
        <f t="shared" si="12"/>
        <v>Furniture</v>
      </c>
      <c r="L273" t="str">
        <f t="shared" si="13"/>
        <v>Jan-2025</v>
      </c>
      <c r="M273" s="14">
        <f t="shared" si="14"/>
        <v>45658</v>
      </c>
    </row>
    <row r="274" spans="1:13" x14ac:dyDescent="0.35">
      <c r="A274" t="s">
        <v>396</v>
      </c>
      <c r="B274" s="2">
        <v>45988</v>
      </c>
      <c r="C274" t="s">
        <v>16</v>
      </c>
      <c r="D274" t="s">
        <v>49</v>
      </c>
      <c r="E274" t="s">
        <v>13</v>
      </c>
      <c r="F274" t="s">
        <v>22</v>
      </c>
      <c r="G274">
        <v>3</v>
      </c>
      <c r="H274">
        <v>0.15</v>
      </c>
      <c r="I274">
        <v>178.5</v>
      </c>
      <c r="J274">
        <v>24.4</v>
      </c>
      <c r="K274" t="str">
        <f t="shared" si="12"/>
        <v>Technology</v>
      </c>
      <c r="L274" t="str">
        <f t="shared" si="13"/>
        <v>Nov-2025</v>
      </c>
      <c r="M274" s="14">
        <f t="shared" si="14"/>
        <v>45962</v>
      </c>
    </row>
    <row r="275" spans="1:13" x14ac:dyDescent="0.35">
      <c r="A275" t="s">
        <v>397</v>
      </c>
      <c r="B275" s="2">
        <v>46005</v>
      </c>
      <c r="C275" t="s">
        <v>128</v>
      </c>
      <c r="D275" t="s">
        <v>45</v>
      </c>
      <c r="E275" t="s">
        <v>46</v>
      </c>
      <c r="F275" t="s">
        <v>22</v>
      </c>
      <c r="G275">
        <v>3</v>
      </c>
      <c r="H275">
        <v>0.1</v>
      </c>
      <c r="I275">
        <v>48.6</v>
      </c>
      <c r="J275">
        <v>14.75</v>
      </c>
      <c r="K275" t="str">
        <f t="shared" si="12"/>
        <v>Office Supplies</v>
      </c>
      <c r="L275" t="str">
        <f t="shared" si="13"/>
        <v>Dec-2025</v>
      </c>
      <c r="M275" s="14">
        <f t="shared" si="14"/>
        <v>45992</v>
      </c>
    </row>
    <row r="276" spans="1:13" x14ac:dyDescent="0.35">
      <c r="A276" t="s">
        <v>398</v>
      </c>
      <c r="B276" s="2">
        <v>45929</v>
      </c>
      <c r="C276" t="s">
        <v>163</v>
      </c>
      <c r="D276" t="s">
        <v>49</v>
      </c>
      <c r="E276" t="s">
        <v>13</v>
      </c>
      <c r="F276" t="s">
        <v>14</v>
      </c>
      <c r="G276">
        <v>4</v>
      </c>
      <c r="H276">
        <v>0.1</v>
      </c>
      <c r="I276">
        <v>252</v>
      </c>
      <c r="J276">
        <v>59.38</v>
      </c>
      <c r="K276" t="str">
        <f t="shared" si="12"/>
        <v>Technology</v>
      </c>
      <c r="L276" t="str">
        <f t="shared" si="13"/>
        <v>Sept-2025</v>
      </c>
      <c r="M276" s="14">
        <f t="shared" si="14"/>
        <v>45901</v>
      </c>
    </row>
    <row r="277" spans="1:13" x14ac:dyDescent="0.35">
      <c r="A277" t="s">
        <v>399</v>
      </c>
      <c r="B277" s="2">
        <v>45671</v>
      </c>
      <c r="C277" t="s">
        <v>20</v>
      </c>
      <c r="D277" t="s">
        <v>17</v>
      </c>
      <c r="E277" t="s">
        <v>18</v>
      </c>
      <c r="F277" t="s">
        <v>14</v>
      </c>
      <c r="G277">
        <v>2</v>
      </c>
      <c r="H277">
        <v>0.15</v>
      </c>
      <c r="I277">
        <v>357</v>
      </c>
      <c r="J277">
        <v>99.65</v>
      </c>
      <c r="K277" t="str">
        <f t="shared" si="12"/>
        <v>Furniture</v>
      </c>
      <c r="L277" t="str">
        <f t="shared" si="13"/>
        <v>Jan-2025</v>
      </c>
      <c r="M277" s="14">
        <f t="shared" si="14"/>
        <v>45658</v>
      </c>
    </row>
    <row r="278" spans="1:13" x14ac:dyDescent="0.35">
      <c r="A278" t="s">
        <v>400</v>
      </c>
      <c r="B278" s="2">
        <v>45792</v>
      </c>
      <c r="C278" t="s">
        <v>364</v>
      </c>
      <c r="D278" t="s">
        <v>35</v>
      </c>
      <c r="E278" t="s">
        <v>13</v>
      </c>
      <c r="F278" t="s">
        <v>50</v>
      </c>
      <c r="G278">
        <v>4</v>
      </c>
      <c r="H278">
        <v>0.05</v>
      </c>
      <c r="I278">
        <v>3230</v>
      </c>
      <c r="J278">
        <v>391.47</v>
      </c>
      <c r="K278" t="str">
        <f t="shared" si="12"/>
        <v>Technology</v>
      </c>
      <c r="L278" t="str">
        <f t="shared" si="13"/>
        <v>May-2025</v>
      </c>
      <c r="M278" s="14">
        <f t="shared" si="14"/>
        <v>45778</v>
      </c>
    </row>
    <row r="279" spans="1:13" x14ac:dyDescent="0.35">
      <c r="A279" t="s">
        <v>401</v>
      </c>
      <c r="B279" s="2">
        <v>45760</v>
      </c>
      <c r="C279" t="s">
        <v>165</v>
      </c>
      <c r="D279" t="s">
        <v>12</v>
      </c>
      <c r="E279" t="s">
        <v>13</v>
      </c>
      <c r="F279" t="s">
        <v>50</v>
      </c>
      <c r="G279">
        <v>2</v>
      </c>
      <c r="H279">
        <v>0</v>
      </c>
      <c r="I279">
        <v>70</v>
      </c>
      <c r="J279">
        <v>21.06</v>
      </c>
      <c r="K279" t="str">
        <f t="shared" si="12"/>
        <v>Technology</v>
      </c>
      <c r="L279" t="str">
        <f t="shared" si="13"/>
        <v>Apr-2025</v>
      </c>
      <c r="M279" s="14">
        <f t="shared" si="14"/>
        <v>45748</v>
      </c>
    </row>
    <row r="280" spans="1:13" x14ac:dyDescent="0.35">
      <c r="A280" t="s">
        <v>402</v>
      </c>
      <c r="B280" s="2">
        <v>45702</v>
      </c>
      <c r="C280" t="s">
        <v>95</v>
      </c>
      <c r="D280" t="s">
        <v>38</v>
      </c>
      <c r="E280" t="s">
        <v>13</v>
      </c>
      <c r="F280" t="s">
        <v>25</v>
      </c>
      <c r="G280">
        <v>3</v>
      </c>
      <c r="H280">
        <v>0.1</v>
      </c>
      <c r="I280">
        <v>864</v>
      </c>
      <c r="J280">
        <v>186.5</v>
      </c>
      <c r="K280" t="str">
        <f t="shared" si="12"/>
        <v>Technology</v>
      </c>
      <c r="L280" t="str">
        <f t="shared" si="13"/>
        <v>Feb-2025</v>
      </c>
      <c r="M280" s="14">
        <f t="shared" si="14"/>
        <v>45689</v>
      </c>
    </row>
    <row r="281" spans="1:13" x14ac:dyDescent="0.35">
      <c r="A281" t="s">
        <v>403</v>
      </c>
      <c r="B281" s="2">
        <v>45811</v>
      </c>
      <c r="C281" t="s">
        <v>404</v>
      </c>
      <c r="D281" t="s">
        <v>28</v>
      </c>
      <c r="E281" t="s">
        <v>18</v>
      </c>
      <c r="F281" t="s">
        <v>22</v>
      </c>
      <c r="G281">
        <v>2</v>
      </c>
      <c r="H281">
        <v>0.1</v>
      </c>
      <c r="I281">
        <v>504</v>
      </c>
      <c r="J281">
        <v>142.18</v>
      </c>
      <c r="K281" t="str">
        <f t="shared" si="12"/>
        <v>Furniture</v>
      </c>
      <c r="L281" t="str">
        <f t="shared" si="13"/>
        <v>Jun-2025</v>
      </c>
      <c r="M281" s="14">
        <f t="shared" si="14"/>
        <v>45809</v>
      </c>
    </row>
    <row r="282" spans="1:13" x14ac:dyDescent="0.35">
      <c r="A282" t="s">
        <v>405</v>
      </c>
      <c r="B282" s="2">
        <v>45729</v>
      </c>
      <c r="C282" t="s">
        <v>219</v>
      </c>
      <c r="D282" t="s">
        <v>21</v>
      </c>
      <c r="E282" t="s">
        <v>18</v>
      </c>
      <c r="F282" t="s">
        <v>25</v>
      </c>
      <c r="G282">
        <v>4</v>
      </c>
      <c r="H282">
        <v>0</v>
      </c>
      <c r="I282">
        <v>220</v>
      </c>
      <c r="J282">
        <v>72.8</v>
      </c>
      <c r="K282" t="str">
        <f t="shared" si="12"/>
        <v>Furniture</v>
      </c>
      <c r="L282" t="str">
        <f t="shared" si="13"/>
        <v>Mar-2025</v>
      </c>
      <c r="M282" s="14">
        <f t="shared" si="14"/>
        <v>45717</v>
      </c>
    </row>
    <row r="283" spans="1:13" x14ac:dyDescent="0.35">
      <c r="A283" t="s">
        <v>406</v>
      </c>
      <c r="B283" s="2">
        <v>45897</v>
      </c>
      <c r="C283" t="s">
        <v>80</v>
      </c>
      <c r="D283" t="s">
        <v>55</v>
      </c>
      <c r="E283" t="s">
        <v>46</v>
      </c>
      <c r="F283" t="s">
        <v>25</v>
      </c>
      <c r="G283">
        <v>2</v>
      </c>
      <c r="H283">
        <v>0.2</v>
      </c>
      <c r="I283">
        <v>384</v>
      </c>
      <c r="J283">
        <v>60.75</v>
      </c>
      <c r="K283" t="str">
        <f t="shared" si="12"/>
        <v>Office Supplies</v>
      </c>
      <c r="L283" t="str">
        <f t="shared" si="13"/>
        <v>Aug-2025</v>
      </c>
      <c r="M283" s="14">
        <f t="shared" si="14"/>
        <v>45870</v>
      </c>
    </row>
    <row r="284" spans="1:13" x14ac:dyDescent="0.35">
      <c r="A284" t="s">
        <v>407</v>
      </c>
      <c r="B284" s="2">
        <v>45861</v>
      </c>
      <c r="C284" t="s">
        <v>87</v>
      </c>
      <c r="D284" t="s">
        <v>17</v>
      </c>
      <c r="E284" t="s">
        <v>18</v>
      </c>
      <c r="F284" t="s">
        <v>14</v>
      </c>
      <c r="G284">
        <v>4</v>
      </c>
      <c r="H284">
        <v>0.2</v>
      </c>
      <c r="I284">
        <v>672</v>
      </c>
      <c r="J284">
        <v>211.3</v>
      </c>
      <c r="K284" t="str">
        <f t="shared" si="12"/>
        <v>Furniture</v>
      </c>
      <c r="L284" t="str">
        <f t="shared" si="13"/>
        <v>Jul-2025</v>
      </c>
      <c r="M284" s="14">
        <f t="shared" si="14"/>
        <v>45839</v>
      </c>
    </row>
    <row r="285" spans="1:13" x14ac:dyDescent="0.35">
      <c r="A285" t="s">
        <v>408</v>
      </c>
      <c r="B285" s="2">
        <v>45722</v>
      </c>
      <c r="C285" t="s">
        <v>409</v>
      </c>
      <c r="D285" t="s">
        <v>49</v>
      </c>
      <c r="E285" t="s">
        <v>13</v>
      </c>
      <c r="F285" t="s">
        <v>25</v>
      </c>
      <c r="G285">
        <v>1</v>
      </c>
      <c r="H285">
        <v>0.15</v>
      </c>
      <c r="I285">
        <v>59.5</v>
      </c>
      <c r="J285">
        <v>17.63</v>
      </c>
      <c r="K285" t="str">
        <f t="shared" si="12"/>
        <v>Technology</v>
      </c>
      <c r="L285" t="str">
        <f t="shared" si="13"/>
        <v>Mar-2025</v>
      </c>
      <c r="M285" s="14">
        <f t="shared" si="14"/>
        <v>45717</v>
      </c>
    </row>
    <row r="286" spans="1:13" x14ac:dyDescent="0.35">
      <c r="A286" t="s">
        <v>410</v>
      </c>
      <c r="B286" s="2">
        <v>45723</v>
      </c>
      <c r="C286" t="s">
        <v>115</v>
      </c>
      <c r="D286" t="s">
        <v>55</v>
      </c>
      <c r="E286" t="s">
        <v>46</v>
      </c>
      <c r="F286" t="s">
        <v>50</v>
      </c>
      <c r="G286">
        <v>5</v>
      </c>
      <c r="H286">
        <v>0.05</v>
      </c>
      <c r="I286">
        <v>1140</v>
      </c>
      <c r="J286">
        <v>224.16</v>
      </c>
      <c r="K286" t="str">
        <f t="shared" si="12"/>
        <v>Office Supplies</v>
      </c>
      <c r="L286" t="str">
        <f t="shared" si="13"/>
        <v>Mar-2025</v>
      </c>
      <c r="M286" s="14">
        <f t="shared" si="14"/>
        <v>45717</v>
      </c>
    </row>
    <row r="287" spans="1:13" x14ac:dyDescent="0.35">
      <c r="A287" t="s">
        <v>411</v>
      </c>
      <c r="B287" s="2">
        <v>45915</v>
      </c>
      <c r="C287" t="s">
        <v>412</v>
      </c>
      <c r="D287" t="s">
        <v>67</v>
      </c>
      <c r="E287" t="s">
        <v>13</v>
      </c>
      <c r="F287" t="s">
        <v>22</v>
      </c>
      <c r="G287">
        <v>1</v>
      </c>
      <c r="H287">
        <v>0.2</v>
      </c>
      <c r="I287">
        <v>960</v>
      </c>
      <c r="J287">
        <v>383.52</v>
      </c>
      <c r="K287" t="str">
        <f t="shared" si="12"/>
        <v>Technology</v>
      </c>
      <c r="L287" t="str">
        <f t="shared" si="13"/>
        <v>Sept-2025</v>
      </c>
      <c r="M287" s="14">
        <f t="shared" si="14"/>
        <v>45901</v>
      </c>
    </row>
    <row r="288" spans="1:13" x14ac:dyDescent="0.35">
      <c r="A288" t="s">
        <v>413</v>
      </c>
      <c r="B288" s="2">
        <v>45823</v>
      </c>
      <c r="C288" t="s">
        <v>409</v>
      </c>
      <c r="D288" t="s">
        <v>17</v>
      </c>
      <c r="E288" t="s">
        <v>18</v>
      </c>
      <c r="F288" t="s">
        <v>25</v>
      </c>
      <c r="G288">
        <v>2</v>
      </c>
      <c r="H288">
        <v>0.1</v>
      </c>
      <c r="I288">
        <v>378</v>
      </c>
      <c r="J288">
        <v>51.91</v>
      </c>
      <c r="K288" t="str">
        <f t="shared" si="12"/>
        <v>Furniture</v>
      </c>
      <c r="L288" t="str">
        <f t="shared" si="13"/>
        <v>Jun-2025</v>
      </c>
      <c r="M288" s="14">
        <f t="shared" si="14"/>
        <v>45809</v>
      </c>
    </row>
    <row r="289" spans="1:13" x14ac:dyDescent="0.35">
      <c r="A289" t="s">
        <v>414</v>
      </c>
      <c r="B289" s="2">
        <v>45698</v>
      </c>
      <c r="C289" t="s">
        <v>189</v>
      </c>
      <c r="D289" t="s">
        <v>35</v>
      </c>
      <c r="E289" t="s">
        <v>13</v>
      </c>
      <c r="F289" t="s">
        <v>25</v>
      </c>
      <c r="G289">
        <v>2</v>
      </c>
      <c r="H289">
        <v>0.2</v>
      </c>
      <c r="I289">
        <v>1360</v>
      </c>
      <c r="J289">
        <v>488.83</v>
      </c>
      <c r="K289" t="str">
        <f t="shared" si="12"/>
        <v>Technology</v>
      </c>
      <c r="L289" t="str">
        <f t="shared" si="13"/>
        <v>Feb-2025</v>
      </c>
      <c r="M289" s="14">
        <f t="shared" si="14"/>
        <v>45689</v>
      </c>
    </row>
    <row r="290" spans="1:13" x14ac:dyDescent="0.35">
      <c r="A290" t="s">
        <v>415</v>
      </c>
      <c r="B290" s="2">
        <v>45972</v>
      </c>
      <c r="C290" t="s">
        <v>24</v>
      </c>
      <c r="D290" t="s">
        <v>55</v>
      </c>
      <c r="E290" t="s">
        <v>46</v>
      </c>
      <c r="F290" t="s">
        <v>22</v>
      </c>
      <c r="G290">
        <v>1</v>
      </c>
      <c r="H290">
        <v>0.2</v>
      </c>
      <c r="I290">
        <v>192</v>
      </c>
      <c r="J290">
        <v>45.79</v>
      </c>
      <c r="K290" t="str">
        <f t="shared" si="12"/>
        <v>Office Supplies</v>
      </c>
      <c r="L290" t="str">
        <f t="shared" si="13"/>
        <v>Nov-2025</v>
      </c>
      <c r="M290" s="14">
        <f t="shared" si="14"/>
        <v>45962</v>
      </c>
    </row>
    <row r="291" spans="1:13" x14ac:dyDescent="0.35">
      <c r="A291" t="s">
        <v>416</v>
      </c>
      <c r="B291" s="2">
        <v>45745</v>
      </c>
      <c r="C291" t="s">
        <v>73</v>
      </c>
      <c r="D291" t="s">
        <v>38</v>
      </c>
      <c r="E291" t="s">
        <v>13</v>
      </c>
      <c r="F291" t="s">
        <v>14</v>
      </c>
      <c r="G291">
        <v>5</v>
      </c>
      <c r="H291">
        <v>0.2</v>
      </c>
      <c r="I291">
        <v>1280</v>
      </c>
      <c r="J291">
        <v>433.39</v>
      </c>
      <c r="K291" t="str">
        <f t="shared" si="12"/>
        <v>Technology</v>
      </c>
      <c r="L291" t="str">
        <f t="shared" si="13"/>
        <v>Mar-2025</v>
      </c>
      <c r="M291" s="14">
        <f t="shared" si="14"/>
        <v>45717</v>
      </c>
    </row>
    <row r="292" spans="1:13" x14ac:dyDescent="0.35">
      <c r="A292" t="s">
        <v>417</v>
      </c>
      <c r="B292" s="2">
        <v>45672</v>
      </c>
      <c r="C292" t="s">
        <v>124</v>
      </c>
      <c r="D292" t="s">
        <v>12</v>
      </c>
      <c r="E292" t="s">
        <v>13</v>
      </c>
      <c r="F292" t="s">
        <v>50</v>
      </c>
      <c r="G292">
        <v>1</v>
      </c>
      <c r="H292">
        <v>0.2</v>
      </c>
      <c r="I292">
        <v>28</v>
      </c>
      <c r="J292">
        <v>10.15</v>
      </c>
      <c r="K292" t="str">
        <f t="shared" si="12"/>
        <v>Technology</v>
      </c>
      <c r="L292" t="str">
        <f t="shared" si="13"/>
        <v>Jan-2025</v>
      </c>
      <c r="M292" s="14">
        <f t="shared" si="14"/>
        <v>45658</v>
      </c>
    </row>
    <row r="293" spans="1:13" x14ac:dyDescent="0.35">
      <c r="A293" t="s">
        <v>418</v>
      </c>
      <c r="B293" s="2">
        <v>45974</v>
      </c>
      <c r="C293" t="s">
        <v>119</v>
      </c>
      <c r="D293" t="s">
        <v>38</v>
      </c>
      <c r="E293" t="s">
        <v>13</v>
      </c>
      <c r="F293" t="s">
        <v>25</v>
      </c>
      <c r="G293">
        <v>1</v>
      </c>
      <c r="H293">
        <v>0.15</v>
      </c>
      <c r="I293">
        <v>272</v>
      </c>
      <c r="J293">
        <v>42.6</v>
      </c>
      <c r="K293" t="str">
        <f t="shared" si="12"/>
        <v>Technology</v>
      </c>
      <c r="L293" t="str">
        <f t="shared" si="13"/>
        <v>Nov-2025</v>
      </c>
      <c r="M293" s="14">
        <f t="shared" si="14"/>
        <v>45962</v>
      </c>
    </row>
    <row r="294" spans="1:13" x14ac:dyDescent="0.35">
      <c r="A294" t="s">
        <v>419</v>
      </c>
      <c r="B294" s="2">
        <v>45986</v>
      </c>
      <c r="C294" t="s">
        <v>278</v>
      </c>
      <c r="D294" t="s">
        <v>35</v>
      </c>
      <c r="E294" t="s">
        <v>13</v>
      </c>
      <c r="F294" t="s">
        <v>50</v>
      </c>
      <c r="G294">
        <v>4</v>
      </c>
      <c r="H294">
        <v>0.05</v>
      </c>
      <c r="I294">
        <v>3230</v>
      </c>
      <c r="J294">
        <v>595.78</v>
      </c>
      <c r="K294" t="str">
        <f t="shared" si="12"/>
        <v>Technology</v>
      </c>
      <c r="L294" t="str">
        <f t="shared" si="13"/>
        <v>Nov-2025</v>
      </c>
      <c r="M294" s="14">
        <f t="shared" si="14"/>
        <v>45962</v>
      </c>
    </row>
    <row r="295" spans="1:13" x14ac:dyDescent="0.35">
      <c r="A295" t="s">
        <v>420</v>
      </c>
      <c r="B295" s="2">
        <v>45810</v>
      </c>
      <c r="C295" t="s">
        <v>178</v>
      </c>
      <c r="D295" t="s">
        <v>45</v>
      </c>
      <c r="E295" t="s">
        <v>46</v>
      </c>
      <c r="F295" t="s">
        <v>50</v>
      </c>
      <c r="G295">
        <v>1</v>
      </c>
      <c r="H295">
        <v>0</v>
      </c>
      <c r="I295">
        <v>18</v>
      </c>
      <c r="J295">
        <v>7.16</v>
      </c>
      <c r="K295" t="str">
        <f t="shared" si="12"/>
        <v>Office Supplies</v>
      </c>
      <c r="L295" t="str">
        <f t="shared" si="13"/>
        <v>Jun-2025</v>
      </c>
      <c r="M295" s="14">
        <f t="shared" si="14"/>
        <v>45809</v>
      </c>
    </row>
    <row r="296" spans="1:13" x14ac:dyDescent="0.35">
      <c r="A296" t="s">
        <v>421</v>
      </c>
      <c r="B296" s="2">
        <v>45895</v>
      </c>
      <c r="C296" t="s">
        <v>165</v>
      </c>
      <c r="D296" t="s">
        <v>21</v>
      </c>
      <c r="E296" t="s">
        <v>18</v>
      </c>
      <c r="F296" t="s">
        <v>25</v>
      </c>
      <c r="G296">
        <v>3</v>
      </c>
      <c r="H296">
        <v>0.2</v>
      </c>
      <c r="I296">
        <v>132</v>
      </c>
      <c r="J296">
        <v>53.14</v>
      </c>
      <c r="K296" t="str">
        <f t="shared" si="12"/>
        <v>Furniture</v>
      </c>
      <c r="L296" t="str">
        <f t="shared" si="13"/>
        <v>Aug-2025</v>
      </c>
      <c r="M296" s="14">
        <f t="shared" si="14"/>
        <v>45870</v>
      </c>
    </row>
    <row r="297" spans="1:13" x14ac:dyDescent="0.35">
      <c r="A297" t="s">
        <v>422</v>
      </c>
      <c r="B297" s="2">
        <v>45834</v>
      </c>
      <c r="C297" t="s">
        <v>122</v>
      </c>
      <c r="D297" t="s">
        <v>99</v>
      </c>
      <c r="E297" t="s">
        <v>18</v>
      </c>
      <c r="F297" t="s">
        <v>25</v>
      </c>
      <c r="G297">
        <v>2</v>
      </c>
      <c r="H297">
        <v>0.1</v>
      </c>
      <c r="I297">
        <v>342</v>
      </c>
      <c r="J297">
        <v>95.78</v>
      </c>
      <c r="K297" t="str">
        <f t="shared" si="12"/>
        <v>Furniture</v>
      </c>
      <c r="L297" t="str">
        <f t="shared" si="13"/>
        <v>Jun-2025</v>
      </c>
      <c r="M297" s="14">
        <f t="shared" si="14"/>
        <v>45809</v>
      </c>
    </row>
    <row r="298" spans="1:13" x14ac:dyDescent="0.35">
      <c r="A298" t="s">
        <v>423</v>
      </c>
      <c r="B298" s="2">
        <v>45781</v>
      </c>
      <c r="C298" t="s">
        <v>154</v>
      </c>
      <c r="D298" t="s">
        <v>45</v>
      </c>
      <c r="E298" t="s">
        <v>46</v>
      </c>
      <c r="F298" t="s">
        <v>14</v>
      </c>
      <c r="G298">
        <v>1</v>
      </c>
      <c r="H298">
        <v>0.1</v>
      </c>
      <c r="I298">
        <v>16.2</v>
      </c>
      <c r="J298">
        <v>4.8899999999999997</v>
      </c>
      <c r="K298" t="str">
        <f t="shared" si="12"/>
        <v>Office Supplies</v>
      </c>
      <c r="L298" t="str">
        <f t="shared" si="13"/>
        <v>May-2025</v>
      </c>
      <c r="M298" s="14">
        <f t="shared" si="14"/>
        <v>45778</v>
      </c>
    </row>
    <row r="299" spans="1:13" x14ac:dyDescent="0.35">
      <c r="A299" t="s">
        <v>424</v>
      </c>
      <c r="B299" s="2">
        <v>45683</v>
      </c>
      <c r="C299" t="s">
        <v>273</v>
      </c>
      <c r="D299" t="s">
        <v>35</v>
      </c>
      <c r="E299" t="s">
        <v>13</v>
      </c>
      <c r="F299" t="s">
        <v>25</v>
      </c>
      <c r="G299">
        <v>4</v>
      </c>
      <c r="H299">
        <v>0.2</v>
      </c>
      <c r="I299">
        <v>2720</v>
      </c>
      <c r="J299">
        <v>848.68</v>
      </c>
      <c r="K299" t="str">
        <f t="shared" si="12"/>
        <v>Technology</v>
      </c>
      <c r="L299" t="str">
        <f t="shared" si="13"/>
        <v>Jan-2025</v>
      </c>
      <c r="M299" s="14">
        <f t="shared" si="14"/>
        <v>45658</v>
      </c>
    </row>
    <row r="300" spans="1:13" x14ac:dyDescent="0.35">
      <c r="A300" t="s">
        <v>425</v>
      </c>
      <c r="B300" s="2">
        <v>45953</v>
      </c>
      <c r="C300" t="s">
        <v>243</v>
      </c>
      <c r="D300" t="s">
        <v>17</v>
      </c>
      <c r="E300" t="s">
        <v>18</v>
      </c>
      <c r="F300" t="s">
        <v>50</v>
      </c>
      <c r="G300">
        <v>3</v>
      </c>
      <c r="H300">
        <v>0.05</v>
      </c>
      <c r="I300">
        <v>598.5</v>
      </c>
      <c r="J300">
        <v>118.6</v>
      </c>
      <c r="K300" t="str">
        <f t="shared" si="12"/>
        <v>Furniture</v>
      </c>
      <c r="L300" t="str">
        <f t="shared" si="13"/>
        <v>Oct-2025</v>
      </c>
      <c r="M300" s="14">
        <f t="shared" si="14"/>
        <v>45931</v>
      </c>
    </row>
    <row r="301" spans="1:13" x14ac:dyDescent="0.35">
      <c r="A301" t="s">
        <v>426</v>
      </c>
      <c r="B301" s="2">
        <v>45913</v>
      </c>
      <c r="C301" t="s">
        <v>286</v>
      </c>
      <c r="D301" t="s">
        <v>35</v>
      </c>
      <c r="E301" t="s">
        <v>13</v>
      </c>
      <c r="F301" t="s">
        <v>50</v>
      </c>
      <c r="G301">
        <v>4</v>
      </c>
      <c r="H301">
        <v>0</v>
      </c>
      <c r="I301">
        <v>3400</v>
      </c>
      <c r="J301">
        <v>1428.96</v>
      </c>
      <c r="K301" t="str">
        <f t="shared" si="12"/>
        <v>Technology</v>
      </c>
      <c r="L301" t="str">
        <f t="shared" si="13"/>
        <v>Sept-2025</v>
      </c>
      <c r="M301" s="14">
        <f t="shared" si="14"/>
        <v>45901</v>
      </c>
    </row>
    <row r="302" spans="1:13" x14ac:dyDescent="0.35">
      <c r="A302" t="s">
        <v>427</v>
      </c>
      <c r="B302" s="2">
        <v>45781</v>
      </c>
      <c r="C302" t="s">
        <v>364</v>
      </c>
      <c r="D302" t="s">
        <v>21</v>
      </c>
      <c r="E302" t="s">
        <v>18</v>
      </c>
      <c r="F302" t="s">
        <v>50</v>
      </c>
      <c r="G302">
        <v>5</v>
      </c>
      <c r="H302">
        <v>0.1</v>
      </c>
      <c r="I302">
        <v>247.5</v>
      </c>
      <c r="J302">
        <v>107.4</v>
      </c>
      <c r="K302" t="str">
        <f t="shared" si="12"/>
        <v>Furniture</v>
      </c>
      <c r="L302" t="str">
        <f t="shared" si="13"/>
        <v>May-2025</v>
      </c>
      <c r="M302" s="14">
        <f t="shared" si="14"/>
        <v>45778</v>
      </c>
    </row>
    <row r="303" spans="1:13" x14ac:dyDescent="0.35">
      <c r="A303" t="s">
        <v>428</v>
      </c>
      <c r="B303" s="2">
        <v>45963</v>
      </c>
      <c r="C303" t="s">
        <v>122</v>
      </c>
      <c r="D303" t="s">
        <v>38</v>
      </c>
      <c r="E303" t="s">
        <v>13</v>
      </c>
      <c r="F303" t="s">
        <v>50</v>
      </c>
      <c r="G303">
        <v>4</v>
      </c>
      <c r="H303">
        <v>0.1</v>
      </c>
      <c r="I303">
        <v>1152</v>
      </c>
      <c r="J303">
        <v>314.37</v>
      </c>
      <c r="K303" t="str">
        <f t="shared" si="12"/>
        <v>Technology</v>
      </c>
      <c r="L303" t="str">
        <f t="shared" si="13"/>
        <v>Nov-2025</v>
      </c>
      <c r="M303" s="14">
        <f t="shared" si="14"/>
        <v>45962</v>
      </c>
    </row>
    <row r="304" spans="1:13" x14ac:dyDescent="0.35">
      <c r="A304" t="s">
        <v>429</v>
      </c>
      <c r="B304" s="2">
        <v>45726</v>
      </c>
      <c r="C304" t="s">
        <v>98</v>
      </c>
      <c r="D304" t="s">
        <v>35</v>
      </c>
      <c r="E304" t="s">
        <v>13</v>
      </c>
      <c r="F304" t="s">
        <v>14</v>
      </c>
      <c r="G304">
        <v>3</v>
      </c>
      <c r="H304">
        <v>0.15</v>
      </c>
      <c r="I304">
        <v>2167.5</v>
      </c>
      <c r="J304">
        <v>713.63</v>
      </c>
      <c r="K304" t="str">
        <f t="shared" si="12"/>
        <v>Technology</v>
      </c>
      <c r="L304" t="str">
        <f t="shared" si="13"/>
        <v>Mar-2025</v>
      </c>
      <c r="M304" s="14">
        <f t="shared" si="14"/>
        <v>45717</v>
      </c>
    </row>
    <row r="305" spans="1:13" x14ac:dyDescent="0.35">
      <c r="A305" t="s">
        <v>430</v>
      </c>
      <c r="B305" s="2">
        <v>45949</v>
      </c>
      <c r="C305" t="s">
        <v>128</v>
      </c>
      <c r="D305" t="s">
        <v>55</v>
      </c>
      <c r="E305" t="s">
        <v>46</v>
      </c>
      <c r="F305" t="s">
        <v>50</v>
      </c>
      <c r="G305">
        <v>2</v>
      </c>
      <c r="H305">
        <v>0.1</v>
      </c>
      <c r="I305">
        <v>432</v>
      </c>
      <c r="J305">
        <v>115.53</v>
      </c>
      <c r="K305" t="str">
        <f t="shared" si="12"/>
        <v>Office Supplies</v>
      </c>
      <c r="L305" t="str">
        <f t="shared" si="13"/>
        <v>Oct-2025</v>
      </c>
      <c r="M305" s="14">
        <f t="shared" si="14"/>
        <v>45931</v>
      </c>
    </row>
    <row r="306" spans="1:13" x14ac:dyDescent="0.35">
      <c r="A306" t="s">
        <v>431</v>
      </c>
      <c r="B306" s="2">
        <v>45916</v>
      </c>
      <c r="C306" t="s">
        <v>111</v>
      </c>
      <c r="D306" t="s">
        <v>45</v>
      </c>
      <c r="E306" t="s">
        <v>46</v>
      </c>
      <c r="F306" t="s">
        <v>14</v>
      </c>
      <c r="G306">
        <v>5</v>
      </c>
      <c r="H306">
        <v>0.1</v>
      </c>
      <c r="I306">
        <v>81</v>
      </c>
      <c r="J306">
        <v>14.39</v>
      </c>
      <c r="K306" t="str">
        <f t="shared" si="12"/>
        <v>Office Supplies</v>
      </c>
      <c r="L306" t="str">
        <f t="shared" si="13"/>
        <v>Sept-2025</v>
      </c>
      <c r="M306" s="14">
        <f t="shared" si="14"/>
        <v>45901</v>
      </c>
    </row>
    <row r="307" spans="1:13" x14ac:dyDescent="0.35">
      <c r="A307" t="s">
        <v>432</v>
      </c>
      <c r="B307" s="2">
        <v>45723</v>
      </c>
      <c r="C307" t="s">
        <v>91</v>
      </c>
      <c r="D307" t="s">
        <v>12</v>
      </c>
      <c r="E307" t="s">
        <v>13</v>
      </c>
      <c r="F307" t="s">
        <v>25</v>
      </c>
      <c r="G307">
        <v>4</v>
      </c>
      <c r="H307">
        <v>0.1</v>
      </c>
      <c r="I307">
        <v>126</v>
      </c>
      <c r="J307">
        <v>23.65</v>
      </c>
      <c r="K307" t="str">
        <f t="shared" si="12"/>
        <v>Technology</v>
      </c>
      <c r="L307" t="str">
        <f t="shared" si="13"/>
        <v>Mar-2025</v>
      </c>
      <c r="M307" s="14">
        <f t="shared" si="14"/>
        <v>45717</v>
      </c>
    </row>
    <row r="308" spans="1:13" x14ac:dyDescent="0.35">
      <c r="A308" t="s">
        <v>433</v>
      </c>
      <c r="B308" s="2">
        <v>45731</v>
      </c>
      <c r="C308" t="s">
        <v>360</v>
      </c>
      <c r="D308" t="s">
        <v>21</v>
      </c>
      <c r="E308" t="s">
        <v>18</v>
      </c>
      <c r="F308" t="s">
        <v>14</v>
      </c>
      <c r="G308">
        <v>5</v>
      </c>
      <c r="H308">
        <v>0.2</v>
      </c>
      <c r="I308">
        <v>220</v>
      </c>
      <c r="J308">
        <v>69.86</v>
      </c>
      <c r="K308" t="str">
        <f t="shared" si="12"/>
        <v>Furniture</v>
      </c>
      <c r="L308" t="str">
        <f t="shared" si="13"/>
        <v>Mar-2025</v>
      </c>
      <c r="M308" s="14">
        <f t="shared" si="14"/>
        <v>45717</v>
      </c>
    </row>
    <row r="309" spans="1:13" x14ac:dyDescent="0.35">
      <c r="A309" t="s">
        <v>434</v>
      </c>
      <c r="B309" s="2">
        <v>45677</v>
      </c>
      <c r="C309" t="s">
        <v>251</v>
      </c>
      <c r="D309" t="s">
        <v>28</v>
      </c>
      <c r="E309" t="s">
        <v>18</v>
      </c>
      <c r="F309" t="s">
        <v>22</v>
      </c>
      <c r="G309">
        <v>3</v>
      </c>
      <c r="H309">
        <v>0.15</v>
      </c>
      <c r="I309">
        <v>714</v>
      </c>
      <c r="J309">
        <v>198.93</v>
      </c>
      <c r="K309" t="str">
        <f t="shared" si="12"/>
        <v>Furniture</v>
      </c>
      <c r="L309" t="str">
        <f t="shared" si="13"/>
        <v>Jan-2025</v>
      </c>
      <c r="M309" s="14">
        <f t="shared" si="14"/>
        <v>45658</v>
      </c>
    </row>
    <row r="310" spans="1:13" x14ac:dyDescent="0.35">
      <c r="A310" t="s">
        <v>435</v>
      </c>
      <c r="B310" s="2">
        <v>45825</v>
      </c>
      <c r="C310" t="s">
        <v>349</v>
      </c>
      <c r="D310" t="s">
        <v>83</v>
      </c>
      <c r="E310" t="s">
        <v>46</v>
      </c>
      <c r="F310" t="s">
        <v>25</v>
      </c>
      <c r="G310">
        <v>3</v>
      </c>
      <c r="H310">
        <v>0.05</v>
      </c>
      <c r="I310">
        <v>71.25</v>
      </c>
      <c r="J310">
        <v>22.82</v>
      </c>
      <c r="K310" t="str">
        <f t="shared" si="12"/>
        <v>Office Supplies</v>
      </c>
      <c r="L310" t="str">
        <f t="shared" si="13"/>
        <v>Jun-2025</v>
      </c>
      <c r="M310" s="14">
        <f t="shared" si="14"/>
        <v>45809</v>
      </c>
    </row>
    <row r="311" spans="1:13" x14ac:dyDescent="0.35">
      <c r="A311" t="s">
        <v>436</v>
      </c>
      <c r="B311" s="2">
        <v>45961</v>
      </c>
      <c r="C311" t="s">
        <v>34</v>
      </c>
      <c r="D311" t="s">
        <v>49</v>
      </c>
      <c r="E311" t="s">
        <v>13</v>
      </c>
      <c r="F311" t="s">
        <v>25</v>
      </c>
      <c r="G311">
        <v>5</v>
      </c>
      <c r="H311">
        <v>0.2</v>
      </c>
      <c r="I311">
        <v>280</v>
      </c>
      <c r="J311">
        <v>76.81</v>
      </c>
      <c r="K311" t="str">
        <f t="shared" si="12"/>
        <v>Technology</v>
      </c>
      <c r="L311" t="str">
        <f t="shared" si="13"/>
        <v>Oct-2025</v>
      </c>
      <c r="M311" s="14">
        <f t="shared" si="14"/>
        <v>45931</v>
      </c>
    </row>
    <row r="312" spans="1:13" x14ac:dyDescent="0.35">
      <c r="A312" t="s">
        <v>437</v>
      </c>
      <c r="B312" s="2">
        <v>45901</v>
      </c>
      <c r="C312" t="s">
        <v>178</v>
      </c>
      <c r="D312" t="s">
        <v>67</v>
      </c>
      <c r="E312" t="s">
        <v>13</v>
      </c>
      <c r="F312" t="s">
        <v>25</v>
      </c>
      <c r="G312">
        <v>3</v>
      </c>
      <c r="H312">
        <v>0.1</v>
      </c>
      <c r="I312">
        <v>3240</v>
      </c>
      <c r="J312">
        <v>737.57</v>
      </c>
      <c r="K312" t="str">
        <f t="shared" si="12"/>
        <v>Technology</v>
      </c>
      <c r="L312" t="str">
        <f t="shared" si="13"/>
        <v>Sept-2025</v>
      </c>
      <c r="M312" s="14">
        <f t="shared" si="14"/>
        <v>45901</v>
      </c>
    </row>
    <row r="313" spans="1:13" x14ac:dyDescent="0.35">
      <c r="A313" t="s">
        <v>438</v>
      </c>
      <c r="B313" s="2">
        <v>46010</v>
      </c>
      <c r="C313" t="s">
        <v>196</v>
      </c>
      <c r="D313" t="s">
        <v>38</v>
      </c>
      <c r="E313" t="s">
        <v>13</v>
      </c>
      <c r="F313" t="s">
        <v>22</v>
      </c>
      <c r="G313">
        <v>1</v>
      </c>
      <c r="H313">
        <v>0.2</v>
      </c>
      <c r="I313">
        <v>256</v>
      </c>
      <c r="J313">
        <v>75.11</v>
      </c>
      <c r="K313" t="str">
        <f t="shared" si="12"/>
        <v>Technology</v>
      </c>
      <c r="L313" t="str">
        <f t="shared" si="13"/>
        <v>Dec-2025</v>
      </c>
      <c r="M313" s="14">
        <f t="shared" si="14"/>
        <v>45992</v>
      </c>
    </row>
    <row r="314" spans="1:13" x14ac:dyDescent="0.35">
      <c r="A314" t="s">
        <v>439</v>
      </c>
      <c r="B314" s="2">
        <v>45684</v>
      </c>
      <c r="C314" t="s">
        <v>204</v>
      </c>
      <c r="D314" t="s">
        <v>83</v>
      </c>
      <c r="E314" t="s">
        <v>46</v>
      </c>
      <c r="F314" t="s">
        <v>50</v>
      </c>
      <c r="G314">
        <v>4</v>
      </c>
      <c r="H314">
        <v>0.05</v>
      </c>
      <c r="I314">
        <v>95</v>
      </c>
      <c r="J314">
        <v>26.32</v>
      </c>
      <c r="K314" t="str">
        <f t="shared" si="12"/>
        <v>Office Supplies</v>
      </c>
      <c r="L314" t="str">
        <f t="shared" si="13"/>
        <v>Jan-2025</v>
      </c>
      <c r="M314" s="14">
        <f t="shared" si="14"/>
        <v>45658</v>
      </c>
    </row>
    <row r="315" spans="1:13" x14ac:dyDescent="0.35">
      <c r="A315" t="s">
        <v>440</v>
      </c>
      <c r="B315" s="2">
        <v>45733</v>
      </c>
      <c r="C315" t="s">
        <v>135</v>
      </c>
      <c r="D315" t="s">
        <v>38</v>
      </c>
      <c r="E315" t="s">
        <v>13</v>
      </c>
      <c r="F315" t="s">
        <v>14</v>
      </c>
      <c r="G315">
        <v>2</v>
      </c>
      <c r="H315">
        <v>0</v>
      </c>
      <c r="I315">
        <v>640</v>
      </c>
      <c r="J315">
        <v>167.07</v>
      </c>
      <c r="K315" t="str">
        <f t="shared" si="12"/>
        <v>Technology</v>
      </c>
      <c r="L315" t="str">
        <f t="shared" si="13"/>
        <v>Mar-2025</v>
      </c>
      <c r="M315" s="14">
        <f t="shared" si="14"/>
        <v>45717</v>
      </c>
    </row>
    <row r="316" spans="1:13" x14ac:dyDescent="0.35">
      <c r="A316" t="s">
        <v>441</v>
      </c>
      <c r="B316" s="2">
        <v>45755</v>
      </c>
      <c r="C316" t="s">
        <v>87</v>
      </c>
      <c r="D316" t="s">
        <v>67</v>
      </c>
      <c r="E316" t="s">
        <v>13</v>
      </c>
      <c r="F316" t="s">
        <v>22</v>
      </c>
      <c r="G316">
        <v>4</v>
      </c>
      <c r="H316">
        <v>0.1</v>
      </c>
      <c r="I316">
        <v>4320</v>
      </c>
      <c r="J316">
        <v>1346.99</v>
      </c>
      <c r="K316" t="str">
        <f t="shared" si="12"/>
        <v>Technology</v>
      </c>
      <c r="L316" t="str">
        <f t="shared" si="13"/>
        <v>Apr-2025</v>
      </c>
      <c r="M316" s="14">
        <f t="shared" si="14"/>
        <v>45748</v>
      </c>
    </row>
    <row r="317" spans="1:13" x14ac:dyDescent="0.35">
      <c r="A317" t="s">
        <v>442</v>
      </c>
      <c r="B317" s="2">
        <v>45868</v>
      </c>
      <c r="C317" t="s">
        <v>133</v>
      </c>
      <c r="D317" t="s">
        <v>55</v>
      </c>
      <c r="E317" t="s">
        <v>46</v>
      </c>
      <c r="F317" t="s">
        <v>14</v>
      </c>
      <c r="G317">
        <v>5</v>
      </c>
      <c r="H317">
        <v>0.15</v>
      </c>
      <c r="I317">
        <v>1020</v>
      </c>
      <c r="J317">
        <v>165.21</v>
      </c>
      <c r="K317" t="str">
        <f t="shared" si="12"/>
        <v>Office Supplies</v>
      </c>
      <c r="L317" t="str">
        <f t="shared" si="13"/>
        <v>Jul-2025</v>
      </c>
      <c r="M317" s="14">
        <f t="shared" si="14"/>
        <v>45839</v>
      </c>
    </row>
    <row r="318" spans="1:13" x14ac:dyDescent="0.35">
      <c r="A318" t="s">
        <v>443</v>
      </c>
      <c r="B318" s="2">
        <v>46019</v>
      </c>
      <c r="C318" t="s">
        <v>145</v>
      </c>
      <c r="D318" t="s">
        <v>28</v>
      </c>
      <c r="E318" t="s">
        <v>18</v>
      </c>
      <c r="F318" t="s">
        <v>50</v>
      </c>
      <c r="G318">
        <v>5</v>
      </c>
      <c r="H318">
        <v>0.05</v>
      </c>
      <c r="I318">
        <v>1330</v>
      </c>
      <c r="J318">
        <v>352.33</v>
      </c>
      <c r="K318" t="str">
        <f t="shared" si="12"/>
        <v>Furniture</v>
      </c>
      <c r="L318" t="str">
        <f t="shared" si="13"/>
        <v>Dec-2025</v>
      </c>
      <c r="M318" s="14">
        <f t="shared" si="14"/>
        <v>45992</v>
      </c>
    </row>
    <row r="319" spans="1:13" x14ac:dyDescent="0.35">
      <c r="A319" t="s">
        <v>444</v>
      </c>
      <c r="B319" s="2">
        <v>45927</v>
      </c>
      <c r="C319" t="s">
        <v>42</v>
      </c>
      <c r="D319" t="s">
        <v>99</v>
      </c>
      <c r="E319" t="s">
        <v>18</v>
      </c>
      <c r="F319" t="s">
        <v>25</v>
      </c>
      <c r="G319">
        <v>3</v>
      </c>
      <c r="H319">
        <v>0.05</v>
      </c>
      <c r="I319">
        <v>541.5</v>
      </c>
      <c r="J319">
        <v>161.54</v>
      </c>
      <c r="K319" t="str">
        <f t="shared" si="12"/>
        <v>Furniture</v>
      </c>
      <c r="L319" t="str">
        <f t="shared" si="13"/>
        <v>Sept-2025</v>
      </c>
      <c r="M319" s="14">
        <f t="shared" si="14"/>
        <v>45901</v>
      </c>
    </row>
    <row r="320" spans="1:13" x14ac:dyDescent="0.35">
      <c r="A320" t="s">
        <v>445</v>
      </c>
      <c r="B320" s="2">
        <v>45937</v>
      </c>
      <c r="C320" t="s">
        <v>163</v>
      </c>
      <c r="D320" t="s">
        <v>49</v>
      </c>
      <c r="E320" t="s">
        <v>13</v>
      </c>
      <c r="F320" t="s">
        <v>25</v>
      </c>
      <c r="G320">
        <v>3</v>
      </c>
      <c r="H320">
        <v>0.2</v>
      </c>
      <c r="I320">
        <v>168</v>
      </c>
      <c r="J320">
        <v>48.76</v>
      </c>
      <c r="K320" t="str">
        <f t="shared" si="12"/>
        <v>Technology</v>
      </c>
      <c r="L320" t="str">
        <f t="shared" si="13"/>
        <v>Oct-2025</v>
      </c>
      <c r="M320" s="14">
        <f t="shared" si="14"/>
        <v>45931</v>
      </c>
    </row>
    <row r="321" spans="1:13" x14ac:dyDescent="0.35">
      <c r="A321" t="s">
        <v>446</v>
      </c>
      <c r="B321" s="2">
        <v>45943</v>
      </c>
      <c r="C321" t="s">
        <v>34</v>
      </c>
      <c r="D321" t="s">
        <v>35</v>
      </c>
      <c r="E321" t="s">
        <v>13</v>
      </c>
      <c r="F321" t="s">
        <v>22</v>
      </c>
      <c r="G321">
        <v>2</v>
      </c>
      <c r="H321">
        <v>0.1</v>
      </c>
      <c r="I321">
        <v>1530</v>
      </c>
      <c r="J321">
        <v>299.13</v>
      </c>
      <c r="K321" t="str">
        <f t="shared" si="12"/>
        <v>Technology</v>
      </c>
      <c r="L321" t="str">
        <f t="shared" si="13"/>
        <v>Oct-2025</v>
      </c>
      <c r="M321" s="14">
        <f t="shared" si="14"/>
        <v>45931</v>
      </c>
    </row>
    <row r="322" spans="1:13" x14ac:dyDescent="0.35">
      <c r="A322" t="s">
        <v>447</v>
      </c>
      <c r="B322" s="2">
        <v>46011</v>
      </c>
      <c r="C322" t="s">
        <v>20</v>
      </c>
      <c r="D322" t="s">
        <v>17</v>
      </c>
      <c r="E322" t="s">
        <v>18</v>
      </c>
      <c r="F322" t="s">
        <v>25</v>
      </c>
      <c r="G322">
        <v>4</v>
      </c>
      <c r="H322">
        <v>0.1</v>
      </c>
      <c r="I322">
        <v>756</v>
      </c>
      <c r="J322">
        <v>220.5</v>
      </c>
      <c r="K322" t="str">
        <f t="shared" ref="K322:K385" si="15">TRIM(E322)</f>
        <v>Furniture</v>
      </c>
      <c r="L322" t="str">
        <f t="shared" si="13"/>
        <v>Dec-2025</v>
      </c>
      <c r="M322" s="14">
        <f t="shared" si="14"/>
        <v>45992</v>
      </c>
    </row>
    <row r="323" spans="1:13" x14ac:dyDescent="0.35">
      <c r="A323" t="s">
        <v>448</v>
      </c>
      <c r="B323" s="2">
        <v>45805</v>
      </c>
      <c r="C323" t="s">
        <v>286</v>
      </c>
      <c r="D323" t="s">
        <v>12</v>
      </c>
      <c r="E323" t="s">
        <v>13</v>
      </c>
      <c r="F323" t="s">
        <v>25</v>
      </c>
      <c r="G323">
        <v>5</v>
      </c>
      <c r="H323">
        <v>0.2</v>
      </c>
      <c r="I323">
        <v>140</v>
      </c>
      <c r="J323">
        <v>45.46</v>
      </c>
      <c r="K323" t="str">
        <f t="shared" si="15"/>
        <v>Technology</v>
      </c>
      <c r="L323" t="str">
        <f t="shared" ref="L323:L386" si="16">TEXT(B323,"mmm-yyyy")</f>
        <v>May-2025</v>
      </c>
      <c r="M323" s="14">
        <f t="shared" ref="M323:M386" si="17">DATE(YEAR(B323),MONTH(B323),1)</f>
        <v>45778</v>
      </c>
    </row>
    <row r="324" spans="1:13" x14ac:dyDescent="0.35">
      <c r="A324" t="s">
        <v>449</v>
      </c>
      <c r="B324" s="2">
        <v>45732</v>
      </c>
      <c r="C324" t="s">
        <v>167</v>
      </c>
      <c r="D324" t="s">
        <v>35</v>
      </c>
      <c r="E324" t="s">
        <v>13</v>
      </c>
      <c r="F324" t="s">
        <v>25</v>
      </c>
      <c r="G324">
        <v>1</v>
      </c>
      <c r="H324">
        <v>0.1</v>
      </c>
      <c r="I324">
        <v>765</v>
      </c>
      <c r="J324">
        <v>103.08</v>
      </c>
      <c r="K324" t="str">
        <f t="shared" si="15"/>
        <v>Technology</v>
      </c>
      <c r="L324" t="str">
        <f t="shared" si="16"/>
        <v>Mar-2025</v>
      </c>
      <c r="M324" s="14">
        <f t="shared" si="17"/>
        <v>45717</v>
      </c>
    </row>
    <row r="325" spans="1:13" x14ac:dyDescent="0.35">
      <c r="A325" t="s">
        <v>450</v>
      </c>
      <c r="B325" s="2">
        <v>45884</v>
      </c>
      <c r="C325" t="s">
        <v>42</v>
      </c>
      <c r="D325" t="s">
        <v>38</v>
      </c>
      <c r="E325" t="s">
        <v>13</v>
      </c>
      <c r="F325" t="s">
        <v>25</v>
      </c>
      <c r="G325">
        <v>3</v>
      </c>
      <c r="H325">
        <v>0.15</v>
      </c>
      <c r="I325">
        <v>816</v>
      </c>
      <c r="J325">
        <v>309.58</v>
      </c>
      <c r="K325" t="str">
        <f t="shared" si="15"/>
        <v>Technology</v>
      </c>
      <c r="L325" t="str">
        <f t="shared" si="16"/>
        <v>Aug-2025</v>
      </c>
      <c r="M325" s="14">
        <f t="shared" si="17"/>
        <v>45870</v>
      </c>
    </row>
    <row r="326" spans="1:13" x14ac:dyDescent="0.35">
      <c r="A326" t="s">
        <v>451</v>
      </c>
      <c r="B326" s="2">
        <v>45945</v>
      </c>
      <c r="C326" t="s">
        <v>133</v>
      </c>
      <c r="D326" t="s">
        <v>17</v>
      </c>
      <c r="E326" t="s">
        <v>18</v>
      </c>
      <c r="F326" t="s">
        <v>22</v>
      </c>
      <c r="G326">
        <v>3</v>
      </c>
      <c r="H326">
        <v>0.05</v>
      </c>
      <c r="I326">
        <v>598.5</v>
      </c>
      <c r="J326">
        <v>247.75</v>
      </c>
      <c r="K326" t="str">
        <f t="shared" si="15"/>
        <v>Furniture</v>
      </c>
      <c r="L326" t="str">
        <f t="shared" si="16"/>
        <v>Oct-2025</v>
      </c>
      <c r="M326" s="14">
        <f t="shared" si="17"/>
        <v>45931</v>
      </c>
    </row>
    <row r="327" spans="1:13" x14ac:dyDescent="0.35">
      <c r="A327" t="s">
        <v>452</v>
      </c>
      <c r="B327" s="2">
        <v>45782</v>
      </c>
      <c r="C327" t="s">
        <v>217</v>
      </c>
      <c r="D327" t="s">
        <v>67</v>
      </c>
      <c r="E327" t="s">
        <v>13</v>
      </c>
      <c r="F327" t="s">
        <v>14</v>
      </c>
      <c r="G327">
        <v>5</v>
      </c>
      <c r="H327">
        <v>0.05</v>
      </c>
      <c r="I327">
        <v>5700</v>
      </c>
      <c r="J327">
        <v>1365.03</v>
      </c>
      <c r="K327" t="str">
        <f t="shared" si="15"/>
        <v>Technology</v>
      </c>
      <c r="L327" t="str">
        <f t="shared" si="16"/>
        <v>May-2025</v>
      </c>
      <c r="M327" s="14">
        <f t="shared" si="17"/>
        <v>45778</v>
      </c>
    </row>
    <row r="328" spans="1:13" x14ac:dyDescent="0.35">
      <c r="A328" t="s">
        <v>453</v>
      </c>
      <c r="B328" s="2">
        <v>45869</v>
      </c>
      <c r="C328" t="s">
        <v>11</v>
      </c>
      <c r="D328" t="s">
        <v>49</v>
      </c>
      <c r="E328" t="s">
        <v>13</v>
      </c>
      <c r="F328" t="s">
        <v>14</v>
      </c>
      <c r="G328">
        <v>4</v>
      </c>
      <c r="H328">
        <v>0</v>
      </c>
      <c r="I328">
        <v>280</v>
      </c>
      <c r="J328">
        <v>63.06</v>
      </c>
      <c r="K328" t="str">
        <f t="shared" si="15"/>
        <v>Technology</v>
      </c>
      <c r="L328" t="str">
        <f t="shared" si="16"/>
        <v>Jul-2025</v>
      </c>
      <c r="M328" s="14">
        <f t="shared" si="17"/>
        <v>45839</v>
      </c>
    </row>
    <row r="329" spans="1:13" x14ac:dyDescent="0.35">
      <c r="A329" t="s">
        <v>454</v>
      </c>
      <c r="B329" s="2">
        <v>45939</v>
      </c>
      <c r="C329" t="s">
        <v>181</v>
      </c>
      <c r="D329" t="s">
        <v>28</v>
      </c>
      <c r="E329" t="s">
        <v>18</v>
      </c>
      <c r="F329" t="s">
        <v>25</v>
      </c>
      <c r="G329">
        <v>4</v>
      </c>
      <c r="H329">
        <v>0.15</v>
      </c>
      <c r="I329">
        <v>952</v>
      </c>
      <c r="J329">
        <v>278.39999999999998</v>
      </c>
      <c r="K329" t="str">
        <f t="shared" si="15"/>
        <v>Furniture</v>
      </c>
      <c r="L329" t="str">
        <f t="shared" si="16"/>
        <v>Oct-2025</v>
      </c>
      <c r="M329" s="14">
        <f t="shared" si="17"/>
        <v>45931</v>
      </c>
    </row>
    <row r="330" spans="1:13" x14ac:dyDescent="0.35">
      <c r="A330" t="s">
        <v>455</v>
      </c>
      <c r="B330" s="2">
        <v>45822</v>
      </c>
      <c r="C330" t="s">
        <v>37</v>
      </c>
      <c r="D330" t="s">
        <v>35</v>
      </c>
      <c r="E330" t="s">
        <v>13</v>
      </c>
      <c r="F330" t="s">
        <v>14</v>
      </c>
      <c r="G330">
        <v>1</v>
      </c>
      <c r="H330">
        <v>0</v>
      </c>
      <c r="I330">
        <v>850</v>
      </c>
      <c r="J330">
        <v>199.53</v>
      </c>
      <c r="K330" t="str">
        <f t="shared" si="15"/>
        <v>Technology</v>
      </c>
      <c r="L330" t="str">
        <f t="shared" si="16"/>
        <v>Jun-2025</v>
      </c>
      <c r="M330" s="14">
        <f t="shared" si="17"/>
        <v>45809</v>
      </c>
    </row>
    <row r="331" spans="1:13" x14ac:dyDescent="0.35">
      <c r="A331" t="s">
        <v>456</v>
      </c>
      <c r="B331" s="2">
        <v>45747</v>
      </c>
      <c r="C331" t="s">
        <v>286</v>
      </c>
      <c r="D331" t="s">
        <v>99</v>
      </c>
      <c r="E331" t="s">
        <v>18</v>
      </c>
      <c r="F331" t="s">
        <v>50</v>
      </c>
      <c r="G331">
        <v>2</v>
      </c>
      <c r="H331">
        <v>0</v>
      </c>
      <c r="I331">
        <v>380</v>
      </c>
      <c r="J331">
        <v>45.95</v>
      </c>
      <c r="K331" t="str">
        <f t="shared" si="15"/>
        <v>Furniture</v>
      </c>
      <c r="L331" t="str">
        <f t="shared" si="16"/>
        <v>Mar-2025</v>
      </c>
      <c r="M331" s="14">
        <f t="shared" si="17"/>
        <v>45717</v>
      </c>
    </row>
    <row r="332" spans="1:13" x14ac:dyDescent="0.35">
      <c r="A332" t="s">
        <v>457</v>
      </c>
      <c r="B332" s="2">
        <v>45753</v>
      </c>
      <c r="C332" t="s">
        <v>73</v>
      </c>
      <c r="D332" t="s">
        <v>17</v>
      </c>
      <c r="E332" t="s">
        <v>18</v>
      </c>
      <c r="F332" t="s">
        <v>14</v>
      </c>
      <c r="G332">
        <v>3</v>
      </c>
      <c r="H332">
        <v>0</v>
      </c>
      <c r="I332">
        <v>630</v>
      </c>
      <c r="J332">
        <v>281.57</v>
      </c>
      <c r="K332" t="str">
        <f t="shared" si="15"/>
        <v>Furniture</v>
      </c>
      <c r="L332" t="str">
        <f t="shared" si="16"/>
        <v>Apr-2025</v>
      </c>
      <c r="M332" s="14">
        <f t="shared" si="17"/>
        <v>45748</v>
      </c>
    </row>
    <row r="333" spans="1:13" x14ac:dyDescent="0.35">
      <c r="A333" t="s">
        <v>458</v>
      </c>
      <c r="B333" s="2">
        <v>45829</v>
      </c>
      <c r="C333" t="s">
        <v>11</v>
      </c>
      <c r="D333" t="s">
        <v>35</v>
      </c>
      <c r="E333" t="s">
        <v>13</v>
      </c>
      <c r="F333" t="s">
        <v>50</v>
      </c>
      <c r="G333">
        <v>4</v>
      </c>
      <c r="H333">
        <v>0.2</v>
      </c>
      <c r="I333">
        <v>2720</v>
      </c>
      <c r="J333">
        <v>753.37</v>
      </c>
      <c r="K333" t="str">
        <f t="shared" si="15"/>
        <v>Technology</v>
      </c>
      <c r="L333" t="str">
        <f t="shared" si="16"/>
        <v>Jun-2025</v>
      </c>
      <c r="M333" s="14">
        <f t="shared" si="17"/>
        <v>45809</v>
      </c>
    </row>
    <row r="334" spans="1:13" x14ac:dyDescent="0.35">
      <c r="A334" t="s">
        <v>459</v>
      </c>
      <c r="B334" s="2">
        <v>45797</v>
      </c>
      <c r="C334" t="s">
        <v>101</v>
      </c>
      <c r="D334" t="s">
        <v>21</v>
      </c>
      <c r="E334" t="s">
        <v>18</v>
      </c>
      <c r="F334" t="s">
        <v>25</v>
      </c>
      <c r="G334">
        <v>1</v>
      </c>
      <c r="H334">
        <v>0.1</v>
      </c>
      <c r="I334">
        <v>49.5</v>
      </c>
      <c r="J334">
        <v>19.62</v>
      </c>
      <c r="K334" t="str">
        <f t="shared" si="15"/>
        <v>Furniture</v>
      </c>
      <c r="L334" t="str">
        <f t="shared" si="16"/>
        <v>May-2025</v>
      </c>
      <c r="M334" s="14">
        <f t="shared" si="17"/>
        <v>45778</v>
      </c>
    </row>
    <row r="335" spans="1:13" x14ac:dyDescent="0.35">
      <c r="A335" t="s">
        <v>460</v>
      </c>
      <c r="B335" s="2">
        <v>45753</v>
      </c>
      <c r="C335" t="s">
        <v>57</v>
      </c>
      <c r="D335" t="s">
        <v>67</v>
      </c>
      <c r="E335" t="s">
        <v>13</v>
      </c>
      <c r="F335" t="s">
        <v>22</v>
      </c>
      <c r="G335">
        <v>3</v>
      </c>
      <c r="H335">
        <v>0.1</v>
      </c>
      <c r="I335">
        <v>3240</v>
      </c>
      <c r="J335">
        <v>850.93</v>
      </c>
      <c r="K335" t="str">
        <f t="shared" si="15"/>
        <v>Technology</v>
      </c>
      <c r="L335" t="str">
        <f t="shared" si="16"/>
        <v>Apr-2025</v>
      </c>
      <c r="M335" s="14">
        <f t="shared" si="17"/>
        <v>45748</v>
      </c>
    </row>
    <row r="336" spans="1:13" x14ac:dyDescent="0.35">
      <c r="A336" t="s">
        <v>461</v>
      </c>
      <c r="B336" s="2">
        <v>45747</v>
      </c>
      <c r="C336" t="s">
        <v>315</v>
      </c>
      <c r="D336" t="s">
        <v>83</v>
      </c>
      <c r="E336" t="s">
        <v>46</v>
      </c>
      <c r="F336" t="s">
        <v>50</v>
      </c>
      <c r="G336">
        <v>4</v>
      </c>
      <c r="H336">
        <v>0.15</v>
      </c>
      <c r="I336">
        <v>85</v>
      </c>
      <c r="J336">
        <v>23.8</v>
      </c>
      <c r="K336" t="str">
        <f t="shared" si="15"/>
        <v>Office Supplies</v>
      </c>
      <c r="L336" t="str">
        <f t="shared" si="16"/>
        <v>Mar-2025</v>
      </c>
      <c r="M336" s="14">
        <f t="shared" si="17"/>
        <v>45717</v>
      </c>
    </row>
    <row r="337" spans="1:13" x14ac:dyDescent="0.35">
      <c r="A337" t="s">
        <v>462</v>
      </c>
      <c r="B337" s="2">
        <v>46000</v>
      </c>
      <c r="C337" t="s">
        <v>163</v>
      </c>
      <c r="D337" t="s">
        <v>12</v>
      </c>
      <c r="E337" t="s">
        <v>13</v>
      </c>
      <c r="F337" t="s">
        <v>14</v>
      </c>
      <c r="G337">
        <v>2</v>
      </c>
      <c r="H337">
        <v>0.05</v>
      </c>
      <c r="I337">
        <v>66.5</v>
      </c>
      <c r="J337">
        <v>19.45</v>
      </c>
      <c r="K337" t="str">
        <f t="shared" si="15"/>
        <v>Technology</v>
      </c>
      <c r="L337" t="str">
        <f t="shared" si="16"/>
        <v>Dec-2025</v>
      </c>
      <c r="M337" s="14">
        <f t="shared" si="17"/>
        <v>45992</v>
      </c>
    </row>
    <row r="338" spans="1:13" x14ac:dyDescent="0.35">
      <c r="A338" t="s">
        <v>463</v>
      </c>
      <c r="B338" s="2">
        <v>45791</v>
      </c>
      <c r="C338" t="s">
        <v>241</v>
      </c>
      <c r="D338" t="s">
        <v>99</v>
      </c>
      <c r="E338" t="s">
        <v>18</v>
      </c>
      <c r="F338" t="s">
        <v>25</v>
      </c>
      <c r="G338">
        <v>2</v>
      </c>
      <c r="H338">
        <v>0.15</v>
      </c>
      <c r="I338">
        <v>323</v>
      </c>
      <c r="J338">
        <v>65.010000000000005</v>
      </c>
      <c r="K338" t="str">
        <f t="shared" si="15"/>
        <v>Furniture</v>
      </c>
      <c r="L338" t="str">
        <f t="shared" si="16"/>
        <v>May-2025</v>
      </c>
      <c r="M338" s="14">
        <f t="shared" si="17"/>
        <v>45778</v>
      </c>
    </row>
    <row r="339" spans="1:13" x14ac:dyDescent="0.35">
      <c r="A339" t="s">
        <v>464</v>
      </c>
      <c r="B339" s="2">
        <v>45956</v>
      </c>
      <c r="C339" t="s">
        <v>194</v>
      </c>
      <c r="D339" t="s">
        <v>17</v>
      </c>
      <c r="E339" t="s">
        <v>18</v>
      </c>
      <c r="F339" t="s">
        <v>22</v>
      </c>
      <c r="G339">
        <v>5</v>
      </c>
      <c r="H339">
        <v>0</v>
      </c>
      <c r="I339">
        <v>1050</v>
      </c>
      <c r="J339">
        <v>381.87</v>
      </c>
      <c r="K339" t="str">
        <f t="shared" si="15"/>
        <v>Furniture</v>
      </c>
      <c r="L339" t="str">
        <f t="shared" si="16"/>
        <v>Oct-2025</v>
      </c>
      <c r="M339" s="14">
        <f t="shared" si="17"/>
        <v>45931</v>
      </c>
    </row>
    <row r="340" spans="1:13" x14ac:dyDescent="0.35">
      <c r="A340" t="s">
        <v>465</v>
      </c>
      <c r="B340" s="2">
        <v>45689</v>
      </c>
      <c r="C340" t="s">
        <v>98</v>
      </c>
      <c r="D340" t="s">
        <v>38</v>
      </c>
      <c r="E340" t="s">
        <v>13</v>
      </c>
      <c r="F340" t="s">
        <v>25</v>
      </c>
      <c r="G340">
        <v>1</v>
      </c>
      <c r="H340">
        <v>0.15</v>
      </c>
      <c r="I340">
        <v>272</v>
      </c>
      <c r="J340">
        <v>94.86</v>
      </c>
      <c r="K340" t="str">
        <f t="shared" si="15"/>
        <v>Technology</v>
      </c>
      <c r="L340" t="str">
        <f t="shared" si="16"/>
        <v>Feb-2025</v>
      </c>
      <c r="M340" s="14">
        <f t="shared" si="17"/>
        <v>45689</v>
      </c>
    </row>
    <row r="341" spans="1:13" x14ac:dyDescent="0.35">
      <c r="A341" t="s">
        <v>466</v>
      </c>
      <c r="B341" s="2">
        <v>46011</v>
      </c>
      <c r="C341" t="s">
        <v>224</v>
      </c>
      <c r="D341" t="s">
        <v>12</v>
      </c>
      <c r="E341" t="s">
        <v>13</v>
      </c>
      <c r="F341" t="s">
        <v>22</v>
      </c>
      <c r="G341">
        <v>3</v>
      </c>
      <c r="H341">
        <v>0.1</v>
      </c>
      <c r="I341">
        <v>94.5</v>
      </c>
      <c r="J341">
        <v>23.36</v>
      </c>
      <c r="K341" t="str">
        <f t="shared" si="15"/>
        <v>Technology</v>
      </c>
      <c r="L341" t="str">
        <f t="shared" si="16"/>
        <v>Dec-2025</v>
      </c>
      <c r="M341" s="14">
        <f t="shared" si="17"/>
        <v>45992</v>
      </c>
    </row>
    <row r="342" spans="1:13" x14ac:dyDescent="0.35">
      <c r="A342" t="s">
        <v>467</v>
      </c>
      <c r="B342" s="2">
        <v>45902</v>
      </c>
      <c r="C342" t="s">
        <v>135</v>
      </c>
      <c r="D342" t="s">
        <v>28</v>
      </c>
      <c r="E342" t="s">
        <v>18</v>
      </c>
      <c r="F342" t="s">
        <v>50</v>
      </c>
      <c r="G342">
        <v>4</v>
      </c>
      <c r="H342">
        <v>0.2</v>
      </c>
      <c r="I342">
        <v>896</v>
      </c>
      <c r="J342">
        <v>292.73</v>
      </c>
      <c r="K342" t="str">
        <f t="shared" si="15"/>
        <v>Furniture</v>
      </c>
      <c r="L342" t="str">
        <f t="shared" si="16"/>
        <v>Sept-2025</v>
      </c>
      <c r="M342" s="14">
        <f t="shared" si="17"/>
        <v>45901</v>
      </c>
    </row>
    <row r="343" spans="1:13" x14ac:dyDescent="0.35">
      <c r="A343" t="s">
        <v>468</v>
      </c>
      <c r="B343" s="2">
        <v>45933</v>
      </c>
      <c r="C343" t="s">
        <v>202</v>
      </c>
      <c r="D343" t="s">
        <v>38</v>
      </c>
      <c r="E343" t="s">
        <v>13</v>
      </c>
      <c r="F343" t="s">
        <v>14</v>
      </c>
      <c r="G343">
        <v>2</v>
      </c>
      <c r="H343">
        <v>0.05</v>
      </c>
      <c r="I343">
        <v>608</v>
      </c>
      <c r="J343">
        <v>137.1</v>
      </c>
      <c r="K343" t="str">
        <f t="shared" si="15"/>
        <v>Technology</v>
      </c>
      <c r="L343" t="str">
        <f t="shared" si="16"/>
        <v>Oct-2025</v>
      </c>
      <c r="M343" s="14">
        <f t="shared" si="17"/>
        <v>45931</v>
      </c>
    </row>
    <row r="344" spans="1:13" x14ac:dyDescent="0.35">
      <c r="A344" t="s">
        <v>469</v>
      </c>
      <c r="B344" s="2">
        <v>45927</v>
      </c>
      <c r="C344" t="s">
        <v>73</v>
      </c>
      <c r="D344" t="s">
        <v>45</v>
      </c>
      <c r="E344" t="s">
        <v>46</v>
      </c>
      <c r="F344" t="s">
        <v>14</v>
      </c>
      <c r="G344">
        <v>5</v>
      </c>
      <c r="H344">
        <v>0.1</v>
      </c>
      <c r="I344">
        <v>81</v>
      </c>
      <c r="J344">
        <v>34.36</v>
      </c>
      <c r="K344" t="str">
        <f t="shared" si="15"/>
        <v>Office Supplies</v>
      </c>
      <c r="L344" t="str">
        <f t="shared" si="16"/>
        <v>Sept-2025</v>
      </c>
      <c r="M344" s="14">
        <f t="shared" si="17"/>
        <v>45901</v>
      </c>
    </row>
    <row r="345" spans="1:13" x14ac:dyDescent="0.35">
      <c r="A345" t="s">
        <v>470</v>
      </c>
      <c r="B345" s="2">
        <v>45689</v>
      </c>
      <c r="C345" t="s">
        <v>251</v>
      </c>
      <c r="D345" t="s">
        <v>55</v>
      </c>
      <c r="E345" t="s">
        <v>46</v>
      </c>
      <c r="F345" t="s">
        <v>22</v>
      </c>
      <c r="G345">
        <v>5</v>
      </c>
      <c r="H345">
        <v>0.05</v>
      </c>
      <c r="I345">
        <v>1140</v>
      </c>
      <c r="J345">
        <v>297.55</v>
      </c>
      <c r="K345" t="str">
        <f t="shared" si="15"/>
        <v>Office Supplies</v>
      </c>
      <c r="L345" t="str">
        <f t="shared" si="16"/>
        <v>Feb-2025</v>
      </c>
      <c r="M345" s="14">
        <f t="shared" si="17"/>
        <v>45689</v>
      </c>
    </row>
    <row r="346" spans="1:13" x14ac:dyDescent="0.35">
      <c r="A346" t="s">
        <v>471</v>
      </c>
      <c r="B346" s="2">
        <v>45825</v>
      </c>
      <c r="C346" t="s">
        <v>165</v>
      </c>
      <c r="D346" t="s">
        <v>55</v>
      </c>
      <c r="E346" t="s">
        <v>46</v>
      </c>
      <c r="F346" t="s">
        <v>50</v>
      </c>
      <c r="G346">
        <v>4</v>
      </c>
      <c r="H346">
        <v>0</v>
      </c>
      <c r="I346">
        <v>960</v>
      </c>
      <c r="J346">
        <v>216.48</v>
      </c>
      <c r="K346" t="str">
        <f t="shared" si="15"/>
        <v>Office Supplies</v>
      </c>
      <c r="L346" t="str">
        <f t="shared" si="16"/>
        <v>Jun-2025</v>
      </c>
      <c r="M346" s="14">
        <f t="shared" si="17"/>
        <v>45809</v>
      </c>
    </row>
    <row r="347" spans="1:13" x14ac:dyDescent="0.35">
      <c r="A347" t="s">
        <v>472</v>
      </c>
      <c r="B347" s="2">
        <v>45704</v>
      </c>
      <c r="C347" t="s">
        <v>107</v>
      </c>
      <c r="D347" t="s">
        <v>55</v>
      </c>
      <c r="E347" t="s">
        <v>46</v>
      </c>
      <c r="F347" t="s">
        <v>50</v>
      </c>
      <c r="G347">
        <v>4</v>
      </c>
      <c r="H347">
        <v>0</v>
      </c>
      <c r="I347">
        <v>960</v>
      </c>
      <c r="J347">
        <v>288.35000000000002</v>
      </c>
      <c r="K347" t="str">
        <f t="shared" si="15"/>
        <v>Office Supplies</v>
      </c>
      <c r="L347" t="str">
        <f t="shared" si="16"/>
        <v>Feb-2025</v>
      </c>
      <c r="M347" s="14">
        <f t="shared" si="17"/>
        <v>45689</v>
      </c>
    </row>
    <row r="348" spans="1:13" x14ac:dyDescent="0.35">
      <c r="A348" t="s">
        <v>473</v>
      </c>
      <c r="B348" s="2">
        <v>45891</v>
      </c>
      <c r="C348" t="s">
        <v>187</v>
      </c>
      <c r="D348" t="s">
        <v>83</v>
      </c>
      <c r="E348" t="s">
        <v>46</v>
      </c>
      <c r="F348" t="s">
        <v>14</v>
      </c>
      <c r="G348">
        <v>1</v>
      </c>
      <c r="H348">
        <v>0.2</v>
      </c>
      <c r="I348">
        <v>20</v>
      </c>
      <c r="J348">
        <v>5.95</v>
      </c>
      <c r="K348" t="str">
        <f t="shared" si="15"/>
        <v>Office Supplies</v>
      </c>
      <c r="L348" t="str">
        <f t="shared" si="16"/>
        <v>Aug-2025</v>
      </c>
      <c r="M348" s="14">
        <f t="shared" si="17"/>
        <v>45870</v>
      </c>
    </row>
    <row r="349" spans="1:13" x14ac:dyDescent="0.35">
      <c r="A349" t="s">
        <v>474</v>
      </c>
      <c r="B349" s="2">
        <v>45860</v>
      </c>
      <c r="C349" t="s">
        <v>360</v>
      </c>
      <c r="D349" t="s">
        <v>35</v>
      </c>
      <c r="E349" t="s">
        <v>13</v>
      </c>
      <c r="F349" t="s">
        <v>50</v>
      </c>
      <c r="G349">
        <v>1</v>
      </c>
      <c r="H349">
        <v>0.05</v>
      </c>
      <c r="I349">
        <v>807.5</v>
      </c>
      <c r="J349">
        <v>209.27</v>
      </c>
      <c r="K349" t="str">
        <f t="shared" si="15"/>
        <v>Technology</v>
      </c>
      <c r="L349" t="str">
        <f t="shared" si="16"/>
        <v>Jul-2025</v>
      </c>
      <c r="M349" s="14">
        <f t="shared" si="17"/>
        <v>45839</v>
      </c>
    </row>
    <row r="350" spans="1:13" x14ac:dyDescent="0.35">
      <c r="A350" t="s">
        <v>475</v>
      </c>
      <c r="B350" s="2">
        <v>45834</v>
      </c>
      <c r="C350" t="s">
        <v>80</v>
      </c>
      <c r="D350" t="s">
        <v>17</v>
      </c>
      <c r="E350" t="s">
        <v>18</v>
      </c>
      <c r="F350" t="s">
        <v>50</v>
      </c>
      <c r="G350">
        <v>1</v>
      </c>
      <c r="H350">
        <v>0.2</v>
      </c>
      <c r="I350">
        <v>168</v>
      </c>
      <c r="J350">
        <v>20.49</v>
      </c>
      <c r="K350" t="str">
        <f t="shared" si="15"/>
        <v>Furniture</v>
      </c>
      <c r="L350" t="str">
        <f t="shared" si="16"/>
        <v>Jun-2025</v>
      </c>
      <c r="M350" s="14">
        <f t="shared" si="17"/>
        <v>45809</v>
      </c>
    </row>
    <row r="351" spans="1:13" x14ac:dyDescent="0.35">
      <c r="A351" t="s">
        <v>476</v>
      </c>
      <c r="B351" s="2">
        <v>45674</v>
      </c>
      <c r="C351" t="s">
        <v>158</v>
      </c>
      <c r="D351" t="s">
        <v>35</v>
      </c>
      <c r="E351" t="s">
        <v>13</v>
      </c>
      <c r="F351" t="s">
        <v>50</v>
      </c>
      <c r="G351">
        <v>4</v>
      </c>
      <c r="H351">
        <v>0.05</v>
      </c>
      <c r="I351">
        <v>3230</v>
      </c>
      <c r="J351">
        <v>633.85</v>
      </c>
      <c r="K351" t="str">
        <f t="shared" si="15"/>
        <v>Technology</v>
      </c>
      <c r="L351" t="str">
        <f t="shared" si="16"/>
        <v>Jan-2025</v>
      </c>
      <c r="M351" s="14">
        <f t="shared" si="17"/>
        <v>45658</v>
      </c>
    </row>
    <row r="352" spans="1:13" x14ac:dyDescent="0.35">
      <c r="A352" t="s">
        <v>477</v>
      </c>
      <c r="B352" s="2">
        <v>45849</v>
      </c>
      <c r="C352" t="s">
        <v>278</v>
      </c>
      <c r="D352" t="s">
        <v>99</v>
      </c>
      <c r="E352" t="s">
        <v>18</v>
      </c>
      <c r="F352" t="s">
        <v>22</v>
      </c>
      <c r="G352">
        <v>4</v>
      </c>
      <c r="H352">
        <v>0.15</v>
      </c>
      <c r="I352">
        <v>646</v>
      </c>
      <c r="J352">
        <v>210.62</v>
      </c>
      <c r="K352" t="str">
        <f t="shared" si="15"/>
        <v>Furniture</v>
      </c>
      <c r="L352" t="str">
        <f t="shared" si="16"/>
        <v>Jul-2025</v>
      </c>
      <c r="M352" s="14">
        <f t="shared" si="17"/>
        <v>45839</v>
      </c>
    </row>
    <row r="353" spans="1:13" x14ac:dyDescent="0.35">
      <c r="A353" t="s">
        <v>478</v>
      </c>
      <c r="B353" s="2">
        <v>45992</v>
      </c>
      <c r="C353" t="s">
        <v>286</v>
      </c>
      <c r="D353" t="s">
        <v>49</v>
      </c>
      <c r="E353" t="s">
        <v>13</v>
      </c>
      <c r="F353" t="s">
        <v>22</v>
      </c>
      <c r="G353">
        <v>1</v>
      </c>
      <c r="H353">
        <v>0.05</v>
      </c>
      <c r="I353">
        <v>66.5</v>
      </c>
      <c r="J353">
        <v>8.14</v>
      </c>
      <c r="K353" t="str">
        <f t="shared" si="15"/>
        <v>Technology</v>
      </c>
      <c r="L353" t="str">
        <f t="shared" si="16"/>
        <v>Dec-2025</v>
      </c>
      <c r="M353" s="14">
        <f t="shared" si="17"/>
        <v>45992</v>
      </c>
    </row>
    <row r="354" spans="1:13" x14ac:dyDescent="0.35">
      <c r="A354" t="s">
        <v>479</v>
      </c>
      <c r="B354" s="2">
        <v>45772</v>
      </c>
      <c r="C354" t="s">
        <v>204</v>
      </c>
      <c r="D354" t="s">
        <v>67</v>
      </c>
      <c r="E354" t="s">
        <v>13</v>
      </c>
      <c r="F354" t="s">
        <v>50</v>
      </c>
      <c r="G354">
        <v>1</v>
      </c>
      <c r="H354">
        <v>0.1</v>
      </c>
      <c r="I354">
        <v>1080</v>
      </c>
      <c r="J354">
        <v>320.99</v>
      </c>
      <c r="K354" t="str">
        <f t="shared" si="15"/>
        <v>Technology</v>
      </c>
      <c r="L354" t="str">
        <f t="shared" si="16"/>
        <v>Apr-2025</v>
      </c>
      <c r="M354" s="14">
        <f t="shared" si="17"/>
        <v>45748</v>
      </c>
    </row>
    <row r="355" spans="1:13" x14ac:dyDescent="0.35">
      <c r="A355" t="s">
        <v>480</v>
      </c>
      <c r="B355" s="2">
        <v>45930</v>
      </c>
      <c r="C355" t="s">
        <v>251</v>
      </c>
      <c r="D355" t="s">
        <v>99</v>
      </c>
      <c r="E355" t="s">
        <v>18</v>
      </c>
      <c r="F355" t="s">
        <v>25</v>
      </c>
      <c r="G355">
        <v>2</v>
      </c>
      <c r="H355">
        <v>0.05</v>
      </c>
      <c r="I355">
        <v>361</v>
      </c>
      <c r="J355">
        <v>107.58</v>
      </c>
      <c r="K355" t="str">
        <f t="shared" si="15"/>
        <v>Furniture</v>
      </c>
      <c r="L355" t="str">
        <f t="shared" si="16"/>
        <v>Sept-2025</v>
      </c>
      <c r="M355" s="14">
        <f t="shared" si="17"/>
        <v>45901</v>
      </c>
    </row>
    <row r="356" spans="1:13" x14ac:dyDescent="0.35">
      <c r="A356" t="s">
        <v>481</v>
      </c>
      <c r="B356" s="2">
        <v>45754</v>
      </c>
      <c r="C356" t="s">
        <v>178</v>
      </c>
      <c r="D356" t="s">
        <v>17</v>
      </c>
      <c r="E356" t="s">
        <v>18</v>
      </c>
      <c r="F356" t="s">
        <v>14</v>
      </c>
      <c r="G356">
        <v>1</v>
      </c>
      <c r="H356">
        <v>0</v>
      </c>
      <c r="I356">
        <v>210</v>
      </c>
      <c r="J356">
        <v>38.4</v>
      </c>
      <c r="K356" t="str">
        <f t="shared" si="15"/>
        <v>Furniture</v>
      </c>
      <c r="L356" t="str">
        <f t="shared" si="16"/>
        <v>Apr-2025</v>
      </c>
      <c r="M356" s="14">
        <f t="shared" si="17"/>
        <v>45748</v>
      </c>
    </row>
    <row r="357" spans="1:13" x14ac:dyDescent="0.35">
      <c r="A357" t="s">
        <v>482</v>
      </c>
      <c r="B357" s="2">
        <v>45781</v>
      </c>
      <c r="C357" t="s">
        <v>483</v>
      </c>
      <c r="D357" t="s">
        <v>21</v>
      </c>
      <c r="E357" t="s">
        <v>18</v>
      </c>
      <c r="F357" t="s">
        <v>14</v>
      </c>
      <c r="G357">
        <v>1</v>
      </c>
      <c r="H357">
        <v>0</v>
      </c>
      <c r="I357">
        <v>55</v>
      </c>
      <c r="J357">
        <v>13.97</v>
      </c>
      <c r="K357" t="str">
        <f t="shared" si="15"/>
        <v>Furniture</v>
      </c>
      <c r="L357" t="str">
        <f t="shared" si="16"/>
        <v>May-2025</v>
      </c>
      <c r="M357" s="14">
        <f t="shared" si="17"/>
        <v>45778</v>
      </c>
    </row>
    <row r="358" spans="1:13" x14ac:dyDescent="0.35">
      <c r="A358" t="s">
        <v>484</v>
      </c>
      <c r="B358" s="2">
        <v>45783</v>
      </c>
      <c r="C358" t="s">
        <v>119</v>
      </c>
      <c r="D358" t="s">
        <v>17</v>
      </c>
      <c r="E358" t="s">
        <v>18</v>
      </c>
      <c r="F358" t="s">
        <v>22</v>
      </c>
      <c r="G358">
        <v>1</v>
      </c>
      <c r="H358">
        <v>0.15</v>
      </c>
      <c r="I358">
        <v>178.5</v>
      </c>
      <c r="J358">
        <v>54.47</v>
      </c>
      <c r="K358" t="str">
        <f t="shared" si="15"/>
        <v>Furniture</v>
      </c>
      <c r="L358" t="str">
        <f t="shared" si="16"/>
        <v>May-2025</v>
      </c>
      <c r="M358" s="14">
        <f t="shared" si="17"/>
        <v>45778</v>
      </c>
    </row>
    <row r="359" spans="1:13" x14ac:dyDescent="0.35">
      <c r="A359" t="s">
        <v>485</v>
      </c>
      <c r="B359" s="2">
        <v>45686</v>
      </c>
      <c r="C359" t="s">
        <v>198</v>
      </c>
      <c r="D359" t="s">
        <v>28</v>
      </c>
      <c r="E359" t="s">
        <v>18</v>
      </c>
      <c r="F359" t="s">
        <v>25</v>
      </c>
      <c r="G359">
        <v>5</v>
      </c>
      <c r="H359">
        <v>0.1</v>
      </c>
      <c r="I359">
        <v>1260</v>
      </c>
      <c r="J359">
        <v>469.64</v>
      </c>
      <c r="K359" t="str">
        <f t="shared" si="15"/>
        <v>Furniture</v>
      </c>
      <c r="L359" t="str">
        <f t="shared" si="16"/>
        <v>Jan-2025</v>
      </c>
      <c r="M359" s="14">
        <f t="shared" si="17"/>
        <v>45658</v>
      </c>
    </row>
    <row r="360" spans="1:13" x14ac:dyDescent="0.35">
      <c r="A360" t="s">
        <v>486</v>
      </c>
      <c r="B360" s="2">
        <v>45953</v>
      </c>
      <c r="C360" t="s">
        <v>154</v>
      </c>
      <c r="D360" t="s">
        <v>83</v>
      </c>
      <c r="E360" t="s">
        <v>46</v>
      </c>
      <c r="F360" t="s">
        <v>22</v>
      </c>
      <c r="G360">
        <v>3</v>
      </c>
      <c r="H360">
        <v>0.05</v>
      </c>
      <c r="I360">
        <v>71.25</v>
      </c>
      <c r="J360">
        <v>24.97</v>
      </c>
      <c r="K360" t="str">
        <f t="shared" si="15"/>
        <v>Office Supplies</v>
      </c>
      <c r="L360" t="str">
        <f t="shared" si="16"/>
        <v>Oct-2025</v>
      </c>
      <c r="M360" s="14">
        <f t="shared" si="17"/>
        <v>45931</v>
      </c>
    </row>
    <row r="361" spans="1:13" x14ac:dyDescent="0.35">
      <c r="A361" t="s">
        <v>487</v>
      </c>
      <c r="B361" s="2">
        <v>45869</v>
      </c>
      <c r="C361" t="s">
        <v>24</v>
      </c>
      <c r="D361" t="s">
        <v>35</v>
      </c>
      <c r="E361" t="s">
        <v>13</v>
      </c>
      <c r="F361" t="s">
        <v>22</v>
      </c>
      <c r="G361">
        <v>3</v>
      </c>
      <c r="H361">
        <v>0</v>
      </c>
      <c r="I361">
        <v>2550</v>
      </c>
      <c r="J361">
        <v>679.02</v>
      </c>
      <c r="K361" t="str">
        <f t="shared" si="15"/>
        <v>Technology</v>
      </c>
      <c r="L361" t="str">
        <f t="shared" si="16"/>
        <v>Jul-2025</v>
      </c>
      <c r="M361" s="14">
        <f t="shared" si="17"/>
        <v>45839</v>
      </c>
    </row>
    <row r="362" spans="1:13" x14ac:dyDescent="0.35">
      <c r="A362" t="s">
        <v>488</v>
      </c>
      <c r="B362" s="2">
        <v>45978</v>
      </c>
      <c r="C362" t="s">
        <v>30</v>
      </c>
      <c r="D362" t="s">
        <v>38</v>
      </c>
      <c r="E362" t="s">
        <v>13</v>
      </c>
      <c r="F362" t="s">
        <v>50</v>
      </c>
      <c r="G362">
        <v>4</v>
      </c>
      <c r="H362">
        <v>0.2</v>
      </c>
      <c r="I362">
        <v>1024</v>
      </c>
      <c r="J362">
        <v>293.32</v>
      </c>
      <c r="K362" t="str">
        <f t="shared" si="15"/>
        <v>Technology</v>
      </c>
      <c r="L362" t="str">
        <f t="shared" si="16"/>
        <v>Nov-2025</v>
      </c>
      <c r="M362" s="14">
        <f t="shared" si="17"/>
        <v>45962</v>
      </c>
    </row>
    <row r="363" spans="1:13" x14ac:dyDescent="0.35">
      <c r="A363" t="s">
        <v>489</v>
      </c>
      <c r="B363" s="2">
        <v>45926</v>
      </c>
      <c r="C363" t="s">
        <v>32</v>
      </c>
      <c r="D363" t="s">
        <v>49</v>
      </c>
      <c r="E363" t="s">
        <v>13</v>
      </c>
      <c r="F363" t="s">
        <v>22</v>
      </c>
      <c r="G363">
        <v>4</v>
      </c>
      <c r="H363">
        <v>0.15</v>
      </c>
      <c r="I363">
        <v>238</v>
      </c>
      <c r="J363">
        <v>95.38</v>
      </c>
      <c r="K363" t="str">
        <f t="shared" si="15"/>
        <v>Technology</v>
      </c>
      <c r="L363" t="str">
        <f t="shared" si="16"/>
        <v>Sept-2025</v>
      </c>
      <c r="M363" s="14">
        <f t="shared" si="17"/>
        <v>45901</v>
      </c>
    </row>
    <row r="364" spans="1:13" x14ac:dyDescent="0.35">
      <c r="A364" t="s">
        <v>490</v>
      </c>
      <c r="B364" s="2">
        <v>45933</v>
      </c>
      <c r="C364" t="s">
        <v>34</v>
      </c>
      <c r="D364" t="s">
        <v>45</v>
      </c>
      <c r="E364" t="s">
        <v>46</v>
      </c>
      <c r="F364" t="s">
        <v>22</v>
      </c>
      <c r="G364">
        <v>2</v>
      </c>
      <c r="H364">
        <v>0.05</v>
      </c>
      <c r="I364">
        <v>34.200000000000003</v>
      </c>
      <c r="J364">
        <v>12</v>
      </c>
      <c r="K364" t="str">
        <f t="shared" si="15"/>
        <v>Office Supplies</v>
      </c>
      <c r="L364" t="str">
        <f t="shared" si="16"/>
        <v>Oct-2025</v>
      </c>
      <c r="M364" s="14">
        <f t="shared" si="17"/>
        <v>45931</v>
      </c>
    </row>
    <row r="365" spans="1:13" x14ac:dyDescent="0.35">
      <c r="A365" t="s">
        <v>491</v>
      </c>
      <c r="B365" s="2">
        <v>45895</v>
      </c>
      <c r="C365" t="s">
        <v>20</v>
      </c>
      <c r="D365" t="s">
        <v>67</v>
      </c>
      <c r="E365" t="s">
        <v>13</v>
      </c>
      <c r="F365" t="s">
        <v>22</v>
      </c>
      <c r="G365">
        <v>5</v>
      </c>
      <c r="H365">
        <v>0.15</v>
      </c>
      <c r="I365">
        <v>5100</v>
      </c>
      <c r="J365">
        <v>666.22</v>
      </c>
      <c r="K365" t="str">
        <f t="shared" si="15"/>
        <v>Technology</v>
      </c>
      <c r="L365" t="str">
        <f t="shared" si="16"/>
        <v>Aug-2025</v>
      </c>
      <c r="M365" s="14">
        <f t="shared" si="17"/>
        <v>45870</v>
      </c>
    </row>
    <row r="366" spans="1:13" x14ac:dyDescent="0.35">
      <c r="A366" t="s">
        <v>492</v>
      </c>
      <c r="B366" s="2">
        <v>45856</v>
      </c>
      <c r="C366" t="s">
        <v>167</v>
      </c>
      <c r="D366" t="s">
        <v>21</v>
      </c>
      <c r="E366" t="s">
        <v>18</v>
      </c>
      <c r="F366" t="s">
        <v>50</v>
      </c>
      <c r="G366">
        <v>3</v>
      </c>
      <c r="H366">
        <v>0.05</v>
      </c>
      <c r="I366">
        <v>156.75</v>
      </c>
      <c r="J366">
        <v>53.45</v>
      </c>
      <c r="K366" t="str">
        <f t="shared" si="15"/>
        <v>Furniture</v>
      </c>
      <c r="L366" t="str">
        <f t="shared" si="16"/>
        <v>Jul-2025</v>
      </c>
      <c r="M366" s="14">
        <f t="shared" si="17"/>
        <v>45839</v>
      </c>
    </row>
    <row r="367" spans="1:13" x14ac:dyDescent="0.35">
      <c r="A367" t="s">
        <v>493</v>
      </c>
      <c r="B367" s="2">
        <v>45847</v>
      </c>
      <c r="C367" t="s">
        <v>32</v>
      </c>
      <c r="D367" t="s">
        <v>12</v>
      </c>
      <c r="E367" t="s">
        <v>13</v>
      </c>
      <c r="F367" t="s">
        <v>14</v>
      </c>
      <c r="G367">
        <v>5</v>
      </c>
      <c r="H367">
        <v>0.05</v>
      </c>
      <c r="I367">
        <v>166.25</v>
      </c>
      <c r="J367">
        <v>71.989999999999995</v>
      </c>
      <c r="K367" t="str">
        <f t="shared" si="15"/>
        <v>Technology</v>
      </c>
      <c r="L367" t="str">
        <f t="shared" si="16"/>
        <v>Jul-2025</v>
      </c>
      <c r="M367" s="14">
        <f t="shared" si="17"/>
        <v>45839</v>
      </c>
    </row>
    <row r="368" spans="1:13" x14ac:dyDescent="0.35">
      <c r="A368" t="s">
        <v>494</v>
      </c>
      <c r="B368" s="2">
        <v>45695</v>
      </c>
      <c r="C368" t="s">
        <v>124</v>
      </c>
      <c r="D368" t="s">
        <v>21</v>
      </c>
      <c r="E368" t="s">
        <v>18</v>
      </c>
      <c r="F368" t="s">
        <v>25</v>
      </c>
      <c r="G368">
        <v>5</v>
      </c>
      <c r="H368">
        <v>0.2</v>
      </c>
      <c r="I368">
        <v>220</v>
      </c>
      <c r="J368">
        <v>83.24</v>
      </c>
      <c r="K368" t="str">
        <f t="shared" si="15"/>
        <v>Furniture</v>
      </c>
      <c r="L368" t="str">
        <f t="shared" si="16"/>
        <v>Feb-2025</v>
      </c>
      <c r="M368" s="14">
        <f t="shared" si="17"/>
        <v>45689</v>
      </c>
    </row>
    <row r="369" spans="1:13" x14ac:dyDescent="0.35">
      <c r="A369" t="s">
        <v>495</v>
      </c>
      <c r="B369" s="2">
        <v>45813</v>
      </c>
      <c r="C369" t="s">
        <v>404</v>
      </c>
      <c r="D369" t="s">
        <v>67</v>
      </c>
      <c r="E369" t="s">
        <v>13</v>
      </c>
      <c r="F369" t="s">
        <v>50</v>
      </c>
      <c r="G369">
        <v>2</v>
      </c>
      <c r="H369">
        <v>0.05</v>
      </c>
      <c r="I369">
        <v>2280</v>
      </c>
      <c r="J369">
        <v>302.13</v>
      </c>
      <c r="K369" t="str">
        <f t="shared" si="15"/>
        <v>Technology</v>
      </c>
      <c r="L369" t="str">
        <f t="shared" si="16"/>
        <v>Jun-2025</v>
      </c>
      <c r="M369" s="14">
        <f t="shared" si="17"/>
        <v>45809</v>
      </c>
    </row>
    <row r="370" spans="1:13" x14ac:dyDescent="0.35">
      <c r="A370" t="s">
        <v>496</v>
      </c>
      <c r="B370" s="2">
        <v>45782</v>
      </c>
      <c r="C370" t="s">
        <v>109</v>
      </c>
      <c r="D370" t="s">
        <v>17</v>
      </c>
      <c r="E370" t="s">
        <v>18</v>
      </c>
      <c r="F370" t="s">
        <v>25</v>
      </c>
      <c r="G370">
        <v>5</v>
      </c>
      <c r="H370">
        <v>0.05</v>
      </c>
      <c r="I370">
        <v>997.5</v>
      </c>
      <c r="J370">
        <v>318.31</v>
      </c>
      <c r="K370" t="str">
        <f t="shared" si="15"/>
        <v>Furniture</v>
      </c>
      <c r="L370" t="str">
        <f t="shared" si="16"/>
        <v>May-2025</v>
      </c>
      <c r="M370" s="14">
        <f t="shared" si="17"/>
        <v>45778</v>
      </c>
    </row>
    <row r="371" spans="1:13" x14ac:dyDescent="0.35">
      <c r="A371" t="s">
        <v>497</v>
      </c>
      <c r="B371" s="2">
        <v>45802</v>
      </c>
      <c r="C371" t="s">
        <v>187</v>
      </c>
      <c r="D371" t="s">
        <v>99</v>
      </c>
      <c r="E371" t="s">
        <v>18</v>
      </c>
      <c r="F371" t="s">
        <v>25</v>
      </c>
      <c r="G371">
        <v>4</v>
      </c>
      <c r="H371">
        <v>0.2</v>
      </c>
      <c r="I371">
        <v>608</v>
      </c>
      <c r="J371">
        <v>143.44</v>
      </c>
      <c r="K371" t="str">
        <f t="shared" si="15"/>
        <v>Furniture</v>
      </c>
      <c r="L371" t="str">
        <f t="shared" si="16"/>
        <v>May-2025</v>
      </c>
      <c r="M371" s="14">
        <f t="shared" si="17"/>
        <v>45778</v>
      </c>
    </row>
    <row r="372" spans="1:13" x14ac:dyDescent="0.35">
      <c r="A372" t="s">
        <v>498</v>
      </c>
      <c r="B372" s="2">
        <v>45842</v>
      </c>
      <c r="C372" t="s">
        <v>204</v>
      </c>
      <c r="D372" t="s">
        <v>55</v>
      </c>
      <c r="E372" t="s">
        <v>46</v>
      </c>
      <c r="F372" t="s">
        <v>50</v>
      </c>
      <c r="G372">
        <v>4</v>
      </c>
      <c r="H372">
        <v>0.15</v>
      </c>
      <c r="I372">
        <v>816</v>
      </c>
      <c r="J372">
        <v>340.65</v>
      </c>
      <c r="K372" t="str">
        <f t="shared" si="15"/>
        <v>Office Supplies</v>
      </c>
      <c r="L372" t="str">
        <f t="shared" si="16"/>
        <v>Jul-2025</v>
      </c>
      <c r="M372" s="14">
        <f t="shared" si="17"/>
        <v>45839</v>
      </c>
    </row>
    <row r="373" spans="1:13" x14ac:dyDescent="0.35">
      <c r="A373" t="s">
        <v>499</v>
      </c>
      <c r="B373" s="2">
        <v>45821</v>
      </c>
      <c r="C373" t="s">
        <v>73</v>
      </c>
      <c r="D373" t="s">
        <v>21</v>
      </c>
      <c r="E373" t="s">
        <v>18</v>
      </c>
      <c r="F373" t="s">
        <v>22</v>
      </c>
      <c r="G373">
        <v>3</v>
      </c>
      <c r="H373">
        <v>0.1</v>
      </c>
      <c r="I373">
        <v>148.5</v>
      </c>
      <c r="J373">
        <v>46.54</v>
      </c>
      <c r="K373" t="str">
        <f t="shared" si="15"/>
        <v>Furniture</v>
      </c>
      <c r="L373" t="str">
        <f t="shared" si="16"/>
        <v>Jun-2025</v>
      </c>
      <c r="M373" s="14">
        <f t="shared" si="17"/>
        <v>45809</v>
      </c>
    </row>
    <row r="374" spans="1:13" x14ac:dyDescent="0.35">
      <c r="A374" t="s">
        <v>500</v>
      </c>
      <c r="B374" s="2">
        <v>45732</v>
      </c>
      <c r="C374" t="s">
        <v>54</v>
      </c>
      <c r="D374" t="s">
        <v>67</v>
      </c>
      <c r="E374" t="s">
        <v>13</v>
      </c>
      <c r="F374" t="s">
        <v>50</v>
      </c>
      <c r="G374">
        <v>3</v>
      </c>
      <c r="H374">
        <v>0.2</v>
      </c>
      <c r="I374">
        <v>2880</v>
      </c>
      <c r="J374">
        <v>407.61</v>
      </c>
      <c r="K374" t="str">
        <f t="shared" si="15"/>
        <v>Technology</v>
      </c>
      <c r="L374" t="str">
        <f t="shared" si="16"/>
        <v>Mar-2025</v>
      </c>
      <c r="M374" s="14">
        <f t="shared" si="17"/>
        <v>45717</v>
      </c>
    </row>
    <row r="375" spans="1:13" x14ac:dyDescent="0.35">
      <c r="A375" t="s">
        <v>501</v>
      </c>
      <c r="B375" s="2">
        <v>45809</v>
      </c>
      <c r="C375" t="s">
        <v>73</v>
      </c>
      <c r="D375" t="s">
        <v>28</v>
      </c>
      <c r="E375" t="s">
        <v>18</v>
      </c>
      <c r="F375" t="s">
        <v>22</v>
      </c>
      <c r="G375">
        <v>2</v>
      </c>
      <c r="H375">
        <v>0.1</v>
      </c>
      <c r="I375">
        <v>504</v>
      </c>
      <c r="J375">
        <v>188.54</v>
      </c>
      <c r="K375" t="str">
        <f t="shared" si="15"/>
        <v>Furniture</v>
      </c>
      <c r="L375" t="str">
        <f t="shared" si="16"/>
        <v>Jun-2025</v>
      </c>
      <c r="M375" s="14">
        <f t="shared" si="17"/>
        <v>45809</v>
      </c>
    </row>
    <row r="376" spans="1:13" x14ac:dyDescent="0.35">
      <c r="A376" t="s">
        <v>502</v>
      </c>
      <c r="B376" s="2">
        <v>45913</v>
      </c>
      <c r="C376" t="s">
        <v>206</v>
      </c>
      <c r="D376" t="s">
        <v>55</v>
      </c>
      <c r="E376" t="s">
        <v>46</v>
      </c>
      <c r="F376" t="s">
        <v>50</v>
      </c>
      <c r="G376">
        <v>3</v>
      </c>
      <c r="H376">
        <v>0.1</v>
      </c>
      <c r="I376">
        <v>648</v>
      </c>
      <c r="J376">
        <v>128.36000000000001</v>
      </c>
      <c r="K376" t="str">
        <f t="shared" si="15"/>
        <v>Office Supplies</v>
      </c>
      <c r="L376" t="str">
        <f t="shared" si="16"/>
        <v>Sept-2025</v>
      </c>
      <c r="M376" s="14">
        <f t="shared" si="17"/>
        <v>45901</v>
      </c>
    </row>
    <row r="377" spans="1:13" x14ac:dyDescent="0.35">
      <c r="A377" t="s">
        <v>503</v>
      </c>
      <c r="B377" s="2">
        <v>45893</v>
      </c>
      <c r="C377" t="s">
        <v>119</v>
      </c>
      <c r="D377" t="s">
        <v>28</v>
      </c>
      <c r="E377" t="s">
        <v>18</v>
      </c>
      <c r="F377" t="s">
        <v>50</v>
      </c>
      <c r="G377">
        <v>3</v>
      </c>
      <c r="H377">
        <v>0.05</v>
      </c>
      <c r="I377">
        <v>798</v>
      </c>
      <c r="J377">
        <v>322.24</v>
      </c>
      <c r="K377" t="str">
        <f t="shared" si="15"/>
        <v>Furniture</v>
      </c>
      <c r="L377" t="str">
        <f t="shared" si="16"/>
        <v>Aug-2025</v>
      </c>
      <c r="M377" s="14">
        <f t="shared" si="17"/>
        <v>45870</v>
      </c>
    </row>
    <row r="378" spans="1:13" x14ac:dyDescent="0.35">
      <c r="A378" t="s">
        <v>504</v>
      </c>
      <c r="B378" s="2">
        <v>45752</v>
      </c>
      <c r="C378" t="s">
        <v>128</v>
      </c>
      <c r="D378" t="s">
        <v>55</v>
      </c>
      <c r="E378" t="s">
        <v>46</v>
      </c>
      <c r="F378" t="s">
        <v>14</v>
      </c>
      <c r="G378">
        <v>1</v>
      </c>
      <c r="H378">
        <v>0.2</v>
      </c>
      <c r="I378">
        <v>192</v>
      </c>
      <c r="J378">
        <v>84.26</v>
      </c>
      <c r="K378" t="str">
        <f t="shared" si="15"/>
        <v>Office Supplies</v>
      </c>
      <c r="L378" t="str">
        <f t="shared" si="16"/>
        <v>Apr-2025</v>
      </c>
      <c r="M378" s="14">
        <f t="shared" si="17"/>
        <v>45748</v>
      </c>
    </row>
    <row r="379" spans="1:13" x14ac:dyDescent="0.35">
      <c r="A379" t="s">
        <v>505</v>
      </c>
      <c r="B379" s="2">
        <v>45661</v>
      </c>
      <c r="C379" t="s">
        <v>251</v>
      </c>
      <c r="D379" t="s">
        <v>99</v>
      </c>
      <c r="E379" t="s">
        <v>18</v>
      </c>
      <c r="F379" t="s">
        <v>14</v>
      </c>
      <c r="G379">
        <v>2</v>
      </c>
      <c r="H379">
        <v>0.05</v>
      </c>
      <c r="I379">
        <v>361</v>
      </c>
      <c r="J379">
        <v>154.35</v>
      </c>
      <c r="K379" t="str">
        <f t="shared" si="15"/>
        <v>Furniture</v>
      </c>
      <c r="L379" t="str">
        <f t="shared" si="16"/>
        <v>Jan-2025</v>
      </c>
      <c r="M379" s="14">
        <f t="shared" si="17"/>
        <v>45658</v>
      </c>
    </row>
    <row r="380" spans="1:13" x14ac:dyDescent="0.35">
      <c r="A380" t="s">
        <v>506</v>
      </c>
      <c r="B380" s="2">
        <v>45769</v>
      </c>
      <c r="C380" t="s">
        <v>44</v>
      </c>
      <c r="D380" t="s">
        <v>55</v>
      </c>
      <c r="E380" t="s">
        <v>46</v>
      </c>
      <c r="F380" t="s">
        <v>50</v>
      </c>
      <c r="G380">
        <v>4</v>
      </c>
      <c r="H380">
        <v>0.1</v>
      </c>
      <c r="I380">
        <v>864</v>
      </c>
      <c r="J380">
        <v>371.56</v>
      </c>
      <c r="K380" t="str">
        <f t="shared" si="15"/>
        <v>Office Supplies</v>
      </c>
      <c r="L380" t="str">
        <f t="shared" si="16"/>
        <v>Apr-2025</v>
      </c>
      <c r="M380" s="14">
        <f t="shared" si="17"/>
        <v>45748</v>
      </c>
    </row>
    <row r="381" spans="1:13" x14ac:dyDescent="0.35">
      <c r="A381" t="s">
        <v>507</v>
      </c>
      <c r="B381" s="2">
        <v>45995</v>
      </c>
      <c r="C381" t="s">
        <v>87</v>
      </c>
      <c r="D381" t="s">
        <v>45</v>
      </c>
      <c r="E381" t="s">
        <v>46</v>
      </c>
      <c r="F381" t="s">
        <v>14</v>
      </c>
      <c r="G381">
        <v>1</v>
      </c>
      <c r="H381">
        <v>0</v>
      </c>
      <c r="I381">
        <v>18</v>
      </c>
      <c r="J381">
        <v>4.9400000000000004</v>
      </c>
      <c r="K381" t="str">
        <f t="shared" si="15"/>
        <v>Office Supplies</v>
      </c>
      <c r="L381" t="str">
        <f t="shared" si="16"/>
        <v>Dec-2025</v>
      </c>
      <c r="M381" s="14">
        <f t="shared" si="17"/>
        <v>45992</v>
      </c>
    </row>
    <row r="382" spans="1:13" x14ac:dyDescent="0.35">
      <c r="A382" t="s">
        <v>508</v>
      </c>
      <c r="B382" s="2">
        <v>45666</v>
      </c>
      <c r="C382" t="s">
        <v>71</v>
      </c>
      <c r="D382" t="s">
        <v>55</v>
      </c>
      <c r="E382" t="s">
        <v>46</v>
      </c>
      <c r="F382" t="s">
        <v>50</v>
      </c>
      <c r="G382">
        <v>3</v>
      </c>
      <c r="H382">
        <v>0.2</v>
      </c>
      <c r="I382">
        <v>576</v>
      </c>
      <c r="J382">
        <v>73.400000000000006</v>
      </c>
      <c r="K382" t="str">
        <f t="shared" si="15"/>
        <v>Office Supplies</v>
      </c>
      <c r="L382" t="str">
        <f t="shared" si="16"/>
        <v>Jan-2025</v>
      </c>
      <c r="M382" s="14">
        <f t="shared" si="17"/>
        <v>45658</v>
      </c>
    </row>
    <row r="383" spans="1:13" x14ac:dyDescent="0.35">
      <c r="A383" t="s">
        <v>509</v>
      </c>
      <c r="B383" s="2">
        <v>45749</v>
      </c>
      <c r="C383" t="s">
        <v>142</v>
      </c>
      <c r="D383" t="s">
        <v>12</v>
      </c>
      <c r="E383" t="s">
        <v>13</v>
      </c>
      <c r="F383" t="s">
        <v>25</v>
      </c>
      <c r="G383">
        <v>1</v>
      </c>
      <c r="H383">
        <v>0.2</v>
      </c>
      <c r="I383">
        <v>28</v>
      </c>
      <c r="J383">
        <v>11.22</v>
      </c>
      <c r="K383" t="str">
        <f t="shared" si="15"/>
        <v>Technology</v>
      </c>
      <c r="L383" t="str">
        <f t="shared" si="16"/>
        <v>Apr-2025</v>
      </c>
      <c r="M383" s="14">
        <f t="shared" si="17"/>
        <v>45748</v>
      </c>
    </row>
    <row r="384" spans="1:13" x14ac:dyDescent="0.35">
      <c r="A384" t="s">
        <v>510</v>
      </c>
      <c r="B384" s="2">
        <v>45839</v>
      </c>
      <c r="C384" t="s">
        <v>98</v>
      </c>
      <c r="D384" t="s">
        <v>35</v>
      </c>
      <c r="E384" t="s">
        <v>13</v>
      </c>
      <c r="F384" t="s">
        <v>50</v>
      </c>
      <c r="G384">
        <v>4</v>
      </c>
      <c r="H384">
        <v>0</v>
      </c>
      <c r="I384">
        <v>3400</v>
      </c>
      <c r="J384">
        <v>1111.44</v>
      </c>
      <c r="K384" t="str">
        <f t="shared" si="15"/>
        <v>Technology</v>
      </c>
      <c r="L384" t="str">
        <f t="shared" si="16"/>
        <v>Jul-2025</v>
      </c>
      <c r="M384" s="14">
        <f t="shared" si="17"/>
        <v>45839</v>
      </c>
    </row>
    <row r="385" spans="1:13" x14ac:dyDescent="0.35">
      <c r="A385" t="s">
        <v>511</v>
      </c>
      <c r="B385" s="2">
        <v>45947</v>
      </c>
      <c r="C385" t="s">
        <v>167</v>
      </c>
      <c r="D385" t="s">
        <v>21</v>
      </c>
      <c r="E385" t="s">
        <v>18</v>
      </c>
      <c r="F385" t="s">
        <v>14</v>
      </c>
      <c r="G385">
        <v>2</v>
      </c>
      <c r="H385">
        <v>0.1</v>
      </c>
      <c r="I385">
        <v>99</v>
      </c>
      <c r="J385">
        <v>22.2</v>
      </c>
      <c r="K385" t="str">
        <f t="shared" si="15"/>
        <v>Furniture</v>
      </c>
      <c r="L385" t="str">
        <f t="shared" si="16"/>
        <v>Oct-2025</v>
      </c>
      <c r="M385" s="14">
        <f t="shared" si="17"/>
        <v>45931</v>
      </c>
    </row>
    <row r="386" spans="1:13" x14ac:dyDescent="0.35">
      <c r="A386" t="s">
        <v>512</v>
      </c>
      <c r="B386" s="2">
        <v>45705</v>
      </c>
      <c r="C386" t="s">
        <v>105</v>
      </c>
      <c r="D386" t="s">
        <v>99</v>
      </c>
      <c r="E386" t="s">
        <v>18</v>
      </c>
      <c r="F386" t="s">
        <v>14</v>
      </c>
      <c r="G386">
        <v>4</v>
      </c>
      <c r="H386">
        <v>0.15</v>
      </c>
      <c r="I386">
        <v>646</v>
      </c>
      <c r="J386">
        <v>172.88</v>
      </c>
      <c r="K386" t="str">
        <f t="shared" ref="K386:K449" si="18">TRIM(E386)</f>
        <v>Furniture</v>
      </c>
      <c r="L386" t="str">
        <f t="shared" si="16"/>
        <v>Feb-2025</v>
      </c>
      <c r="M386" s="14">
        <f t="shared" si="17"/>
        <v>45689</v>
      </c>
    </row>
    <row r="387" spans="1:13" x14ac:dyDescent="0.35">
      <c r="A387" t="s">
        <v>513</v>
      </c>
      <c r="B387" s="2">
        <v>46017</v>
      </c>
      <c r="C387" t="s">
        <v>192</v>
      </c>
      <c r="D387" t="s">
        <v>28</v>
      </c>
      <c r="E387" t="s">
        <v>18</v>
      </c>
      <c r="F387" t="s">
        <v>25</v>
      </c>
      <c r="G387">
        <v>1</v>
      </c>
      <c r="H387">
        <v>0.15</v>
      </c>
      <c r="I387">
        <v>238</v>
      </c>
      <c r="J387">
        <v>40.71</v>
      </c>
      <c r="K387" t="str">
        <f t="shared" si="18"/>
        <v>Furniture</v>
      </c>
      <c r="L387" t="str">
        <f t="shared" ref="L387:L450" si="19">TEXT(B387,"mmm-yyyy")</f>
        <v>Dec-2025</v>
      </c>
      <c r="M387" s="14">
        <f t="shared" ref="M387:M450" si="20">DATE(YEAR(B387),MONTH(B387),1)</f>
        <v>45992</v>
      </c>
    </row>
    <row r="388" spans="1:13" x14ac:dyDescent="0.35">
      <c r="A388" t="s">
        <v>514</v>
      </c>
      <c r="B388" s="2">
        <v>45947</v>
      </c>
      <c r="C388" t="s">
        <v>515</v>
      </c>
      <c r="D388" t="s">
        <v>12</v>
      </c>
      <c r="E388" t="s">
        <v>13</v>
      </c>
      <c r="F388" t="s">
        <v>50</v>
      </c>
      <c r="G388">
        <v>5</v>
      </c>
      <c r="H388">
        <v>0</v>
      </c>
      <c r="I388">
        <v>175</v>
      </c>
      <c r="J388">
        <v>65.48</v>
      </c>
      <c r="K388" t="str">
        <f t="shared" si="18"/>
        <v>Technology</v>
      </c>
      <c r="L388" t="str">
        <f t="shared" si="19"/>
        <v>Oct-2025</v>
      </c>
      <c r="M388" s="14">
        <f t="shared" si="20"/>
        <v>45931</v>
      </c>
    </row>
    <row r="389" spans="1:13" x14ac:dyDescent="0.35">
      <c r="A389" t="s">
        <v>516</v>
      </c>
      <c r="B389" s="2">
        <v>45796</v>
      </c>
      <c r="C389" t="s">
        <v>73</v>
      </c>
      <c r="D389" t="s">
        <v>67</v>
      </c>
      <c r="E389" t="s">
        <v>13</v>
      </c>
      <c r="F389" t="s">
        <v>14</v>
      </c>
      <c r="G389">
        <v>1</v>
      </c>
      <c r="H389">
        <v>0.1</v>
      </c>
      <c r="I389">
        <v>1080</v>
      </c>
      <c r="J389">
        <v>165.49</v>
      </c>
      <c r="K389" t="str">
        <f t="shared" si="18"/>
        <v>Technology</v>
      </c>
      <c r="L389" t="str">
        <f t="shared" si="19"/>
        <v>May-2025</v>
      </c>
      <c r="M389" s="14">
        <f t="shared" si="20"/>
        <v>45778</v>
      </c>
    </row>
    <row r="390" spans="1:13" x14ac:dyDescent="0.35">
      <c r="A390" t="s">
        <v>517</v>
      </c>
      <c r="B390" s="2">
        <v>45749</v>
      </c>
      <c r="C390" t="s">
        <v>57</v>
      </c>
      <c r="D390" t="s">
        <v>49</v>
      </c>
      <c r="E390" t="s">
        <v>13</v>
      </c>
      <c r="F390" t="s">
        <v>50</v>
      </c>
      <c r="G390">
        <v>1</v>
      </c>
      <c r="H390">
        <v>0.05</v>
      </c>
      <c r="I390">
        <v>66.5</v>
      </c>
      <c r="J390">
        <v>17.04</v>
      </c>
      <c r="K390" t="str">
        <f t="shared" si="18"/>
        <v>Technology</v>
      </c>
      <c r="L390" t="str">
        <f t="shared" si="19"/>
        <v>Apr-2025</v>
      </c>
      <c r="M390" s="14">
        <f t="shared" si="20"/>
        <v>45748</v>
      </c>
    </row>
    <row r="391" spans="1:13" x14ac:dyDescent="0.35">
      <c r="A391" t="s">
        <v>518</v>
      </c>
      <c r="B391" s="2">
        <v>45697</v>
      </c>
      <c r="C391" t="s">
        <v>59</v>
      </c>
      <c r="D391" t="s">
        <v>35</v>
      </c>
      <c r="E391" t="s">
        <v>13</v>
      </c>
      <c r="F391" t="s">
        <v>25</v>
      </c>
      <c r="G391">
        <v>2</v>
      </c>
      <c r="H391">
        <v>0.2</v>
      </c>
      <c r="I391">
        <v>1360</v>
      </c>
      <c r="J391">
        <v>504.08</v>
      </c>
      <c r="K391" t="str">
        <f t="shared" si="18"/>
        <v>Technology</v>
      </c>
      <c r="L391" t="str">
        <f t="shared" si="19"/>
        <v>Feb-2025</v>
      </c>
      <c r="M391" s="14">
        <f t="shared" si="20"/>
        <v>45689</v>
      </c>
    </row>
    <row r="392" spans="1:13" x14ac:dyDescent="0.35">
      <c r="A392" t="s">
        <v>519</v>
      </c>
      <c r="B392" s="2">
        <v>45854</v>
      </c>
      <c r="C392" t="s">
        <v>30</v>
      </c>
      <c r="D392" t="s">
        <v>17</v>
      </c>
      <c r="E392" t="s">
        <v>18</v>
      </c>
      <c r="F392" t="s">
        <v>14</v>
      </c>
      <c r="G392">
        <v>2</v>
      </c>
      <c r="H392">
        <v>0</v>
      </c>
      <c r="I392">
        <v>420</v>
      </c>
      <c r="J392">
        <v>119.59</v>
      </c>
      <c r="K392" t="str">
        <f t="shared" si="18"/>
        <v>Furniture</v>
      </c>
      <c r="L392" t="str">
        <f t="shared" si="19"/>
        <v>Jul-2025</v>
      </c>
      <c r="M392" s="14">
        <f t="shared" si="20"/>
        <v>45839</v>
      </c>
    </row>
    <row r="393" spans="1:13" x14ac:dyDescent="0.35">
      <c r="A393" t="s">
        <v>520</v>
      </c>
      <c r="B393" s="2">
        <v>45708</v>
      </c>
      <c r="C393" t="s">
        <v>158</v>
      </c>
      <c r="D393" t="s">
        <v>99</v>
      </c>
      <c r="E393" t="s">
        <v>18</v>
      </c>
      <c r="F393" t="s">
        <v>50</v>
      </c>
      <c r="G393">
        <v>2</v>
      </c>
      <c r="H393">
        <v>0</v>
      </c>
      <c r="I393">
        <v>380</v>
      </c>
      <c r="J393">
        <v>128.29</v>
      </c>
      <c r="K393" t="str">
        <f t="shared" si="18"/>
        <v>Furniture</v>
      </c>
      <c r="L393" t="str">
        <f t="shared" si="19"/>
        <v>Feb-2025</v>
      </c>
      <c r="M393" s="14">
        <f t="shared" si="20"/>
        <v>45689</v>
      </c>
    </row>
    <row r="394" spans="1:13" x14ac:dyDescent="0.35">
      <c r="A394" t="s">
        <v>521</v>
      </c>
      <c r="B394" s="2">
        <v>45825</v>
      </c>
      <c r="C394" t="s">
        <v>40</v>
      </c>
      <c r="D394" t="s">
        <v>67</v>
      </c>
      <c r="E394" t="s">
        <v>13</v>
      </c>
      <c r="F394" t="s">
        <v>50</v>
      </c>
      <c r="G394">
        <v>3</v>
      </c>
      <c r="H394">
        <v>0.15</v>
      </c>
      <c r="I394">
        <v>3060</v>
      </c>
      <c r="J394">
        <v>881.59</v>
      </c>
      <c r="K394" t="str">
        <f t="shared" si="18"/>
        <v>Technology</v>
      </c>
      <c r="L394" t="str">
        <f t="shared" si="19"/>
        <v>Jun-2025</v>
      </c>
      <c r="M394" s="14">
        <f t="shared" si="20"/>
        <v>45809</v>
      </c>
    </row>
    <row r="395" spans="1:13" x14ac:dyDescent="0.35">
      <c r="A395" t="s">
        <v>522</v>
      </c>
      <c r="B395" s="2">
        <v>45879</v>
      </c>
      <c r="C395" t="s">
        <v>111</v>
      </c>
      <c r="D395" t="s">
        <v>28</v>
      </c>
      <c r="E395" t="s">
        <v>18</v>
      </c>
      <c r="F395" t="s">
        <v>25</v>
      </c>
      <c r="G395">
        <v>5</v>
      </c>
      <c r="H395">
        <v>0.15</v>
      </c>
      <c r="I395">
        <v>1190</v>
      </c>
      <c r="J395">
        <v>501.85</v>
      </c>
      <c r="K395" t="str">
        <f t="shared" si="18"/>
        <v>Furniture</v>
      </c>
      <c r="L395" t="str">
        <f t="shared" si="19"/>
        <v>Aug-2025</v>
      </c>
      <c r="M395" s="14">
        <f t="shared" si="20"/>
        <v>45870</v>
      </c>
    </row>
    <row r="396" spans="1:13" x14ac:dyDescent="0.35">
      <c r="A396" t="s">
        <v>523</v>
      </c>
      <c r="B396" s="2">
        <v>45784</v>
      </c>
      <c r="C396" t="s">
        <v>32</v>
      </c>
      <c r="D396" t="s">
        <v>17</v>
      </c>
      <c r="E396" t="s">
        <v>18</v>
      </c>
      <c r="F396" t="s">
        <v>22</v>
      </c>
      <c r="G396">
        <v>1</v>
      </c>
      <c r="H396">
        <v>0</v>
      </c>
      <c r="I396">
        <v>210</v>
      </c>
      <c r="J396">
        <v>75.930000000000007</v>
      </c>
      <c r="K396" t="str">
        <f t="shared" si="18"/>
        <v>Furniture</v>
      </c>
      <c r="L396" t="str">
        <f t="shared" si="19"/>
        <v>May-2025</v>
      </c>
      <c r="M396" s="14">
        <f t="shared" si="20"/>
        <v>45778</v>
      </c>
    </row>
    <row r="397" spans="1:13" x14ac:dyDescent="0.35">
      <c r="A397" t="s">
        <v>524</v>
      </c>
      <c r="B397" s="2">
        <v>45857</v>
      </c>
      <c r="C397" t="s">
        <v>187</v>
      </c>
      <c r="D397" t="s">
        <v>49</v>
      </c>
      <c r="E397" t="s">
        <v>13</v>
      </c>
      <c r="F397" t="s">
        <v>50</v>
      </c>
      <c r="G397">
        <v>3</v>
      </c>
      <c r="H397">
        <v>0</v>
      </c>
      <c r="I397">
        <v>210</v>
      </c>
      <c r="J397">
        <v>88.16</v>
      </c>
      <c r="K397" t="str">
        <f t="shared" si="18"/>
        <v>Technology</v>
      </c>
      <c r="L397" t="str">
        <f t="shared" si="19"/>
        <v>Jul-2025</v>
      </c>
      <c r="M397" s="14">
        <f t="shared" si="20"/>
        <v>45839</v>
      </c>
    </row>
    <row r="398" spans="1:13" x14ac:dyDescent="0.35">
      <c r="A398" t="s">
        <v>525</v>
      </c>
      <c r="B398" s="2">
        <v>45842</v>
      </c>
      <c r="C398" t="s">
        <v>64</v>
      </c>
      <c r="D398" t="s">
        <v>35</v>
      </c>
      <c r="E398" t="s">
        <v>13</v>
      </c>
      <c r="F398" t="s">
        <v>50</v>
      </c>
      <c r="G398">
        <v>1</v>
      </c>
      <c r="H398">
        <v>0.05</v>
      </c>
      <c r="I398">
        <v>807.5</v>
      </c>
      <c r="J398">
        <v>340.11</v>
      </c>
      <c r="K398" t="str">
        <f t="shared" si="18"/>
        <v>Technology</v>
      </c>
      <c r="L398" t="str">
        <f t="shared" si="19"/>
        <v>Jul-2025</v>
      </c>
      <c r="M398" s="14">
        <f t="shared" si="20"/>
        <v>45839</v>
      </c>
    </row>
    <row r="399" spans="1:13" x14ac:dyDescent="0.35">
      <c r="A399" t="s">
        <v>526</v>
      </c>
      <c r="B399" s="2">
        <v>45943</v>
      </c>
      <c r="C399" t="s">
        <v>315</v>
      </c>
      <c r="D399" t="s">
        <v>55</v>
      </c>
      <c r="E399" t="s">
        <v>46</v>
      </c>
      <c r="F399" t="s">
        <v>25</v>
      </c>
      <c r="G399">
        <v>5</v>
      </c>
      <c r="H399">
        <v>0.15</v>
      </c>
      <c r="I399">
        <v>1020</v>
      </c>
      <c r="J399">
        <v>424.23</v>
      </c>
      <c r="K399" t="str">
        <f t="shared" si="18"/>
        <v>Office Supplies</v>
      </c>
      <c r="L399" t="str">
        <f t="shared" si="19"/>
        <v>Oct-2025</v>
      </c>
      <c r="M399" s="14">
        <f t="shared" si="20"/>
        <v>45931</v>
      </c>
    </row>
    <row r="400" spans="1:13" x14ac:dyDescent="0.35">
      <c r="A400" t="s">
        <v>527</v>
      </c>
      <c r="B400" s="2">
        <v>45941</v>
      </c>
      <c r="C400" t="s">
        <v>59</v>
      </c>
      <c r="D400" t="s">
        <v>12</v>
      </c>
      <c r="E400" t="s">
        <v>13</v>
      </c>
      <c r="F400" t="s">
        <v>14</v>
      </c>
      <c r="G400">
        <v>5</v>
      </c>
      <c r="H400">
        <v>0.2</v>
      </c>
      <c r="I400">
        <v>140</v>
      </c>
      <c r="J400">
        <v>26.76</v>
      </c>
      <c r="K400" t="str">
        <f t="shared" si="18"/>
        <v>Technology</v>
      </c>
      <c r="L400" t="str">
        <f t="shared" si="19"/>
        <v>Oct-2025</v>
      </c>
      <c r="M400" s="14">
        <f t="shared" si="20"/>
        <v>45931</v>
      </c>
    </row>
    <row r="401" spans="1:13" x14ac:dyDescent="0.35">
      <c r="A401" t="s">
        <v>528</v>
      </c>
      <c r="B401" s="2">
        <v>45807</v>
      </c>
      <c r="C401" t="s">
        <v>20</v>
      </c>
      <c r="D401" t="s">
        <v>99</v>
      </c>
      <c r="E401" t="s">
        <v>18</v>
      </c>
      <c r="F401" t="s">
        <v>22</v>
      </c>
      <c r="G401">
        <v>4</v>
      </c>
      <c r="H401">
        <v>0</v>
      </c>
      <c r="I401">
        <v>760</v>
      </c>
      <c r="J401">
        <v>160.21</v>
      </c>
      <c r="K401" t="str">
        <f t="shared" si="18"/>
        <v>Furniture</v>
      </c>
      <c r="L401" t="str">
        <f t="shared" si="19"/>
        <v>May-2025</v>
      </c>
      <c r="M401" s="14">
        <f t="shared" si="20"/>
        <v>45778</v>
      </c>
    </row>
    <row r="402" spans="1:13" x14ac:dyDescent="0.35">
      <c r="A402" t="s">
        <v>529</v>
      </c>
      <c r="B402" s="2">
        <v>45950</v>
      </c>
      <c r="C402" t="s">
        <v>231</v>
      </c>
      <c r="D402" t="s">
        <v>55</v>
      </c>
      <c r="E402" t="s">
        <v>46</v>
      </c>
      <c r="F402" t="s">
        <v>25</v>
      </c>
      <c r="G402">
        <v>2</v>
      </c>
      <c r="H402">
        <v>0.15</v>
      </c>
      <c r="I402">
        <v>408</v>
      </c>
      <c r="J402">
        <v>160.78</v>
      </c>
      <c r="K402" t="str">
        <f t="shared" si="18"/>
        <v>Office Supplies</v>
      </c>
      <c r="L402" t="str">
        <f t="shared" si="19"/>
        <v>Oct-2025</v>
      </c>
      <c r="M402" s="14">
        <f t="shared" si="20"/>
        <v>45931</v>
      </c>
    </row>
    <row r="403" spans="1:13" x14ac:dyDescent="0.35">
      <c r="A403" t="s">
        <v>530</v>
      </c>
      <c r="B403" s="2">
        <v>45795</v>
      </c>
      <c r="C403" t="s">
        <v>295</v>
      </c>
      <c r="D403" t="s">
        <v>45</v>
      </c>
      <c r="E403" t="s">
        <v>46</v>
      </c>
      <c r="F403" t="s">
        <v>50</v>
      </c>
      <c r="G403">
        <v>2</v>
      </c>
      <c r="H403">
        <v>0</v>
      </c>
      <c r="I403">
        <v>36</v>
      </c>
      <c r="J403">
        <v>14.21</v>
      </c>
      <c r="K403" t="str">
        <f t="shared" si="18"/>
        <v>Office Supplies</v>
      </c>
      <c r="L403" t="str">
        <f t="shared" si="19"/>
        <v>May-2025</v>
      </c>
      <c r="M403" s="14">
        <f t="shared" si="20"/>
        <v>45778</v>
      </c>
    </row>
    <row r="404" spans="1:13" x14ac:dyDescent="0.35">
      <c r="A404" t="s">
        <v>531</v>
      </c>
      <c r="B404" s="2">
        <v>45811</v>
      </c>
      <c r="C404" t="s">
        <v>163</v>
      </c>
      <c r="D404" t="s">
        <v>45</v>
      </c>
      <c r="E404" t="s">
        <v>46</v>
      </c>
      <c r="F404" t="s">
        <v>50</v>
      </c>
      <c r="G404">
        <v>1</v>
      </c>
      <c r="H404">
        <v>0.1</v>
      </c>
      <c r="I404">
        <v>16.2</v>
      </c>
      <c r="J404">
        <v>5.94</v>
      </c>
      <c r="K404" t="str">
        <f t="shared" si="18"/>
        <v>Office Supplies</v>
      </c>
      <c r="L404" t="str">
        <f t="shared" si="19"/>
        <v>Jun-2025</v>
      </c>
      <c r="M404" s="14">
        <f t="shared" si="20"/>
        <v>45809</v>
      </c>
    </row>
    <row r="405" spans="1:13" x14ac:dyDescent="0.35">
      <c r="A405" t="s">
        <v>532</v>
      </c>
      <c r="B405" s="2">
        <v>45962</v>
      </c>
      <c r="C405" t="s">
        <v>215</v>
      </c>
      <c r="D405" t="s">
        <v>83</v>
      </c>
      <c r="E405" t="s">
        <v>46</v>
      </c>
      <c r="F405" t="s">
        <v>14</v>
      </c>
      <c r="G405">
        <v>2</v>
      </c>
      <c r="H405">
        <v>0.15</v>
      </c>
      <c r="I405">
        <v>42.5</v>
      </c>
      <c r="J405">
        <v>17.62</v>
      </c>
      <c r="K405" t="str">
        <f t="shared" si="18"/>
        <v>Office Supplies</v>
      </c>
      <c r="L405" t="str">
        <f t="shared" si="19"/>
        <v>Nov-2025</v>
      </c>
      <c r="M405" s="14">
        <f t="shared" si="20"/>
        <v>45962</v>
      </c>
    </row>
    <row r="406" spans="1:13" x14ac:dyDescent="0.35">
      <c r="A406" t="s">
        <v>533</v>
      </c>
      <c r="B406" s="2">
        <v>45860</v>
      </c>
      <c r="C406" t="s">
        <v>241</v>
      </c>
      <c r="D406" t="s">
        <v>49</v>
      </c>
      <c r="E406" t="s">
        <v>13</v>
      </c>
      <c r="F406" t="s">
        <v>50</v>
      </c>
      <c r="G406">
        <v>5</v>
      </c>
      <c r="H406">
        <v>0.15</v>
      </c>
      <c r="I406">
        <v>297.5</v>
      </c>
      <c r="J406">
        <v>54.93</v>
      </c>
      <c r="K406" t="str">
        <f t="shared" si="18"/>
        <v>Technology</v>
      </c>
      <c r="L406" t="str">
        <f t="shared" si="19"/>
        <v>Jul-2025</v>
      </c>
      <c r="M406" s="14">
        <f t="shared" si="20"/>
        <v>45839</v>
      </c>
    </row>
    <row r="407" spans="1:13" x14ac:dyDescent="0.35">
      <c r="A407" t="s">
        <v>534</v>
      </c>
      <c r="B407" s="2">
        <v>45829</v>
      </c>
      <c r="C407" t="s">
        <v>185</v>
      </c>
      <c r="D407" t="s">
        <v>99</v>
      </c>
      <c r="E407" t="s">
        <v>18</v>
      </c>
      <c r="F407" t="s">
        <v>22</v>
      </c>
      <c r="G407">
        <v>5</v>
      </c>
      <c r="H407">
        <v>0.05</v>
      </c>
      <c r="I407">
        <v>902.5</v>
      </c>
      <c r="J407">
        <v>316.64999999999998</v>
      </c>
      <c r="K407" t="str">
        <f t="shared" si="18"/>
        <v>Furniture</v>
      </c>
      <c r="L407" t="str">
        <f t="shared" si="19"/>
        <v>Jun-2025</v>
      </c>
      <c r="M407" s="14">
        <f t="shared" si="20"/>
        <v>45809</v>
      </c>
    </row>
    <row r="408" spans="1:13" x14ac:dyDescent="0.35">
      <c r="A408" t="s">
        <v>535</v>
      </c>
      <c r="B408" s="2">
        <v>45903</v>
      </c>
      <c r="C408" t="s">
        <v>103</v>
      </c>
      <c r="D408" t="s">
        <v>49</v>
      </c>
      <c r="E408" t="s">
        <v>13</v>
      </c>
      <c r="F408" t="s">
        <v>50</v>
      </c>
      <c r="G408">
        <v>2</v>
      </c>
      <c r="H408">
        <v>0.15</v>
      </c>
      <c r="I408">
        <v>119</v>
      </c>
      <c r="J408">
        <v>15.51</v>
      </c>
      <c r="K408" t="str">
        <f t="shared" si="18"/>
        <v>Technology</v>
      </c>
      <c r="L408" t="str">
        <f t="shared" si="19"/>
        <v>Sept-2025</v>
      </c>
      <c r="M408" s="14">
        <f t="shared" si="20"/>
        <v>45901</v>
      </c>
    </row>
    <row r="409" spans="1:13" x14ac:dyDescent="0.35">
      <c r="A409" t="s">
        <v>536</v>
      </c>
      <c r="B409" s="2">
        <v>45952</v>
      </c>
      <c r="C409" t="s">
        <v>286</v>
      </c>
      <c r="D409" t="s">
        <v>21</v>
      </c>
      <c r="E409" t="s">
        <v>18</v>
      </c>
      <c r="F409" t="s">
        <v>25</v>
      </c>
      <c r="G409">
        <v>3</v>
      </c>
      <c r="H409">
        <v>0.15</v>
      </c>
      <c r="I409">
        <v>140.25</v>
      </c>
      <c r="J409">
        <v>50.14</v>
      </c>
      <c r="K409" t="str">
        <f t="shared" si="18"/>
        <v>Furniture</v>
      </c>
      <c r="L409" t="str">
        <f t="shared" si="19"/>
        <v>Oct-2025</v>
      </c>
      <c r="M409" s="14">
        <f t="shared" si="20"/>
        <v>45931</v>
      </c>
    </row>
    <row r="410" spans="1:13" x14ac:dyDescent="0.35">
      <c r="A410" t="s">
        <v>537</v>
      </c>
      <c r="B410" s="2">
        <v>45716</v>
      </c>
      <c r="C410" t="s">
        <v>269</v>
      </c>
      <c r="D410" t="s">
        <v>83</v>
      </c>
      <c r="E410" t="s">
        <v>46</v>
      </c>
      <c r="F410" t="s">
        <v>14</v>
      </c>
      <c r="G410">
        <v>2</v>
      </c>
      <c r="H410">
        <v>0.2</v>
      </c>
      <c r="I410">
        <v>40</v>
      </c>
      <c r="J410">
        <v>4.84</v>
      </c>
      <c r="K410" t="str">
        <f t="shared" si="18"/>
        <v>Office Supplies</v>
      </c>
      <c r="L410" t="str">
        <f t="shared" si="19"/>
        <v>Feb-2025</v>
      </c>
      <c r="M410" s="14">
        <f t="shared" si="20"/>
        <v>45689</v>
      </c>
    </row>
    <row r="411" spans="1:13" x14ac:dyDescent="0.35">
      <c r="A411" t="s">
        <v>538</v>
      </c>
      <c r="B411" s="2">
        <v>45894</v>
      </c>
      <c r="C411" t="s">
        <v>515</v>
      </c>
      <c r="D411" t="s">
        <v>17</v>
      </c>
      <c r="E411" t="s">
        <v>18</v>
      </c>
      <c r="F411" t="s">
        <v>14</v>
      </c>
      <c r="G411">
        <v>2</v>
      </c>
      <c r="H411">
        <v>0.15</v>
      </c>
      <c r="I411">
        <v>357</v>
      </c>
      <c r="J411">
        <v>66.67</v>
      </c>
      <c r="K411" t="str">
        <f t="shared" si="18"/>
        <v>Furniture</v>
      </c>
      <c r="L411" t="str">
        <f t="shared" si="19"/>
        <v>Aug-2025</v>
      </c>
      <c r="M411" s="14">
        <f t="shared" si="20"/>
        <v>45870</v>
      </c>
    </row>
    <row r="412" spans="1:13" x14ac:dyDescent="0.35">
      <c r="A412" t="s">
        <v>539</v>
      </c>
      <c r="B412" s="2">
        <v>45867</v>
      </c>
      <c r="C412" t="s">
        <v>109</v>
      </c>
      <c r="D412" t="s">
        <v>38</v>
      </c>
      <c r="E412" t="s">
        <v>13</v>
      </c>
      <c r="F412" t="s">
        <v>25</v>
      </c>
      <c r="G412">
        <v>4</v>
      </c>
      <c r="H412">
        <v>0.05</v>
      </c>
      <c r="I412">
        <v>1216</v>
      </c>
      <c r="J412">
        <v>293.05</v>
      </c>
      <c r="K412" t="str">
        <f t="shared" si="18"/>
        <v>Technology</v>
      </c>
      <c r="L412" t="str">
        <f t="shared" si="19"/>
        <v>Jul-2025</v>
      </c>
      <c r="M412" s="14">
        <f t="shared" si="20"/>
        <v>45839</v>
      </c>
    </row>
    <row r="413" spans="1:13" x14ac:dyDescent="0.35">
      <c r="A413" t="s">
        <v>540</v>
      </c>
      <c r="B413" s="2">
        <v>45995</v>
      </c>
      <c r="C413" t="s">
        <v>202</v>
      </c>
      <c r="D413" t="s">
        <v>28</v>
      </c>
      <c r="E413" t="s">
        <v>18</v>
      </c>
      <c r="F413" t="s">
        <v>50</v>
      </c>
      <c r="G413">
        <v>4</v>
      </c>
      <c r="H413">
        <v>0.15</v>
      </c>
      <c r="I413">
        <v>952</v>
      </c>
      <c r="J413">
        <v>405.16</v>
      </c>
      <c r="K413" t="str">
        <f t="shared" si="18"/>
        <v>Furniture</v>
      </c>
      <c r="L413" t="str">
        <f t="shared" si="19"/>
        <v>Dec-2025</v>
      </c>
      <c r="M413" s="14">
        <f t="shared" si="20"/>
        <v>45992</v>
      </c>
    </row>
    <row r="414" spans="1:13" x14ac:dyDescent="0.35">
      <c r="A414" t="s">
        <v>541</v>
      </c>
      <c r="B414" s="2">
        <v>45956</v>
      </c>
      <c r="C414" t="s">
        <v>515</v>
      </c>
      <c r="D414" t="s">
        <v>99</v>
      </c>
      <c r="E414" t="s">
        <v>18</v>
      </c>
      <c r="F414" t="s">
        <v>50</v>
      </c>
      <c r="G414">
        <v>5</v>
      </c>
      <c r="I414">
        <v>760</v>
      </c>
      <c r="J414">
        <v>110.39</v>
      </c>
      <c r="K414" t="str">
        <f t="shared" si="18"/>
        <v>Furniture</v>
      </c>
      <c r="L414" t="str">
        <f t="shared" si="19"/>
        <v>Oct-2025</v>
      </c>
      <c r="M414" s="14">
        <f t="shared" si="20"/>
        <v>45931</v>
      </c>
    </row>
    <row r="415" spans="1:13" x14ac:dyDescent="0.35">
      <c r="A415" t="s">
        <v>542</v>
      </c>
      <c r="B415" s="2">
        <v>45936</v>
      </c>
      <c r="C415" t="s">
        <v>167</v>
      </c>
      <c r="D415" t="s">
        <v>67</v>
      </c>
      <c r="E415" t="s">
        <v>13</v>
      </c>
      <c r="F415" t="s">
        <v>14</v>
      </c>
      <c r="G415">
        <v>3</v>
      </c>
      <c r="H415">
        <v>0.2</v>
      </c>
      <c r="I415">
        <v>2880</v>
      </c>
      <c r="J415">
        <v>731.63</v>
      </c>
      <c r="K415" t="str">
        <f t="shared" si="18"/>
        <v>Technology</v>
      </c>
      <c r="L415" t="str">
        <f t="shared" si="19"/>
        <v>Oct-2025</v>
      </c>
      <c r="M415" s="14">
        <f t="shared" si="20"/>
        <v>45931</v>
      </c>
    </row>
    <row r="416" spans="1:13" x14ac:dyDescent="0.35">
      <c r="A416" t="s">
        <v>543</v>
      </c>
      <c r="B416" s="2">
        <v>45785</v>
      </c>
      <c r="C416" t="s">
        <v>360</v>
      </c>
      <c r="D416" t="s">
        <v>38</v>
      </c>
      <c r="E416" t="s">
        <v>13</v>
      </c>
      <c r="F416" t="s">
        <v>50</v>
      </c>
      <c r="G416">
        <v>3</v>
      </c>
      <c r="H416">
        <v>0.05</v>
      </c>
      <c r="I416">
        <v>912</v>
      </c>
      <c r="J416">
        <v>215.68</v>
      </c>
      <c r="K416" t="str">
        <f t="shared" si="18"/>
        <v>Technology</v>
      </c>
      <c r="L416" t="str">
        <f t="shared" si="19"/>
        <v>May-2025</v>
      </c>
      <c r="M416" s="14">
        <f t="shared" si="20"/>
        <v>45778</v>
      </c>
    </row>
    <row r="417" spans="1:13" x14ac:dyDescent="0.35">
      <c r="A417" t="s">
        <v>544</v>
      </c>
      <c r="B417" s="2">
        <v>45827</v>
      </c>
      <c r="C417" t="s">
        <v>224</v>
      </c>
      <c r="D417" t="s">
        <v>99</v>
      </c>
      <c r="E417" t="s">
        <v>18</v>
      </c>
      <c r="F417" t="s">
        <v>22</v>
      </c>
      <c r="G417">
        <v>1</v>
      </c>
      <c r="H417">
        <v>0</v>
      </c>
      <c r="I417">
        <v>190</v>
      </c>
      <c r="J417">
        <v>79.319999999999993</v>
      </c>
      <c r="K417" t="str">
        <f t="shared" si="18"/>
        <v>Furniture</v>
      </c>
      <c r="L417" t="str">
        <f t="shared" si="19"/>
        <v>Jun-2025</v>
      </c>
      <c r="M417" s="14">
        <f t="shared" si="20"/>
        <v>45809</v>
      </c>
    </row>
    <row r="418" spans="1:13" x14ac:dyDescent="0.35">
      <c r="A418" t="s">
        <v>545</v>
      </c>
      <c r="B418" s="2">
        <v>45886</v>
      </c>
      <c r="C418" t="s">
        <v>24</v>
      </c>
      <c r="D418" t="s">
        <v>49</v>
      </c>
      <c r="E418" t="s">
        <v>13</v>
      </c>
      <c r="F418" t="s">
        <v>22</v>
      </c>
      <c r="G418">
        <v>4</v>
      </c>
      <c r="H418">
        <v>0.15</v>
      </c>
      <c r="I418">
        <v>238</v>
      </c>
      <c r="J418">
        <v>46.44</v>
      </c>
      <c r="K418" t="str">
        <f t="shared" si="18"/>
        <v>Technology</v>
      </c>
      <c r="L418" t="str">
        <f t="shared" si="19"/>
        <v>Aug-2025</v>
      </c>
      <c r="M418" s="14">
        <f t="shared" si="20"/>
        <v>45870</v>
      </c>
    </row>
    <row r="419" spans="1:13" x14ac:dyDescent="0.35">
      <c r="A419" t="s">
        <v>546</v>
      </c>
      <c r="B419" s="2">
        <v>45834</v>
      </c>
      <c r="C419" t="s">
        <v>167</v>
      </c>
      <c r="D419" t="s">
        <v>67</v>
      </c>
      <c r="E419" t="s">
        <v>13</v>
      </c>
      <c r="F419" t="s">
        <v>14</v>
      </c>
      <c r="G419">
        <v>4</v>
      </c>
      <c r="H419">
        <v>0</v>
      </c>
      <c r="I419">
        <v>4800</v>
      </c>
      <c r="J419">
        <v>1692.04</v>
      </c>
      <c r="K419" t="str">
        <f t="shared" si="18"/>
        <v>Technology</v>
      </c>
      <c r="L419" t="str">
        <f t="shared" si="19"/>
        <v>Jun-2025</v>
      </c>
      <c r="M419" s="14">
        <f t="shared" si="20"/>
        <v>45809</v>
      </c>
    </row>
    <row r="420" spans="1:13" x14ac:dyDescent="0.35">
      <c r="A420" t="s">
        <v>547</v>
      </c>
      <c r="B420" s="2">
        <v>45730</v>
      </c>
      <c r="C420" t="s">
        <v>124</v>
      </c>
      <c r="D420" t="s">
        <v>49</v>
      </c>
      <c r="E420" t="s">
        <v>13</v>
      </c>
      <c r="F420" t="s">
        <v>50</v>
      </c>
      <c r="G420">
        <v>3</v>
      </c>
      <c r="H420">
        <v>0.1</v>
      </c>
      <c r="I420">
        <v>189</v>
      </c>
      <c r="J420">
        <v>56.65</v>
      </c>
      <c r="K420" t="str">
        <f t="shared" si="18"/>
        <v>Technology</v>
      </c>
      <c r="L420" t="str">
        <f t="shared" si="19"/>
        <v>Mar-2025</v>
      </c>
      <c r="M420" s="14">
        <f t="shared" si="20"/>
        <v>45717</v>
      </c>
    </row>
    <row r="421" spans="1:13" x14ac:dyDescent="0.35">
      <c r="A421" t="s">
        <v>548</v>
      </c>
      <c r="B421" s="2">
        <v>45836</v>
      </c>
      <c r="C421" t="s">
        <v>483</v>
      </c>
      <c r="D421" t="s">
        <v>45</v>
      </c>
      <c r="E421" t="s">
        <v>46</v>
      </c>
      <c r="F421" t="s">
        <v>25</v>
      </c>
      <c r="G421">
        <v>1</v>
      </c>
      <c r="H421">
        <v>0.15</v>
      </c>
      <c r="I421">
        <v>15.3</v>
      </c>
      <c r="J421">
        <v>3.24</v>
      </c>
      <c r="K421" t="str">
        <f t="shared" si="18"/>
        <v>Office Supplies</v>
      </c>
      <c r="L421" t="str">
        <f t="shared" si="19"/>
        <v>Jun-2025</v>
      </c>
      <c r="M421" s="14">
        <f t="shared" si="20"/>
        <v>45809</v>
      </c>
    </row>
    <row r="422" spans="1:13" x14ac:dyDescent="0.35">
      <c r="A422" t="s">
        <v>549</v>
      </c>
      <c r="B422" s="2">
        <v>45692</v>
      </c>
      <c r="C422" t="s">
        <v>91</v>
      </c>
      <c r="D422" t="s">
        <v>35</v>
      </c>
      <c r="E422" t="s">
        <v>13</v>
      </c>
      <c r="F422" t="s">
        <v>14</v>
      </c>
      <c r="G422">
        <v>1</v>
      </c>
      <c r="H422">
        <v>0</v>
      </c>
      <c r="I422">
        <v>850</v>
      </c>
      <c r="J422">
        <v>376.16</v>
      </c>
      <c r="K422" t="str">
        <f t="shared" si="18"/>
        <v>Technology</v>
      </c>
      <c r="L422" t="str">
        <f t="shared" si="19"/>
        <v>Feb-2025</v>
      </c>
      <c r="M422" s="14">
        <f t="shared" si="20"/>
        <v>45689</v>
      </c>
    </row>
    <row r="423" spans="1:13" x14ac:dyDescent="0.35">
      <c r="A423" t="s">
        <v>550</v>
      </c>
      <c r="B423" s="2">
        <v>46004</v>
      </c>
      <c r="C423" t="s">
        <v>273</v>
      </c>
      <c r="D423" t="s">
        <v>28</v>
      </c>
      <c r="E423" t="s">
        <v>18</v>
      </c>
      <c r="F423" t="s">
        <v>25</v>
      </c>
      <c r="G423">
        <v>2</v>
      </c>
      <c r="H423">
        <v>0.2</v>
      </c>
      <c r="I423">
        <v>448</v>
      </c>
      <c r="J423">
        <v>175.81</v>
      </c>
      <c r="K423" t="str">
        <f t="shared" si="18"/>
        <v>Furniture</v>
      </c>
      <c r="L423" t="str">
        <f t="shared" si="19"/>
        <v>Dec-2025</v>
      </c>
      <c r="M423" s="14">
        <f t="shared" si="20"/>
        <v>45992</v>
      </c>
    </row>
    <row r="424" spans="1:13" x14ac:dyDescent="0.35">
      <c r="A424" t="s">
        <v>551</v>
      </c>
      <c r="B424" s="2">
        <v>45944</v>
      </c>
      <c r="C424" t="s">
        <v>189</v>
      </c>
      <c r="D424" t="s">
        <v>99</v>
      </c>
      <c r="E424" t="s">
        <v>18</v>
      </c>
      <c r="F424" t="s">
        <v>22</v>
      </c>
      <c r="G424">
        <v>4</v>
      </c>
      <c r="H424">
        <v>0.05</v>
      </c>
      <c r="I424">
        <v>722</v>
      </c>
      <c r="J424">
        <v>134.83000000000001</v>
      </c>
      <c r="K424" t="str">
        <f t="shared" si="18"/>
        <v>Furniture</v>
      </c>
      <c r="L424" t="str">
        <f t="shared" si="19"/>
        <v>Oct-2025</v>
      </c>
      <c r="M424" s="14">
        <f t="shared" si="20"/>
        <v>45931</v>
      </c>
    </row>
    <row r="425" spans="1:13" x14ac:dyDescent="0.35">
      <c r="A425" t="s">
        <v>552</v>
      </c>
      <c r="B425" s="2">
        <v>45753</v>
      </c>
      <c r="C425" t="s">
        <v>349</v>
      </c>
      <c r="D425" t="s">
        <v>38</v>
      </c>
      <c r="E425" t="s">
        <v>13</v>
      </c>
      <c r="F425" t="s">
        <v>22</v>
      </c>
      <c r="G425">
        <v>4</v>
      </c>
      <c r="H425">
        <v>0.15</v>
      </c>
      <c r="I425">
        <v>1088</v>
      </c>
      <c r="J425">
        <v>479.12</v>
      </c>
      <c r="K425" t="str">
        <f t="shared" si="18"/>
        <v>Technology</v>
      </c>
      <c r="L425" t="str">
        <f t="shared" si="19"/>
        <v>Apr-2025</v>
      </c>
      <c r="M425" s="14">
        <f t="shared" si="20"/>
        <v>45748</v>
      </c>
    </row>
    <row r="426" spans="1:13" x14ac:dyDescent="0.35">
      <c r="A426" t="s">
        <v>553</v>
      </c>
      <c r="B426" s="2">
        <v>45888</v>
      </c>
      <c r="C426" t="s">
        <v>27</v>
      </c>
      <c r="D426" t="s">
        <v>83</v>
      </c>
      <c r="E426" t="s">
        <v>46</v>
      </c>
      <c r="F426" t="s">
        <v>22</v>
      </c>
      <c r="G426">
        <v>4</v>
      </c>
      <c r="H426">
        <v>0.15</v>
      </c>
      <c r="I426">
        <v>85</v>
      </c>
      <c r="J426">
        <v>38.130000000000003</v>
      </c>
      <c r="K426" t="str">
        <f t="shared" si="18"/>
        <v>Office Supplies</v>
      </c>
      <c r="L426" t="str">
        <f t="shared" si="19"/>
        <v>Aug-2025</v>
      </c>
      <c r="M426" s="14">
        <f t="shared" si="20"/>
        <v>45870</v>
      </c>
    </row>
    <row r="427" spans="1:13" x14ac:dyDescent="0.35">
      <c r="A427" t="s">
        <v>554</v>
      </c>
      <c r="B427" s="2">
        <v>45800</v>
      </c>
      <c r="C427" t="s">
        <v>42</v>
      </c>
      <c r="D427" t="s">
        <v>17</v>
      </c>
      <c r="E427" t="s">
        <v>18</v>
      </c>
      <c r="F427" t="s">
        <v>22</v>
      </c>
      <c r="G427">
        <v>1</v>
      </c>
      <c r="H427">
        <v>0.2</v>
      </c>
      <c r="I427">
        <v>168</v>
      </c>
      <c r="J427">
        <v>69.959999999999994</v>
      </c>
      <c r="K427" t="str">
        <f t="shared" si="18"/>
        <v>Furniture</v>
      </c>
      <c r="L427" t="str">
        <f t="shared" si="19"/>
        <v>May-2025</v>
      </c>
      <c r="M427" s="14">
        <f t="shared" si="20"/>
        <v>45778</v>
      </c>
    </row>
    <row r="428" spans="1:13" x14ac:dyDescent="0.35">
      <c r="A428" t="s">
        <v>555</v>
      </c>
      <c r="B428" s="2">
        <v>45845</v>
      </c>
      <c r="C428" t="s">
        <v>78</v>
      </c>
      <c r="D428" t="s">
        <v>49</v>
      </c>
      <c r="E428" t="s">
        <v>13</v>
      </c>
      <c r="F428" t="s">
        <v>50</v>
      </c>
      <c r="G428">
        <v>2</v>
      </c>
      <c r="H428">
        <v>0.15</v>
      </c>
      <c r="I428">
        <v>119</v>
      </c>
      <c r="J428">
        <v>49.07</v>
      </c>
      <c r="K428" t="str">
        <f t="shared" si="18"/>
        <v>Technology</v>
      </c>
      <c r="L428" t="str">
        <f t="shared" si="19"/>
        <v>Jul-2025</v>
      </c>
      <c r="M428" s="14">
        <f t="shared" si="20"/>
        <v>45839</v>
      </c>
    </row>
    <row r="429" spans="1:13" x14ac:dyDescent="0.35">
      <c r="A429" t="s">
        <v>556</v>
      </c>
      <c r="B429" s="2">
        <v>45928</v>
      </c>
      <c r="C429" t="s">
        <v>286</v>
      </c>
      <c r="D429" t="s">
        <v>38</v>
      </c>
      <c r="E429" t="s">
        <v>13</v>
      </c>
      <c r="F429" t="s">
        <v>14</v>
      </c>
      <c r="G429">
        <v>3</v>
      </c>
      <c r="H429">
        <v>0.2</v>
      </c>
      <c r="I429">
        <v>768</v>
      </c>
      <c r="J429">
        <v>247.1</v>
      </c>
      <c r="K429" t="str">
        <f t="shared" si="18"/>
        <v>Technology</v>
      </c>
      <c r="L429" t="str">
        <f t="shared" si="19"/>
        <v>Sept-2025</v>
      </c>
      <c r="M429" s="14">
        <f t="shared" si="20"/>
        <v>45901</v>
      </c>
    </row>
    <row r="430" spans="1:13" x14ac:dyDescent="0.35">
      <c r="A430" t="s">
        <v>557</v>
      </c>
      <c r="B430" s="2">
        <v>45836</v>
      </c>
      <c r="C430" t="s">
        <v>236</v>
      </c>
      <c r="D430" t="s">
        <v>49</v>
      </c>
      <c r="E430" t="s">
        <v>13</v>
      </c>
      <c r="F430" t="s">
        <v>25</v>
      </c>
      <c r="G430">
        <v>4</v>
      </c>
      <c r="H430">
        <v>0.2</v>
      </c>
      <c r="I430">
        <v>224</v>
      </c>
      <c r="J430">
        <v>88.05</v>
      </c>
      <c r="K430" t="str">
        <f t="shared" si="18"/>
        <v>Technology</v>
      </c>
      <c r="L430" t="str">
        <f t="shared" si="19"/>
        <v>Jun-2025</v>
      </c>
      <c r="M430" s="14">
        <f t="shared" si="20"/>
        <v>45809</v>
      </c>
    </row>
    <row r="431" spans="1:13" x14ac:dyDescent="0.35">
      <c r="A431" t="s">
        <v>558</v>
      </c>
      <c r="B431" s="2">
        <v>45972</v>
      </c>
      <c r="C431" t="s">
        <v>109</v>
      </c>
      <c r="D431" t="s">
        <v>83</v>
      </c>
      <c r="E431" t="s">
        <v>46</v>
      </c>
      <c r="F431" t="s">
        <v>25</v>
      </c>
      <c r="G431">
        <v>1</v>
      </c>
      <c r="H431">
        <v>0.05</v>
      </c>
      <c r="I431">
        <v>23.75</v>
      </c>
      <c r="J431">
        <v>8.23</v>
      </c>
      <c r="K431" t="str">
        <f t="shared" si="18"/>
        <v>Office Supplies</v>
      </c>
      <c r="L431" t="str">
        <f t="shared" si="19"/>
        <v>Nov-2025</v>
      </c>
      <c r="M431" s="14">
        <f t="shared" si="20"/>
        <v>45962</v>
      </c>
    </row>
    <row r="432" spans="1:13" x14ac:dyDescent="0.35">
      <c r="A432" t="s">
        <v>559</v>
      </c>
      <c r="B432" s="2">
        <v>45717</v>
      </c>
      <c r="C432" t="s">
        <v>178</v>
      </c>
      <c r="D432" t="s">
        <v>28</v>
      </c>
      <c r="E432" t="s">
        <v>18</v>
      </c>
      <c r="F432" t="s">
        <v>22</v>
      </c>
      <c r="G432">
        <v>3</v>
      </c>
      <c r="H432">
        <v>0.05</v>
      </c>
      <c r="I432">
        <v>798</v>
      </c>
      <c r="J432">
        <v>224.58</v>
      </c>
      <c r="K432" t="str">
        <f t="shared" si="18"/>
        <v>Furniture</v>
      </c>
      <c r="L432" t="str">
        <f t="shared" si="19"/>
        <v>Mar-2025</v>
      </c>
      <c r="M432" s="14">
        <f t="shared" si="20"/>
        <v>45717</v>
      </c>
    </row>
    <row r="433" spans="1:13" x14ac:dyDescent="0.35">
      <c r="A433" t="s">
        <v>560</v>
      </c>
      <c r="B433" s="2">
        <v>45952</v>
      </c>
      <c r="C433" t="s">
        <v>42</v>
      </c>
      <c r="D433" t="s">
        <v>99</v>
      </c>
      <c r="E433" t="s">
        <v>18</v>
      </c>
      <c r="F433" t="s">
        <v>22</v>
      </c>
      <c r="G433">
        <v>4</v>
      </c>
      <c r="H433">
        <v>0.05</v>
      </c>
      <c r="I433">
        <v>722</v>
      </c>
      <c r="J433">
        <v>208.95</v>
      </c>
      <c r="K433" t="str">
        <f t="shared" si="18"/>
        <v>Furniture</v>
      </c>
      <c r="L433" t="str">
        <f t="shared" si="19"/>
        <v>Oct-2025</v>
      </c>
      <c r="M433" s="14">
        <f t="shared" si="20"/>
        <v>45931</v>
      </c>
    </row>
    <row r="434" spans="1:13" x14ac:dyDescent="0.35">
      <c r="A434" t="s">
        <v>561</v>
      </c>
      <c r="B434" s="2">
        <v>45942</v>
      </c>
      <c r="C434" t="s">
        <v>48</v>
      </c>
      <c r="D434" t="s">
        <v>28</v>
      </c>
      <c r="E434" t="s">
        <v>18</v>
      </c>
      <c r="F434" t="s">
        <v>50</v>
      </c>
      <c r="G434">
        <v>4</v>
      </c>
      <c r="H434">
        <v>0.1</v>
      </c>
      <c r="I434">
        <v>1008</v>
      </c>
      <c r="J434">
        <v>406.93</v>
      </c>
      <c r="K434" t="str">
        <f t="shared" si="18"/>
        <v>Furniture</v>
      </c>
      <c r="L434" t="str">
        <f t="shared" si="19"/>
        <v>Oct-2025</v>
      </c>
      <c r="M434" s="14">
        <f t="shared" si="20"/>
        <v>45931</v>
      </c>
    </row>
    <row r="435" spans="1:13" x14ac:dyDescent="0.35">
      <c r="A435" t="s">
        <v>562</v>
      </c>
      <c r="B435" s="2">
        <v>45975</v>
      </c>
      <c r="C435" t="s">
        <v>142</v>
      </c>
      <c r="D435" t="s">
        <v>67</v>
      </c>
      <c r="E435" t="s">
        <v>13</v>
      </c>
      <c r="F435" t="s">
        <v>50</v>
      </c>
      <c r="G435">
        <v>3</v>
      </c>
      <c r="H435">
        <v>0</v>
      </c>
      <c r="I435">
        <v>3600</v>
      </c>
      <c r="J435">
        <v>1044.28</v>
      </c>
      <c r="K435" t="str">
        <f t="shared" si="18"/>
        <v>Technology</v>
      </c>
      <c r="L435" t="str">
        <f t="shared" si="19"/>
        <v>Nov-2025</v>
      </c>
      <c r="M435" s="14">
        <f t="shared" si="20"/>
        <v>45962</v>
      </c>
    </row>
    <row r="436" spans="1:13" x14ac:dyDescent="0.35">
      <c r="A436" t="s">
        <v>563</v>
      </c>
      <c r="B436" s="2">
        <v>45945</v>
      </c>
      <c r="C436" t="s">
        <v>178</v>
      </c>
      <c r="D436" t="s">
        <v>55</v>
      </c>
      <c r="E436" t="s">
        <v>46</v>
      </c>
      <c r="F436" t="s">
        <v>50</v>
      </c>
      <c r="G436">
        <v>4</v>
      </c>
      <c r="H436">
        <v>0.15</v>
      </c>
      <c r="I436">
        <v>816</v>
      </c>
      <c r="J436">
        <v>182.82</v>
      </c>
      <c r="K436" t="str">
        <f t="shared" si="18"/>
        <v>Office Supplies</v>
      </c>
      <c r="L436" t="str">
        <f t="shared" si="19"/>
        <v>Oct-2025</v>
      </c>
      <c r="M436" s="14">
        <f t="shared" si="20"/>
        <v>45931</v>
      </c>
    </row>
    <row r="437" spans="1:13" x14ac:dyDescent="0.35">
      <c r="A437" t="s">
        <v>564</v>
      </c>
      <c r="B437" s="2">
        <v>45908</v>
      </c>
      <c r="C437" t="s">
        <v>213</v>
      </c>
      <c r="D437" t="s">
        <v>28</v>
      </c>
      <c r="E437" t="s">
        <v>18</v>
      </c>
      <c r="F437" t="s">
        <v>22</v>
      </c>
      <c r="G437">
        <v>1</v>
      </c>
      <c r="H437">
        <v>0.2</v>
      </c>
      <c r="I437">
        <v>224</v>
      </c>
      <c r="J437">
        <v>98.52</v>
      </c>
      <c r="K437" t="str">
        <f t="shared" si="18"/>
        <v>Furniture</v>
      </c>
      <c r="L437" t="str">
        <f t="shared" si="19"/>
        <v>Sept-2025</v>
      </c>
      <c r="M437" s="14">
        <f t="shared" si="20"/>
        <v>45901</v>
      </c>
    </row>
    <row r="438" spans="1:13" x14ac:dyDescent="0.35">
      <c r="A438" t="s">
        <v>565</v>
      </c>
      <c r="B438" s="2">
        <v>45807</v>
      </c>
      <c r="C438" t="s">
        <v>412</v>
      </c>
      <c r="D438" t="s">
        <v>67</v>
      </c>
      <c r="E438" t="s">
        <v>13</v>
      </c>
      <c r="F438" t="s">
        <v>50</v>
      </c>
      <c r="G438">
        <v>3</v>
      </c>
      <c r="H438">
        <v>0.05</v>
      </c>
      <c r="I438">
        <v>3420</v>
      </c>
      <c r="J438">
        <v>932.25</v>
      </c>
      <c r="K438" t="str">
        <f t="shared" si="18"/>
        <v>Technology</v>
      </c>
      <c r="L438" t="str">
        <f t="shared" si="19"/>
        <v>May-2025</v>
      </c>
      <c r="M438" s="14">
        <f t="shared" si="20"/>
        <v>45778</v>
      </c>
    </row>
    <row r="439" spans="1:13" x14ac:dyDescent="0.35">
      <c r="A439" t="s">
        <v>566</v>
      </c>
      <c r="B439" s="2">
        <v>45947</v>
      </c>
      <c r="C439" t="s">
        <v>219</v>
      </c>
      <c r="D439" t="s">
        <v>17</v>
      </c>
      <c r="E439" t="s">
        <v>18</v>
      </c>
      <c r="F439" t="s">
        <v>14</v>
      </c>
      <c r="G439">
        <v>4</v>
      </c>
      <c r="H439">
        <v>0.2</v>
      </c>
      <c r="I439">
        <v>672</v>
      </c>
      <c r="J439">
        <v>189.12</v>
      </c>
      <c r="K439" t="str">
        <f t="shared" si="18"/>
        <v>Furniture</v>
      </c>
      <c r="L439" t="str">
        <f t="shared" si="19"/>
        <v>Oct-2025</v>
      </c>
      <c r="M439" s="14">
        <f t="shared" si="20"/>
        <v>45931</v>
      </c>
    </row>
    <row r="440" spans="1:13" x14ac:dyDescent="0.35">
      <c r="A440" t="s">
        <v>567</v>
      </c>
      <c r="B440" s="2">
        <v>45795</v>
      </c>
      <c r="C440" t="s">
        <v>360</v>
      </c>
      <c r="D440" t="s">
        <v>55</v>
      </c>
      <c r="E440" t="s">
        <v>46</v>
      </c>
      <c r="F440" t="s">
        <v>50</v>
      </c>
      <c r="G440">
        <v>3</v>
      </c>
      <c r="H440">
        <v>0.2</v>
      </c>
      <c r="I440">
        <v>576</v>
      </c>
      <c r="J440">
        <v>102.84</v>
      </c>
      <c r="K440" t="str">
        <f t="shared" si="18"/>
        <v>Office Supplies</v>
      </c>
      <c r="L440" t="str">
        <f t="shared" si="19"/>
        <v>May-2025</v>
      </c>
      <c r="M440" s="14">
        <f t="shared" si="20"/>
        <v>45778</v>
      </c>
    </row>
    <row r="441" spans="1:13" x14ac:dyDescent="0.35">
      <c r="A441" t="s">
        <v>568</v>
      </c>
      <c r="B441" s="2">
        <v>45937</v>
      </c>
      <c r="C441" t="s">
        <v>196</v>
      </c>
      <c r="D441" t="s">
        <v>21</v>
      </c>
      <c r="E441" t="s">
        <v>18</v>
      </c>
      <c r="F441" t="s">
        <v>22</v>
      </c>
      <c r="G441">
        <v>4</v>
      </c>
      <c r="H441">
        <v>0</v>
      </c>
      <c r="I441">
        <v>220</v>
      </c>
      <c r="J441">
        <v>45.57</v>
      </c>
      <c r="K441" t="str">
        <f t="shared" si="18"/>
        <v>Furniture</v>
      </c>
      <c r="L441" t="str">
        <f t="shared" si="19"/>
        <v>Oct-2025</v>
      </c>
      <c r="M441" s="14">
        <f t="shared" si="20"/>
        <v>45931</v>
      </c>
    </row>
    <row r="442" spans="1:13" x14ac:dyDescent="0.35">
      <c r="A442" t="s">
        <v>569</v>
      </c>
      <c r="B442" s="2">
        <v>45810</v>
      </c>
      <c r="C442" t="s">
        <v>315</v>
      </c>
      <c r="D442" t="s">
        <v>67</v>
      </c>
      <c r="E442" t="s">
        <v>13</v>
      </c>
      <c r="F442" t="s">
        <v>50</v>
      </c>
      <c r="G442">
        <v>4</v>
      </c>
      <c r="H442">
        <v>0.1</v>
      </c>
      <c r="I442">
        <v>4320</v>
      </c>
      <c r="J442">
        <v>1447.07</v>
      </c>
      <c r="K442" t="str">
        <f t="shared" si="18"/>
        <v>Technology</v>
      </c>
      <c r="L442" t="str">
        <f t="shared" si="19"/>
        <v>Jun-2025</v>
      </c>
      <c r="M442" s="14">
        <f t="shared" si="20"/>
        <v>45809</v>
      </c>
    </row>
    <row r="443" spans="1:13" x14ac:dyDescent="0.35">
      <c r="A443" t="s">
        <v>570</v>
      </c>
      <c r="B443" s="2">
        <v>45718</v>
      </c>
      <c r="C443" t="s">
        <v>34</v>
      </c>
      <c r="D443" t="s">
        <v>21</v>
      </c>
      <c r="E443" t="s">
        <v>18</v>
      </c>
      <c r="F443" t="s">
        <v>50</v>
      </c>
      <c r="G443">
        <v>2</v>
      </c>
      <c r="H443">
        <v>0.2</v>
      </c>
      <c r="I443">
        <v>88</v>
      </c>
      <c r="J443">
        <v>19.59</v>
      </c>
      <c r="K443" t="str">
        <f t="shared" si="18"/>
        <v>Furniture</v>
      </c>
      <c r="L443" t="str">
        <f t="shared" si="19"/>
        <v>Mar-2025</v>
      </c>
      <c r="M443" s="14">
        <f t="shared" si="20"/>
        <v>45717</v>
      </c>
    </row>
    <row r="444" spans="1:13" x14ac:dyDescent="0.35">
      <c r="A444" t="s">
        <v>571</v>
      </c>
      <c r="B444" s="2">
        <v>45742</v>
      </c>
      <c r="C444" t="s">
        <v>105</v>
      </c>
      <c r="D444" t="s">
        <v>83</v>
      </c>
      <c r="E444" t="s">
        <v>46</v>
      </c>
      <c r="F444" t="s">
        <v>25</v>
      </c>
      <c r="G444">
        <v>2</v>
      </c>
      <c r="H444">
        <v>0.05</v>
      </c>
      <c r="I444">
        <v>47.5</v>
      </c>
      <c r="J444">
        <v>8.6199999999999992</v>
      </c>
      <c r="K444" t="str">
        <f t="shared" si="18"/>
        <v>Office Supplies</v>
      </c>
      <c r="L444" t="str">
        <f t="shared" si="19"/>
        <v>Mar-2025</v>
      </c>
      <c r="M444" s="14">
        <f t="shared" si="20"/>
        <v>45717</v>
      </c>
    </row>
    <row r="445" spans="1:13" x14ac:dyDescent="0.35">
      <c r="A445" t="s">
        <v>572</v>
      </c>
      <c r="B445" s="2">
        <v>45930</v>
      </c>
      <c r="C445" t="s">
        <v>34</v>
      </c>
      <c r="D445" t="s">
        <v>35</v>
      </c>
      <c r="E445" t="s">
        <v>13</v>
      </c>
      <c r="F445" t="s">
        <v>25</v>
      </c>
      <c r="G445">
        <v>5</v>
      </c>
      <c r="H445">
        <v>0.2</v>
      </c>
      <c r="I445">
        <v>3400</v>
      </c>
      <c r="J445">
        <v>1341.08</v>
      </c>
      <c r="K445" t="str">
        <f t="shared" si="18"/>
        <v>Technology</v>
      </c>
      <c r="L445" t="str">
        <f t="shared" si="19"/>
        <v>Sept-2025</v>
      </c>
      <c r="M445" s="14">
        <f t="shared" si="20"/>
        <v>45901</v>
      </c>
    </row>
    <row r="446" spans="1:13" x14ac:dyDescent="0.35">
      <c r="A446" t="s">
        <v>573</v>
      </c>
      <c r="B446" s="2">
        <v>45806</v>
      </c>
      <c r="C446" t="s">
        <v>236</v>
      </c>
      <c r="D446" t="s">
        <v>83</v>
      </c>
      <c r="E446" t="s">
        <v>46</v>
      </c>
      <c r="F446" t="s">
        <v>14</v>
      </c>
      <c r="G446">
        <v>3</v>
      </c>
      <c r="H446">
        <v>0.2</v>
      </c>
      <c r="I446">
        <v>60</v>
      </c>
      <c r="J446">
        <v>7.49</v>
      </c>
      <c r="K446" t="str">
        <f t="shared" si="18"/>
        <v>Office Supplies</v>
      </c>
      <c r="L446" t="str">
        <f t="shared" si="19"/>
        <v>May-2025</v>
      </c>
      <c r="M446" s="14">
        <f t="shared" si="20"/>
        <v>45778</v>
      </c>
    </row>
    <row r="447" spans="1:13" x14ac:dyDescent="0.35">
      <c r="A447" t="s">
        <v>574</v>
      </c>
      <c r="B447" s="2">
        <v>45727</v>
      </c>
      <c r="C447" t="s">
        <v>115</v>
      </c>
      <c r="D447" t="s">
        <v>99</v>
      </c>
      <c r="E447" t="s">
        <v>18</v>
      </c>
      <c r="F447" t="s">
        <v>22</v>
      </c>
      <c r="G447">
        <v>1</v>
      </c>
      <c r="H447">
        <v>0.1</v>
      </c>
      <c r="I447">
        <v>171</v>
      </c>
      <c r="J447">
        <v>28.02</v>
      </c>
      <c r="K447" t="str">
        <f t="shared" si="18"/>
        <v>Furniture</v>
      </c>
      <c r="L447" t="str">
        <f t="shared" si="19"/>
        <v>Mar-2025</v>
      </c>
      <c r="M447" s="14">
        <f t="shared" si="20"/>
        <v>45717</v>
      </c>
    </row>
    <row r="448" spans="1:13" x14ac:dyDescent="0.35">
      <c r="A448" t="s">
        <v>575</v>
      </c>
      <c r="B448" s="2">
        <v>45785</v>
      </c>
      <c r="C448" t="s">
        <v>236</v>
      </c>
      <c r="D448" t="s">
        <v>28</v>
      </c>
      <c r="E448" t="s">
        <v>18</v>
      </c>
      <c r="F448" t="s">
        <v>50</v>
      </c>
      <c r="G448">
        <v>3</v>
      </c>
      <c r="H448">
        <v>0.05</v>
      </c>
      <c r="I448">
        <v>798</v>
      </c>
      <c r="J448">
        <v>158.57</v>
      </c>
      <c r="K448" t="str">
        <f t="shared" si="18"/>
        <v>Furniture</v>
      </c>
      <c r="L448" t="str">
        <f t="shared" si="19"/>
        <v>May-2025</v>
      </c>
      <c r="M448" s="14">
        <f t="shared" si="20"/>
        <v>45778</v>
      </c>
    </row>
    <row r="449" spans="1:13" x14ac:dyDescent="0.35">
      <c r="A449" t="s">
        <v>576</v>
      </c>
      <c r="B449" s="2">
        <v>45908</v>
      </c>
      <c r="C449" t="s">
        <v>32</v>
      </c>
      <c r="D449" t="s">
        <v>28</v>
      </c>
      <c r="E449" t="s">
        <v>18</v>
      </c>
      <c r="F449" t="s">
        <v>50</v>
      </c>
      <c r="G449">
        <v>5</v>
      </c>
      <c r="H449">
        <v>0.1</v>
      </c>
      <c r="I449">
        <v>1260</v>
      </c>
      <c r="J449">
        <v>305.95999999999998</v>
      </c>
      <c r="K449" t="str">
        <f t="shared" si="18"/>
        <v>Furniture</v>
      </c>
      <c r="L449" t="str">
        <f t="shared" si="19"/>
        <v>Sept-2025</v>
      </c>
      <c r="M449" s="14">
        <f t="shared" si="20"/>
        <v>45901</v>
      </c>
    </row>
    <row r="450" spans="1:13" x14ac:dyDescent="0.35">
      <c r="A450" t="s">
        <v>577</v>
      </c>
      <c r="B450" s="2">
        <v>45696</v>
      </c>
      <c r="C450" t="s">
        <v>295</v>
      </c>
      <c r="D450" t="s">
        <v>38</v>
      </c>
      <c r="E450" t="s">
        <v>13</v>
      </c>
      <c r="F450" t="s">
        <v>25</v>
      </c>
      <c r="G450">
        <v>1</v>
      </c>
      <c r="H450">
        <v>0.15</v>
      </c>
      <c r="I450">
        <v>272</v>
      </c>
      <c r="J450">
        <v>76.12</v>
      </c>
      <c r="K450" t="str">
        <f t="shared" ref="K450:K513" si="21">TRIM(E450)</f>
        <v>Technology</v>
      </c>
      <c r="L450" t="str">
        <f t="shared" si="19"/>
        <v>Feb-2025</v>
      </c>
      <c r="M450" s="14">
        <f t="shared" si="20"/>
        <v>45689</v>
      </c>
    </row>
    <row r="451" spans="1:13" x14ac:dyDescent="0.35">
      <c r="A451" t="s">
        <v>578</v>
      </c>
      <c r="B451" s="2">
        <v>45890</v>
      </c>
      <c r="C451" t="s">
        <v>387</v>
      </c>
      <c r="D451" t="s">
        <v>45</v>
      </c>
      <c r="E451" t="s">
        <v>46</v>
      </c>
      <c r="F451" t="s">
        <v>14</v>
      </c>
      <c r="G451">
        <v>3</v>
      </c>
      <c r="H451">
        <v>0.2</v>
      </c>
      <c r="I451">
        <v>43.2</v>
      </c>
      <c r="J451">
        <v>19.399999999999999</v>
      </c>
      <c r="K451" t="str">
        <f t="shared" si="21"/>
        <v>Office Supplies</v>
      </c>
      <c r="L451" t="str">
        <f t="shared" ref="L451:L514" si="22">TEXT(B451,"mmm-yyyy")</f>
        <v>Aug-2025</v>
      </c>
      <c r="M451" s="14">
        <f t="shared" ref="M451:M514" si="23">DATE(YEAR(B451),MONTH(B451),1)</f>
        <v>45870</v>
      </c>
    </row>
    <row r="452" spans="1:13" x14ac:dyDescent="0.35">
      <c r="A452" t="s">
        <v>579</v>
      </c>
      <c r="B452" s="2">
        <v>45892</v>
      </c>
      <c r="C452" t="s">
        <v>286</v>
      </c>
      <c r="D452" t="s">
        <v>38</v>
      </c>
      <c r="E452" t="s">
        <v>13</v>
      </c>
      <c r="F452" t="s">
        <v>22</v>
      </c>
      <c r="G452">
        <v>3</v>
      </c>
      <c r="H452">
        <v>0</v>
      </c>
      <c r="I452">
        <v>960</v>
      </c>
      <c r="J452">
        <v>179.93</v>
      </c>
      <c r="K452" t="str">
        <f t="shared" si="21"/>
        <v>Technology</v>
      </c>
      <c r="L452" t="str">
        <f t="shared" si="22"/>
        <v>Aug-2025</v>
      </c>
      <c r="M452" s="14">
        <f t="shared" si="23"/>
        <v>45870</v>
      </c>
    </row>
    <row r="453" spans="1:13" x14ac:dyDescent="0.35">
      <c r="A453" t="s">
        <v>580</v>
      </c>
      <c r="B453" s="2">
        <v>45877</v>
      </c>
      <c r="C453" t="s">
        <v>364</v>
      </c>
      <c r="D453" t="s">
        <v>21</v>
      </c>
      <c r="E453" t="s">
        <v>18</v>
      </c>
      <c r="F453" t="s">
        <v>25</v>
      </c>
      <c r="G453">
        <v>4</v>
      </c>
      <c r="H453">
        <v>0.1</v>
      </c>
      <c r="I453">
        <v>198</v>
      </c>
      <c r="J453">
        <v>68</v>
      </c>
      <c r="K453" t="str">
        <f t="shared" si="21"/>
        <v>Furniture</v>
      </c>
      <c r="L453" t="str">
        <f t="shared" si="22"/>
        <v>Aug-2025</v>
      </c>
      <c r="M453" s="14">
        <f t="shared" si="23"/>
        <v>45870</v>
      </c>
    </row>
    <row r="454" spans="1:13" x14ac:dyDescent="0.35">
      <c r="A454" t="s">
        <v>581</v>
      </c>
      <c r="B454" s="2">
        <v>45938</v>
      </c>
      <c r="C454" t="s">
        <v>91</v>
      </c>
      <c r="D454" t="s">
        <v>83</v>
      </c>
      <c r="E454" t="s">
        <v>46</v>
      </c>
      <c r="F454" t="s">
        <v>14</v>
      </c>
      <c r="G454">
        <v>2</v>
      </c>
      <c r="H454">
        <v>0.2</v>
      </c>
      <c r="I454">
        <v>40</v>
      </c>
      <c r="J454">
        <v>6.75</v>
      </c>
      <c r="K454" t="str">
        <f t="shared" si="21"/>
        <v>Office Supplies</v>
      </c>
      <c r="L454" t="str">
        <f t="shared" si="22"/>
        <v>Oct-2025</v>
      </c>
      <c r="M454" s="14">
        <f t="shared" si="23"/>
        <v>45931</v>
      </c>
    </row>
    <row r="455" spans="1:13" x14ac:dyDescent="0.35">
      <c r="A455" t="s">
        <v>582</v>
      </c>
      <c r="B455" s="2">
        <v>45681</v>
      </c>
      <c r="C455" t="s">
        <v>273</v>
      </c>
      <c r="D455" t="s">
        <v>12</v>
      </c>
      <c r="E455" t="s">
        <v>13</v>
      </c>
      <c r="F455" t="s">
        <v>50</v>
      </c>
      <c r="G455">
        <v>4</v>
      </c>
      <c r="H455">
        <v>0</v>
      </c>
      <c r="I455">
        <v>140</v>
      </c>
      <c r="J455">
        <v>57.26</v>
      </c>
      <c r="K455" t="str">
        <f t="shared" si="21"/>
        <v>Technology</v>
      </c>
      <c r="L455" t="str">
        <f t="shared" si="22"/>
        <v>Jan-2025</v>
      </c>
      <c r="M455" s="14">
        <f t="shared" si="23"/>
        <v>45658</v>
      </c>
    </row>
    <row r="456" spans="1:13" x14ac:dyDescent="0.35">
      <c r="A456" t="s">
        <v>583</v>
      </c>
      <c r="B456" s="2">
        <v>45891</v>
      </c>
      <c r="C456" t="s">
        <v>115</v>
      </c>
      <c r="D456" t="s">
        <v>67</v>
      </c>
      <c r="E456" t="s">
        <v>13</v>
      </c>
      <c r="F456" t="s">
        <v>25</v>
      </c>
      <c r="G456">
        <v>4</v>
      </c>
      <c r="H456">
        <v>0.05</v>
      </c>
      <c r="I456">
        <v>4560</v>
      </c>
      <c r="J456">
        <v>553.67999999999995</v>
      </c>
      <c r="K456" t="str">
        <f t="shared" si="21"/>
        <v>Technology</v>
      </c>
      <c r="L456" t="str">
        <f t="shared" si="22"/>
        <v>Aug-2025</v>
      </c>
      <c r="M456" s="14">
        <f t="shared" si="23"/>
        <v>45870</v>
      </c>
    </row>
    <row r="457" spans="1:13" x14ac:dyDescent="0.35">
      <c r="A457" t="s">
        <v>584</v>
      </c>
      <c r="B457" s="2">
        <v>45739</v>
      </c>
      <c r="C457" t="s">
        <v>69</v>
      </c>
      <c r="D457" t="s">
        <v>35</v>
      </c>
      <c r="E457" t="s">
        <v>13</v>
      </c>
      <c r="F457" t="s">
        <v>22</v>
      </c>
      <c r="G457">
        <v>1</v>
      </c>
      <c r="H457">
        <v>0.1</v>
      </c>
      <c r="I457">
        <v>765</v>
      </c>
      <c r="J457">
        <v>281.04000000000002</v>
      </c>
      <c r="K457" t="str">
        <f t="shared" si="21"/>
        <v>Technology</v>
      </c>
      <c r="L457" t="str">
        <f t="shared" si="22"/>
        <v>Mar-2025</v>
      </c>
      <c r="M457" s="14">
        <f t="shared" si="23"/>
        <v>45717</v>
      </c>
    </row>
    <row r="458" spans="1:13" x14ac:dyDescent="0.35">
      <c r="A458" t="s">
        <v>585</v>
      </c>
      <c r="B458" s="2">
        <v>45684</v>
      </c>
      <c r="C458" t="s">
        <v>315</v>
      </c>
      <c r="D458" t="s">
        <v>99</v>
      </c>
      <c r="E458" t="s">
        <v>18</v>
      </c>
      <c r="F458" t="s">
        <v>14</v>
      </c>
      <c r="G458">
        <v>3</v>
      </c>
      <c r="H458">
        <v>0.05</v>
      </c>
      <c r="I458">
        <v>541.5</v>
      </c>
      <c r="J458">
        <v>166.97</v>
      </c>
      <c r="K458" t="str">
        <f t="shared" si="21"/>
        <v>Furniture</v>
      </c>
      <c r="L458" t="str">
        <f t="shared" si="22"/>
        <v>Jan-2025</v>
      </c>
      <c r="M458" s="14">
        <f t="shared" si="23"/>
        <v>45658</v>
      </c>
    </row>
    <row r="459" spans="1:13" x14ac:dyDescent="0.35">
      <c r="A459" t="s">
        <v>586</v>
      </c>
      <c r="B459" s="2">
        <v>45658</v>
      </c>
      <c r="C459" t="s">
        <v>224</v>
      </c>
      <c r="D459" t="s">
        <v>21</v>
      </c>
      <c r="E459" t="s">
        <v>18</v>
      </c>
      <c r="F459" t="s">
        <v>50</v>
      </c>
      <c r="G459">
        <v>4</v>
      </c>
      <c r="H459">
        <v>0</v>
      </c>
      <c r="I459">
        <v>220</v>
      </c>
      <c r="J459">
        <v>89.37</v>
      </c>
      <c r="K459" t="str">
        <f t="shared" si="21"/>
        <v>Furniture</v>
      </c>
      <c r="L459" t="str">
        <f t="shared" si="22"/>
        <v>Jan-2025</v>
      </c>
      <c r="M459" s="14">
        <f t="shared" si="23"/>
        <v>45658</v>
      </c>
    </row>
    <row r="460" spans="1:13" x14ac:dyDescent="0.35">
      <c r="A460" t="s">
        <v>587</v>
      </c>
      <c r="B460" s="2">
        <v>45662</v>
      </c>
      <c r="C460" t="s">
        <v>93</v>
      </c>
      <c r="D460" t="s">
        <v>67</v>
      </c>
      <c r="E460" t="s">
        <v>13</v>
      </c>
      <c r="F460" t="s">
        <v>22</v>
      </c>
      <c r="G460">
        <v>3</v>
      </c>
      <c r="H460">
        <v>0</v>
      </c>
      <c r="I460">
        <v>3600</v>
      </c>
      <c r="J460">
        <v>446.07</v>
      </c>
      <c r="K460" t="str">
        <f t="shared" si="21"/>
        <v>Technology</v>
      </c>
      <c r="L460" t="str">
        <f t="shared" si="22"/>
        <v>Jan-2025</v>
      </c>
      <c r="M460" s="14">
        <f t="shared" si="23"/>
        <v>45658</v>
      </c>
    </row>
    <row r="461" spans="1:13" x14ac:dyDescent="0.35">
      <c r="A461" t="s">
        <v>588</v>
      </c>
      <c r="B461" s="2">
        <v>45902</v>
      </c>
      <c r="C461" t="s">
        <v>122</v>
      </c>
      <c r="D461" t="s">
        <v>12</v>
      </c>
      <c r="E461" t="s">
        <v>13</v>
      </c>
      <c r="F461" t="s">
        <v>14</v>
      </c>
      <c r="G461">
        <v>2</v>
      </c>
      <c r="H461">
        <v>0.15</v>
      </c>
      <c r="I461">
        <v>59.5</v>
      </c>
      <c r="J461">
        <v>25.02</v>
      </c>
      <c r="K461" t="str">
        <f t="shared" si="21"/>
        <v>Technology</v>
      </c>
      <c r="L461" t="str">
        <f t="shared" si="22"/>
        <v>Sept-2025</v>
      </c>
      <c r="M461" s="14">
        <f t="shared" si="23"/>
        <v>45901</v>
      </c>
    </row>
    <row r="462" spans="1:13" x14ac:dyDescent="0.35">
      <c r="A462" t="s">
        <v>589</v>
      </c>
      <c r="B462" s="2">
        <v>45818</v>
      </c>
      <c r="C462" t="s">
        <v>57</v>
      </c>
      <c r="D462" t="s">
        <v>49</v>
      </c>
      <c r="E462" t="s">
        <v>13</v>
      </c>
      <c r="F462" t="s">
        <v>22</v>
      </c>
      <c r="G462">
        <v>3</v>
      </c>
      <c r="H462">
        <v>0.05</v>
      </c>
      <c r="I462">
        <v>199.5</v>
      </c>
      <c r="J462">
        <v>64.58</v>
      </c>
      <c r="K462" t="str">
        <f t="shared" si="21"/>
        <v>Technology</v>
      </c>
      <c r="L462" t="str">
        <f t="shared" si="22"/>
        <v>Jun-2025</v>
      </c>
      <c r="M462" s="14">
        <f t="shared" si="23"/>
        <v>45809</v>
      </c>
    </row>
    <row r="463" spans="1:13" x14ac:dyDescent="0.35">
      <c r="A463" t="s">
        <v>590</v>
      </c>
      <c r="B463" s="2">
        <v>45986</v>
      </c>
      <c r="C463" t="s">
        <v>62</v>
      </c>
      <c r="D463" t="s">
        <v>38</v>
      </c>
      <c r="E463" t="s">
        <v>13</v>
      </c>
      <c r="F463" t="s">
        <v>22</v>
      </c>
      <c r="G463">
        <v>2</v>
      </c>
      <c r="H463">
        <v>0</v>
      </c>
      <c r="I463">
        <v>640</v>
      </c>
      <c r="J463">
        <v>175.96</v>
      </c>
      <c r="K463" t="str">
        <f t="shared" si="21"/>
        <v>Technology</v>
      </c>
      <c r="L463" t="str">
        <f t="shared" si="22"/>
        <v>Nov-2025</v>
      </c>
      <c r="M463" s="14">
        <f t="shared" si="23"/>
        <v>45962</v>
      </c>
    </row>
    <row r="464" spans="1:13" x14ac:dyDescent="0.35">
      <c r="A464" t="s">
        <v>591</v>
      </c>
      <c r="B464" s="2">
        <v>45883</v>
      </c>
      <c r="C464" t="s">
        <v>349</v>
      </c>
      <c r="D464" t="s">
        <v>49</v>
      </c>
      <c r="E464" t="s">
        <v>13</v>
      </c>
      <c r="F464" t="s">
        <v>50</v>
      </c>
      <c r="G464">
        <v>2</v>
      </c>
      <c r="H464">
        <v>0.05</v>
      </c>
      <c r="I464">
        <v>133</v>
      </c>
      <c r="J464">
        <v>19.48</v>
      </c>
      <c r="K464" t="str">
        <f t="shared" si="21"/>
        <v>Technology</v>
      </c>
      <c r="L464" t="str">
        <f t="shared" si="22"/>
        <v>Aug-2025</v>
      </c>
      <c r="M464" s="14">
        <f t="shared" si="23"/>
        <v>45870</v>
      </c>
    </row>
    <row r="465" spans="1:13" x14ac:dyDescent="0.35">
      <c r="A465" t="s">
        <v>592</v>
      </c>
      <c r="B465" s="2">
        <v>45769</v>
      </c>
      <c r="C465" t="s">
        <v>24</v>
      </c>
      <c r="D465" t="s">
        <v>12</v>
      </c>
      <c r="E465" t="s">
        <v>13</v>
      </c>
      <c r="F465" t="s">
        <v>50</v>
      </c>
      <c r="G465">
        <v>1</v>
      </c>
      <c r="H465">
        <v>0.05</v>
      </c>
      <c r="I465">
        <v>33.25</v>
      </c>
      <c r="J465">
        <v>6.71</v>
      </c>
      <c r="K465" t="str">
        <f t="shared" si="21"/>
        <v>Technology</v>
      </c>
      <c r="L465" t="str">
        <f t="shared" si="22"/>
        <v>Apr-2025</v>
      </c>
      <c r="M465" s="14">
        <f t="shared" si="23"/>
        <v>45748</v>
      </c>
    </row>
    <row r="466" spans="1:13" x14ac:dyDescent="0.35">
      <c r="A466" t="s">
        <v>593</v>
      </c>
      <c r="B466" s="2">
        <v>45837</v>
      </c>
      <c r="C466" t="s">
        <v>192</v>
      </c>
      <c r="D466" t="s">
        <v>99</v>
      </c>
      <c r="E466" t="s">
        <v>18</v>
      </c>
      <c r="F466" t="s">
        <v>14</v>
      </c>
      <c r="G466">
        <v>3</v>
      </c>
      <c r="H466">
        <v>0.05</v>
      </c>
      <c r="I466">
        <v>541.5</v>
      </c>
      <c r="J466">
        <v>199.4</v>
      </c>
      <c r="K466" t="str">
        <f t="shared" si="21"/>
        <v>Furniture</v>
      </c>
      <c r="L466" t="str">
        <f t="shared" si="22"/>
        <v>Jun-2025</v>
      </c>
      <c r="M466" s="14">
        <f t="shared" si="23"/>
        <v>45809</v>
      </c>
    </row>
    <row r="467" spans="1:13" x14ac:dyDescent="0.35">
      <c r="A467" t="s">
        <v>594</v>
      </c>
      <c r="B467" s="2">
        <v>45785</v>
      </c>
      <c r="C467" t="s">
        <v>364</v>
      </c>
      <c r="D467" t="s">
        <v>55</v>
      </c>
      <c r="E467" t="s">
        <v>46</v>
      </c>
      <c r="F467" t="s">
        <v>14</v>
      </c>
      <c r="G467">
        <v>5</v>
      </c>
      <c r="H467">
        <v>0.2</v>
      </c>
      <c r="I467">
        <v>960</v>
      </c>
      <c r="J467">
        <v>203.53</v>
      </c>
      <c r="K467" t="str">
        <f t="shared" si="21"/>
        <v>Office Supplies</v>
      </c>
      <c r="L467" t="str">
        <f t="shared" si="22"/>
        <v>May-2025</v>
      </c>
      <c r="M467" s="14">
        <f t="shared" si="23"/>
        <v>45778</v>
      </c>
    </row>
    <row r="468" spans="1:13" x14ac:dyDescent="0.35">
      <c r="A468" t="s">
        <v>595</v>
      </c>
      <c r="B468" s="2">
        <v>45995</v>
      </c>
      <c r="C468" t="s">
        <v>142</v>
      </c>
      <c r="D468" t="s">
        <v>35</v>
      </c>
      <c r="E468" t="s">
        <v>13</v>
      </c>
      <c r="F468" t="s">
        <v>50</v>
      </c>
      <c r="G468">
        <v>2</v>
      </c>
      <c r="H468">
        <v>0.2</v>
      </c>
      <c r="I468">
        <v>1360</v>
      </c>
      <c r="J468">
        <v>339.61</v>
      </c>
      <c r="K468" t="str">
        <f t="shared" si="21"/>
        <v>Technology</v>
      </c>
      <c r="L468" t="str">
        <f t="shared" si="22"/>
        <v>Dec-2025</v>
      </c>
      <c r="M468" s="14">
        <f t="shared" si="23"/>
        <v>45992</v>
      </c>
    </row>
    <row r="469" spans="1:13" x14ac:dyDescent="0.35">
      <c r="A469" t="s">
        <v>596</v>
      </c>
      <c r="B469" s="2">
        <v>45809</v>
      </c>
      <c r="C469" t="s">
        <v>183</v>
      </c>
      <c r="D469" t="s">
        <v>38</v>
      </c>
      <c r="E469" t="s">
        <v>13</v>
      </c>
      <c r="F469" t="s">
        <v>22</v>
      </c>
      <c r="G469">
        <v>1</v>
      </c>
      <c r="H469">
        <v>0.05</v>
      </c>
      <c r="I469">
        <v>304</v>
      </c>
      <c r="J469">
        <v>87.15</v>
      </c>
      <c r="K469" t="str">
        <f t="shared" si="21"/>
        <v>Technology</v>
      </c>
      <c r="L469" t="str">
        <f t="shared" si="22"/>
        <v>Jun-2025</v>
      </c>
      <c r="M469" s="14">
        <f t="shared" si="23"/>
        <v>45809</v>
      </c>
    </row>
    <row r="470" spans="1:13" x14ac:dyDescent="0.35">
      <c r="A470" t="s">
        <v>597</v>
      </c>
      <c r="B470" s="2">
        <v>45913</v>
      </c>
      <c r="C470" t="s">
        <v>62</v>
      </c>
      <c r="D470" t="s">
        <v>38</v>
      </c>
      <c r="E470" t="s">
        <v>13</v>
      </c>
      <c r="F470" t="s">
        <v>25</v>
      </c>
      <c r="G470">
        <v>5</v>
      </c>
      <c r="H470">
        <v>0</v>
      </c>
      <c r="I470">
        <v>1600</v>
      </c>
      <c r="J470">
        <v>441.06</v>
      </c>
      <c r="K470" t="str">
        <f t="shared" si="21"/>
        <v>Technology</v>
      </c>
      <c r="L470" t="str">
        <f t="shared" si="22"/>
        <v>Sept-2025</v>
      </c>
      <c r="M470" s="14">
        <f t="shared" si="23"/>
        <v>45901</v>
      </c>
    </row>
    <row r="471" spans="1:13" x14ac:dyDescent="0.35">
      <c r="A471" t="s">
        <v>598</v>
      </c>
      <c r="B471" s="2">
        <v>45820</v>
      </c>
      <c r="C471" t="s">
        <v>119</v>
      </c>
      <c r="D471" t="s">
        <v>28</v>
      </c>
      <c r="E471" t="s">
        <v>18</v>
      </c>
      <c r="F471" t="s">
        <v>22</v>
      </c>
      <c r="G471">
        <v>4</v>
      </c>
      <c r="H471">
        <v>0.2</v>
      </c>
      <c r="I471">
        <v>896</v>
      </c>
      <c r="J471">
        <v>278.76</v>
      </c>
      <c r="K471" t="str">
        <f t="shared" si="21"/>
        <v>Furniture</v>
      </c>
      <c r="L471" t="str">
        <f t="shared" si="22"/>
        <v>Jun-2025</v>
      </c>
      <c r="M471" s="14">
        <f t="shared" si="23"/>
        <v>45809</v>
      </c>
    </row>
    <row r="472" spans="1:13" x14ac:dyDescent="0.35">
      <c r="A472" t="s">
        <v>599</v>
      </c>
      <c r="B472" s="2">
        <v>45899</v>
      </c>
      <c r="C472" t="s">
        <v>113</v>
      </c>
      <c r="D472" t="s">
        <v>12</v>
      </c>
      <c r="E472" t="s">
        <v>13</v>
      </c>
      <c r="F472" t="s">
        <v>22</v>
      </c>
      <c r="G472">
        <v>1</v>
      </c>
      <c r="H472">
        <v>0.2</v>
      </c>
      <c r="I472">
        <v>28</v>
      </c>
      <c r="J472">
        <v>11.98</v>
      </c>
      <c r="K472" t="str">
        <f t="shared" si="21"/>
        <v>Technology</v>
      </c>
      <c r="L472" t="str">
        <f t="shared" si="22"/>
        <v>Aug-2025</v>
      </c>
      <c r="M472" s="14">
        <f t="shared" si="23"/>
        <v>45870</v>
      </c>
    </row>
    <row r="473" spans="1:13" x14ac:dyDescent="0.35">
      <c r="A473" t="s">
        <v>600</v>
      </c>
      <c r="B473" s="2">
        <v>45678</v>
      </c>
      <c r="C473" t="s">
        <v>165</v>
      </c>
      <c r="D473" t="s">
        <v>67</v>
      </c>
      <c r="E473" t="s">
        <v>13</v>
      </c>
      <c r="F473" t="s">
        <v>50</v>
      </c>
      <c r="G473">
        <v>4</v>
      </c>
      <c r="H473">
        <v>0.2</v>
      </c>
      <c r="I473">
        <v>3840</v>
      </c>
      <c r="J473">
        <v>1364.96</v>
      </c>
      <c r="K473" t="str">
        <f t="shared" si="21"/>
        <v>Technology</v>
      </c>
      <c r="L473" t="str">
        <f t="shared" si="22"/>
        <v>Jan-2025</v>
      </c>
      <c r="M473" s="14">
        <f t="shared" si="23"/>
        <v>45658</v>
      </c>
    </row>
    <row r="474" spans="1:13" x14ac:dyDescent="0.35">
      <c r="A474" t="s">
        <v>601</v>
      </c>
      <c r="B474" s="2">
        <v>45874</v>
      </c>
      <c r="C474" t="s">
        <v>42</v>
      </c>
      <c r="D474" t="s">
        <v>17</v>
      </c>
      <c r="E474" t="s">
        <v>18</v>
      </c>
      <c r="F474" t="s">
        <v>22</v>
      </c>
      <c r="G474">
        <v>4</v>
      </c>
      <c r="H474">
        <v>0</v>
      </c>
      <c r="I474">
        <v>840</v>
      </c>
      <c r="J474">
        <v>200.44</v>
      </c>
      <c r="K474" t="str">
        <f t="shared" si="21"/>
        <v>Furniture</v>
      </c>
      <c r="L474" t="str">
        <f t="shared" si="22"/>
        <v>Aug-2025</v>
      </c>
      <c r="M474" s="14">
        <f t="shared" si="23"/>
        <v>45870</v>
      </c>
    </row>
    <row r="475" spans="1:13" x14ac:dyDescent="0.35">
      <c r="A475" t="s">
        <v>602</v>
      </c>
      <c r="B475" s="2">
        <v>45800</v>
      </c>
      <c r="C475" t="s">
        <v>124</v>
      </c>
      <c r="D475" t="s">
        <v>12</v>
      </c>
      <c r="E475" t="s">
        <v>13</v>
      </c>
      <c r="F475" t="s">
        <v>22</v>
      </c>
      <c r="G475">
        <v>3</v>
      </c>
      <c r="H475">
        <v>0</v>
      </c>
      <c r="I475">
        <v>105</v>
      </c>
      <c r="J475">
        <v>29.53</v>
      </c>
      <c r="K475" t="str">
        <f t="shared" si="21"/>
        <v>Technology</v>
      </c>
      <c r="L475" t="str">
        <f t="shared" si="22"/>
        <v>May-2025</v>
      </c>
      <c r="M475" s="14">
        <f t="shared" si="23"/>
        <v>45778</v>
      </c>
    </row>
    <row r="476" spans="1:13" x14ac:dyDescent="0.35">
      <c r="A476" t="s">
        <v>603</v>
      </c>
      <c r="B476" s="2">
        <v>45932</v>
      </c>
      <c r="C476" t="s">
        <v>196</v>
      </c>
      <c r="D476" t="s">
        <v>49</v>
      </c>
      <c r="E476" t="s">
        <v>13</v>
      </c>
      <c r="F476" t="s">
        <v>14</v>
      </c>
      <c r="G476">
        <v>4</v>
      </c>
      <c r="H476">
        <v>0.2</v>
      </c>
      <c r="I476">
        <v>224</v>
      </c>
      <c r="J476">
        <v>53.91</v>
      </c>
      <c r="K476" t="str">
        <f t="shared" si="21"/>
        <v>Technology</v>
      </c>
      <c r="L476" t="str">
        <f t="shared" si="22"/>
        <v>Oct-2025</v>
      </c>
      <c r="M476" s="14">
        <f t="shared" si="23"/>
        <v>45931</v>
      </c>
    </row>
    <row r="477" spans="1:13" x14ac:dyDescent="0.35">
      <c r="A477" t="s">
        <v>604</v>
      </c>
      <c r="B477" s="2">
        <v>45816</v>
      </c>
      <c r="C477" t="s">
        <v>315</v>
      </c>
      <c r="D477" t="s">
        <v>17</v>
      </c>
      <c r="E477" t="s">
        <v>18</v>
      </c>
      <c r="F477" t="s">
        <v>50</v>
      </c>
      <c r="G477">
        <v>4</v>
      </c>
      <c r="H477">
        <v>0.05</v>
      </c>
      <c r="I477">
        <v>798</v>
      </c>
      <c r="J477">
        <v>343.85</v>
      </c>
      <c r="K477" t="str">
        <f t="shared" si="21"/>
        <v>Furniture</v>
      </c>
      <c r="L477" t="str">
        <f t="shared" si="22"/>
        <v>Jun-2025</v>
      </c>
      <c r="M477" s="14">
        <f t="shared" si="23"/>
        <v>45809</v>
      </c>
    </row>
    <row r="478" spans="1:13" x14ac:dyDescent="0.35">
      <c r="A478" t="s">
        <v>605</v>
      </c>
      <c r="B478" s="2">
        <v>45717</v>
      </c>
      <c r="C478" t="s">
        <v>78</v>
      </c>
      <c r="D478" t="s">
        <v>45</v>
      </c>
      <c r="E478" t="s">
        <v>46</v>
      </c>
      <c r="F478" t="s">
        <v>22</v>
      </c>
      <c r="G478">
        <v>5</v>
      </c>
      <c r="H478">
        <v>0.2</v>
      </c>
      <c r="I478">
        <v>72</v>
      </c>
      <c r="J478">
        <v>31.09</v>
      </c>
      <c r="K478" t="str">
        <f t="shared" si="21"/>
        <v>Office Supplies</v>
      </c>
      <c r="L478" t="str">
        <f t="shared" si="22"/>
        <v>Mar-2025</v>
      </c>
      <c r="M478" s="14">
        <f t="shared" si="23"/>
        <v>45717</v>
      </c>
    </row>
    <row r="479" spans="1:13" x14ac:dyDescent="0.35">
      <c r="A479" t="s">
        <v>606</v>
      </c>
      <c r="B479" s="2">
        <v>45719</v>
      </c>
      <c r="C479" t="s">
        <v>30</v>
      </c>
      <c r="D479" t="s">
        <v>67</v>
      </c>
      <c r="E479" t="s">
        <v>13</v>
      </c>
      <c r="F479" t="s">
        <v>25</v>
      </c>
      <c r="G479">
        <v>2</v>
      </c>
      <c r="H479">
        <v>0</v>
      </c>
      <c r="I479">
        <v>2400</v>
      </c>
      <c r="J479">
        <v>950.24</v>
      </c>
      <c r="K479" t="str">
        <f t="shared" si="21"/>
        <v>Technology</v>
      </c>
      <c r="L479" t="str">
        <f t="shared" si="22"/>
        <v>Mar-2025</v>
      </c>
      <c r="M479" s="14">
        <f t="shared" si="23"/>
        <v>45717</v>
      </c>
    </row>
    <row r="480" spans="1:13" x14ac:dyDescent="0.35">
      <c r="A480" t="s">
        <v>607</v>
      </c>
      <c r="B480" s="2">
        <v>45743</v>
      </c>
      <c r="C480" t="s">
        <v>404</v>
      </c>
      <c r="D480" t="s">
        <v>49</v>
      </c>
      <c r="E480" t="s">
        <v>13</v>
      </c>
      <c r="F480" t="s">
        <v>14</v>
      </c>
      <c r="G480">
        <v>2</v>
      </c>
      <c r="H480">
        <v>0.1</v>
      </c>
      <c r="I480">
        <v>126</v>
      </c>
      <c r="J480">
        <v>26.22</v>
      </c>
      <c r="K480" t="str">
        <f t="shared" si="21"/>
        <v>Technology</v>
      </c>
      <c r="L480" t="str">
        <f t="shared" si="22"/>
        <v>Mar-2025</v>
      </c>
      <c r="M480" s="14">
        <f t="shared" si="23"/>
        <v>45717</v>
      </c>
    </row>
    <row r="481" spans="1:13" x14ac:dyDescent="0.35">
      <c r="A481" t="s">
        <v>608</v>
      </c>
      <c r="B481" s="2">
        <v>45829</v>
      </c>
      <c r="C481" t="s">
        <v>165</v>
      </c>
      <c r="D481" t="s">
        <v>99</v>
      </c>
      <c r="E481" t="s">
        <v>18</v>
      </c>
      <c r="F481" t="s">
        <v>14</v>
      </c>
      <c r="G481">
        <v>3</v>
      </c>
      <c r="H481">
        <v>0.2</v>
      </c>
      <c r="I481">
        <v>456</v>
      </c>
      <c r="J481">
        <v>195.59</v>
      </c>
      <c r="K481" t="str">
        <f t="shared" si="21"/>
        <v>Furniture</v>
      </c>
      <c r="L481" t="str">
        <f t="shared" si="22"/>
        <v>Jun-2025</v>
      </c>
      <c r="M481" s="14">
        <f t="shared" si="23"/>
        <v>45809</v>
      </c>
    </row>
    <row r="482" spans="1:13" x14ac:dyDescent="0.35">
      <c r="A482" t="s">
        <v>609</v>
      </c>
      <c r="B482" s="2">
        <v>45912</v>
      </c>
      <c r="C482" t="s">
        <v>73</v>
      </c>
      <c r="D482" t="s">
        <v>45</v>
      </c>
      <c r="E482" t="s">
        <v>46</v>
      </c>
      <c r="F482" t="s">
        <v>22</v>
      </c>
      <c r="G482">
        <v>5</v>
      </c>
      <c r="H482">
        <v>0.1</v>
      </c>
      <c r="I482">
        <v>81</v>
      </c>
      <c r="J482">
        <v>34.97</v>
      </c>
      <c r="K482" t="str">
        <f t="shared" si="21"/>
        <v>Office Supplies</v>
      </c>
      <c r="L482" t="str">
        <f t="shared" si="22"/>
        <v>Sept-2025</v>
      </c>
      <c r="M482" s="14">
        <f t="shared" si="23"/>
        <v>45901</v>
      </c>
    </row>
    <row r="483" spans="1:13" x14ac:dyDescent="0.35">
      <c r="A483" t="s">
        <v>610</v>
      </c>
      <c r="B483" s="2">
        <v>45846</v>
      </c>
      <c r="C483" t="s">
        <v>236</v>
      </c>
      <c r="D483" t="s">
        <v>28</v>
      </c>
      <c r="E483" t="s">
        <v>18</v>
      </c>
      <c r="F483" t="s">
        <v>14</v>
      </c>
      <c r="G483">
        <v>3</v>
      </c>
      <c r="H483">
        <v>0</v>
      </c>
      <c r="I483">
        <v>840</v>
      </c>
      <c r="J483">
        <v>130.11000000000001</v>
      </c>
      <c r="K483" t="str">
        <f t="shared" si="21"/>
        <v>Furniture</v>
      </c>
      <c r="L483" t="str">
        <f t="shared" si="22"/>
        <v>Jul-2025</v>
      </c>
      <c r="M483" s="14">
        <f t="shared" si="23"/>
        <v>45839</v>
      </c>
    </row>
    <row r="484" spans="1:13" x14ac:dyDescent="0.35">
      <c r="A484" t="s">
        <v>611</v>
      </c>
      <c r="B484" s="2">
        <v>45774</v>
      </c>
      <c r="C484" t="s">
        <v>62</v>
      </c>
      <c r="D484" t="s">
        <v>17</v>
      </c>
      <c r="E484" t="s">
        <v>18</v>
      </c>
      <c r="F484" t="s">
        <v>22</v>
      </c>
      <c r="G484">
        <v>5</v>
      </c>
      <c r="H484">
        <v>0</v>
      </c>
      <c r="I484">
        <v>1050</v>
      </c>
      <c r="J484">
        <v>457.24</v>
      </c>
      <c r="K484" t="str">
        <f t="shared" si="21"/>
        <v>Furniture</v>
      </c>
      <c r="L484" t="str">
        <f t="shared" si="22"/>
        <v>Apr-2025</v>
      </c>
      <c r="M484" s="14">
        <f t="shared" si="23"/>
        <v>45748</v>
      </c>
    </row>
    <row r="485" spans="1:13" x14ac:dyDescent="0.35">
      <c r="A485" t="s">
        <v>612</v>
      </c>
      <c r="B485" s="2">
        <v>45681</v>
      </c>
      <c r="C485" t="s">
        <v>238</v>
      </c>
      <c r="D485" t="s">
        <v>45</v>
      </c>
      <c r="E485" t="s">
        <v>46</v>
      </c>
      <c r="F485" t="s">
        <v>14</v>
      </c>
      <c r="G485">
        <v>3</v>
      </c>
      <c r="H485">
        <v>0.15</v>
      </c>
      <c r="I485">
        <v>45.9</v>
      </c>
      <c r="J485">
        <v>6.72</v>
      </c>
      <c r="K485" t="str">
        <f t="shared" si="21"/>
        <v>Office Supplies</v>
      </c>
      <c r="L485" t="str">
        <f t="shared" si="22"/>
        <v>Jan-2025</v>
      </c>
      <c r="M485" s="14">
        <f t="shared" si="23"/>
        <v>45658</v>
      </c>
    </row>
    <row r="486" spans="1:13" x14ac:dyDescent="0.35">
      <c r="A486" t="s">
        <v>613</v>
      </c>
      <c r="B486" s="2">
        <v>45941</v>
      </c>
      <c r="C486" t="s">
        <v>178</v>
      </c>
      <c r="D486" t="s">
        <v>17</v>
      </c>
      <c r="E486" t="s">
        <v>18</v>
      </c>
      <c r="F486" t="s">
        <v>25</v>
      </c>
      <c r="G486">
        <v>4</v>
      </c>
      <c r="H486">
        <v>0.05</v>
      </c>
      <c r="I486">
        <v>798</v>
      </c>
      <c r="J486">
        <v>274.36</v>
      </c>
      <c r="K486" t="str">
        <f t="shared" si="21"/>
        <v>Furniture</v>
      </c>
      <c r="L486" t="str">
        <f t="shared" si="22"/>
        <v>Oct-2025</v>
      </c>
      <c r="M486" s="14">
        <f t="shared" si="23"/>
        <v>45931</v>
      </c>
    </row>
    <row r="487" spans="1:13" x14ac:dyDescent="0.35">
      <c r="A487" t="s">
        <v>614</v>
      </c>
      <c r="B487" s="2">
        <v>45796</v>
      </c>
      <c r="C487" t="s">
        <v>236</v>
      </c>
      <c r="D487" t="s">
        <v>12</v>
      </c>
      <c r="E487" t="s">
        <v>13</v>
      </c>
      <c r="F487" t="s">
        <v>14</v>
      </c>
      <c r="G487">
        <v>5</v>
      </c>
      <c r="H487">
        <v>0.1</v>
      </c>
      <c r="I487">
        <v>157.5</v>
      </c>
      <c r="J487">
        <v>64.67</v>
      </c>
      <c r="K487" t="str">
        <f t="shared" si="21"/>
        <v>Technology</v>
      </c>
      <c r="L487" t="str">
        <f t="shared" si="22"/>
        <v>May-2025</v>
      </c>
      <c r="M487" s="14">
        <f t="shared" si="23"/>
        <v>45778</v>
      </c>
    </row>
    <row r="488" spans="1:13" x14ac:dyDescent="0.35">
      <c r="A488" t="s">
        <v>615</v>
      </c>
      <c r="B488" s="2">
        <v>45749</v>
      </c>
      <c r="C488" t="s">
        <v>80</v>
      </c>
      <c r="D488" t="s">
        <v>21</v>
      </c>
      <c r="E488" t="s">
        <v>18</v>
      </c>
      <c r="F488" t="s">
        <v>50</v>
      </c>
      <c r="G488">
        <v>5</v>
      </c>
      <c r="H488">
        <v>0</v>
      </c>
      <c r="I488">
        <v>275</v>
      </c>
      <c r="J488">
        <v>37.17</v>
      </c>
      <c r="K488" t="str">
        <f t="shared" si="21"/>
        <v>Furniture</v>
      </c>
      <c r="L488" t="str">
        <f t="shared" si="22"/>
        <v>Apr-2025</v>
      </c>
      <c r="M488" s="14">
        <f t="shared" si="23"/>
        <v>45748</v>
      </c>
    </row>
    <row r="489" spans="1:13" x14ac:dyDescent="0.35">
      <c r="A489" t="s">
        <v>616</v>
      </c>
      <c r="B489" s="2">
        <v>45802</v>
      </c>
      <c r="C489" t="s">
        <v>62</v>
      </c>
      <c r="D489" t="s">
        <v>35</v>
      </c>
      <c r="E489" t="s">
        <v>13</v>
      </c>
      <c r="F489" t="s">
        <v>25</v>
      </c>
      <c r="G489">
        <v>3</v>
      </c>
      <c r="H489">
        <v>0</v>
      </c>
      <c r="I489">
        <v>2550</v>
      </c>
      <c r="J489">
        <v>682.07</v>
      </c>
      <c r="K489" t="str">
        <f t="shared" si="21"/>
        <v>Technology</v>
      </c>
      <c r="L489" t="str">
        <f t="shared" si="22"/>
        <v>May-2025</v>
      </c>
      <c r="M489" s="14">
        <f t="shared" si="23"/>
        <v>45778</v>
      </c>
    </row>
    <row r="490" spans="1:13" x14ac:dyDescent="0.35">
      <c r="A490" t="s">
        <v>617</v>
      </c>
      <c r="B490" s="2">
        <v>45760</v>
      </c>
      <c r="C490" t="s">
        <v>163</v>
      </c>
      <c r="D490" t="s">
        <v>35</v>
      </c>
      <c r="E490" t="s">
        <v>13</v>
      </c>
      <c r="F490" t="s">
        <v>50</v>
      </c>
      <c r="G490">
        <v>5</v>
      </c>
      <c r="H490">
        <v>0.1</v>
      </c>
      <c r="I490">
        <v>3825</v>
      </c>
      <c r="J490">
        <v>787.72</v>
      </c>
      <c r="K490" t="str">
        <f t="shared" si="21"/>
        <v>Technology</v>
      </c>
      <c r="L490" t="str">
        <f t="shared" si="22"/>
        <v>Apr-2025</v>
      </c>
      <c r="M490" s="14">
        <f t="shared" si="23"/>
        <v>45748</v>
      </c>
    </row>
    <row r="491" spans="1:13" x14ac:dyDescent="0.35">
      <c r="A491" t="s">
        <v>618</v>
      </c>
      <c r="B491" s="2">
        <v>45846</v>
      </c>
      <c r="C491" t="s">
        <v>119</v>
      </c>
      <c r="D491" t="s">
        <v>83</v>
      </c>
      <c r="E491" t="s">
        <v>46</v>
      </c>
      <c r="F491" t="s">
        <v>22</v>
      </c>
      <c r="G491">
        <v>4</v>
      </c>
      <c r="H491">
        <v>0.05</v>
      </c>
      <c r="I491">
        <v>95</v>
      </c>
      <c r="J491">
        <v>19.79</v>
      </c>
      <c r="K491" t="str">
        <f t="shared" si="21"/>
        <v>Office Supplies</v>
      </c>
      <c r="L491" t="str">
        <f t="shared" si="22"/>
        <v>Jul-2025</v>
      </c>
      <c r="M491" s="14">
        <f t="shared" si="23"/>
        <v>45839</v>
      </c>
    </row>
    <row r="492" spans="1:13" x14ac:dyDescent="0.35">
      <c r="A492" t="s">
        <v>619</v>
      </c>
      <c r="B492" s="2">
        <v>45735</v>
      </c>
      <c r="C492" t="s">
        <v>30</v>
      </c>
      <c r="D492" t="s">
        <v>67</v>
      </c>
      <c r="E492" t="s">
        <v>13</v>
      </c>
      <c r="F492" t="s">
        <v>14</v>
      </c>
      <c r="G492">
        <v>4</v>
      </c>
      <c r="H492">
        <v>0</v>
      </c>
      <c r="I492">
        <v>4800</v>
      </c>
      <c r="J492">
        <v>1790.93</v>
      </c>
      <c r="K492" t="str">
        <f t="shared" si="21"/>
        <v>Technology</v>
      </c>
      <c r="L492" t="str">
        <f t="shared" si="22"/>
        <v>Mar-2025</v>
      </c>
      <c r="M492" s="14">
        <f t="shared" si="23"/>
        <v>45717</v>
      </c>
    </row>
    <row r="493" spans="1:13" x14ac:dyDescent="0.35">
      <c r="A493" t="s">
        <v>620</v>
      </c>
      <c r="B493" s="2">
        <v>45829</v>
      </c>
      <c r="C493" t="s">
        <v>76</v>
      </c>
      <c r="D493" t="s">
        <v>67</v>
      </c>
      <c r="E493" t="s">
        <v>13</v>
      </c>
      <c r="F493" t="s">
        <v>22</v>
      </c>
      <c r="G493">
        <v>4</v>
      </c>
      <c r="H493">
        <v>0.1</v>
      </c>
      <c r="I493">
        <v>4320</v>
      </c>
      <c r="J493">
        <v>1795.81</v>
      </c>
      <c r="K493" t="str">
        <f t="shared" si="21"/>
        <v>Technology</v>
      </c>
      <c r="L493" t="str">
        <f t="shared" si="22"/>
        <v>Jun-2025</v>
      </c>
      <c r="M493" s="14">
        <f t="shared" si="23"/>
        <v>45809</v>
      </c>
    </row>
    <row r="494" spans="1:13" x14ac:dyDescent="0.35">
      <c r="A494" t="s">
        <v>621</v>
      </c>
      <c r="B494" s="2">
        <v>45872</v>
      </c>
      <c r="C494" t="s">
        <v>315</v>
      </c>
      <c r="D494" t="s">
        <v>45</v>
      </c>
      <c r="E494" t="s">
        <v>46</v>
      </c>
      <c r="F494" t="s">
        <v>14</v>
      </c>
      <c r="G494">
        <v>1</v>
      </c>
      <c r="H494">
        <v>0.05</v>
      </c>
      <c r="I494">
        <v>17.100000000000001</v>
      </c>
      <c r="J494">
        <v>3.68</v>
      </c>
      <c r="K494" t="str">
        <f t="shared" si="21"/>
        <v>Office Supplies</v>
      </c>
      <c r="L494" t="str">
        <f t="shared" si="22"/>
        <v>Aug-2025</v>
      </c>
      <c r="M494" s="14">
        <f t="shared" si="23"/>
        <v>45870</v>
      </c>
    </row>
    <row r="495" spans="1:13" x14ac:dyDescent="0.35">
      <c r="A495" t="s">
        <v>622</v>
      </c>
      <c r="B495" s="2">
        <v>45776</v>
      </c>
      <c r="C495" t="s">
        <v>288</v>
      </c>
      <c r="D495" t="s">
        <v>55</v>
      </c>
      <c r="E495" t="s">
        <v>46</v>
      </c>
      <c r="F495" t="s">
        <v>14</v>
      </c>
      <c r="G495">
        <v>4</v>
      </c>
      <c r="H495">
        <v>0.1</v>
      </c>
      <c r="I495">
        <v>864</v>
      </c>
      <c r="J495">
        <v>258.08</v>
      </c>
      <c r="K495" t="str">
        <f t="shared" si="21"/>
        <v>Office Supplies</v>
      </c>
      <c r="L495" t="str">
        <f t="shared" si="22"/>
        <v>Apr-2025</v>
      </c>
      <c r="M495" s="14">
        <f t="shared" si="23"/>
        <v>45748</v>
      </c>
    </row>
    <row r="496" spans="1:13" x14ac:dyDescent="0.35">
      <c r="A496" t="s">
        <v>623</v>
      </c>
      <c r="B496" s="2">
        <v>45955</v>
      </c>
      <c r="C496" t="s">
        <v>286</v>
      </c>
      <c r="D496" t="s">
        <v>12</v>
      </c>
      <c r="E496" t="s">
        <v>13</v>
      </c>
      <c r="F496" t="s">
        <v>14</v>
      </c>
      <c r="G496">
        <v>5</v>
      </c>
      <c r="H496">
        <v>0.05</v>
      </c>
      <c r="I496">
        <v>166.25</v>
      </c>
      <c r="J496">
        <v>39.85</v>
      </c>
      <c r="K496" t="str">
        <f t="shared" si="21"/>
        <v>Technology</v>
      </c>
      <c r="L496" t="str">
        <f t="shared" si="22"/>
        <v>Oct-2025</v>
      </c>
      <c r="M496" s="14">
        <f t="shared" si="23"/>
        <v>45931</v>
      </c>
    </row>
    <row r="497" spans="1:13" x14ac:dyDescent="0.35">
      <c r="A497" t="s">
        <v>624</v>
      </c>
      <c r="B497" s="2">
        <v>45961</v>
      </c>
      <c r="C497" t="s">
        <v>115</v>
      </c>
      <c r="D497" t="s">
        <v>83</v>
      </c>
      <c r="E497" t="s">
        <v>46</v>
      </c>
      <c r="F497" t="s">
        <v>22</v>
      </c>
      <c r="G497">
        <v>1</v>
      </c>
      <c r="H497">
        <v>0.15</v>
      </c>
      <c r="I497">
        <v>21.25</v>
      </c>
      <c r="J497">
        <v>4.92</v>
      </c>
      <c r="K497" t="str">
        <f t="shared" si="21"/>
        <v>Office Supplies</v>
      </c>
      <c r="L497" t="str">
        <f t="shared" si="22"/>
        <v>Oct-2025</v>
      </c>
      <c r="M497" s="14">
        <f t="shared" si="23"/>
        <v>45931</v>
      </c>
    </row>
    <row r="498" spans="1:13" x14ac:dyDescent="0.35">
      <c r="A498" t="s">
        <v>625</v>
      </c>
      <c r="B498" s="2">
        <v>45807</v>
      </c>
      <c r="C498" t="s">
        <v>133</v>
      </c>
      <c r="D498" t="s">
        <v>35</v>
      </c>
      <c r="E498" t="s">
        <v>13</v>
      </c>
      <c r="F498" t="s">
        <v>25</v>
      </c>
      <c r="G498">
        <v>3</v>
      </c>
      <c r="H498">
        <v>0.15</v>
      </c>
      <c r="I498">
        <v>2167.5</v>
      </c>
      <c r="J498">
        <v>474.16</v>
      </c>
      <c r="K498" t="str">
        <f t="shared" si="21"/>
        <v>Technology</v>
      </c>
      <c r="L498" t="str">
        <f t="shared" si="22"/>
        <v>May-2025</v>
      </c>
      <c r="M498" s="14">
        <f t="shared" si="23"/>
        <v>45778</v>
      </c>
    </row>
    <row r="499" spans="1:13" x14ac:dyDescent="0.35">
      <c r="A499" t="s">
        <v>626</v>
      </c>
      <c r="B499" s="2">
        <v>45820</v>
      </c>
      <c r="C499" t="s">
        <v>181</v>
      </c>
      <c r="D499" t="s">
        <v>45</v>
      </c>
      <c r="E499" t="s">
        <v>46</v>
      </c>
      <c r="F499" t="s">
        <v>22</v>
      </c>
      <c r="G499">
        <v>3</v>
      </c>
      <c r="H499">
        <v>0.05</v>
      </c>
      <c r="I499">
        <v>51.3</v>
      </c>
      <c r="J499">
        <v>21.82</v>
      </c>
      <c r="K499" t="str">
        <f t="shared" si="21"/>
        <v>Office Supplies</v>
      </c>
      <c r="L499" t="str">
        <f t="shared" si="22"/>
        <v>Jun-2025</v>
      </c>
      <c r="M499" s="14">
        <f t="shared" si="23"/>
        <v>45809</v>
      </c>
    </row>
    <row r="500" spans="1:13" x14ac:dyDescent="0.35">
      <c r="A500" t="s">
        <v>627</v>
      </c>
      <c r="B500" s="2">
        <v>45957</v>
      </c>
      <c r="C500" t="s">
        <v>89</v>
      </c>
      <c r="D500" t="s">
        <v>12</v>
      </c>
      <c r="E500" t="s">
        <v>13</v>
      </c>
      <c r="F500" t="s">
        <v>25</v>
      </c>
      <c r="G500">
        <v>2</v>
      </c>
      <c r="H500">
        <v>0</v>
      </c>
      <c r="I500">
        <v>70</v>
      </c>
      <c r="J500">
        <v>27.7</v>
      </c>
      <c r="K500" t="str">
        <f t="shared" si="21"/>
        <v>Technology</v>
      </c>
      <c r="L500" t="str">
        <f t="shared" si="22"/>
        <v>Oct-2025</v>
      </c>
      <c r="M500" s="14">
        <f t="shared" si="23"/>
        <v>45931</v>
      </c>
    </row>
    <row r="501" spans="1:13" x14ac:dyDescent="0.35">
      <c r="A501" t="s">
        <v>628</v>
      </c>
      <c r="B501" s="2">
        <v>45866</v>
      </c>
      <c r="C501" t="s">
        <v>124</v>
      </c>
      <c r="D501" t="s">
        <v>12</v>
      </c>
      <c r="E501" t="s">
        <v>13</v>
      </c>
      <c r="F501" t="s">
        <v>50</v>
      </c>
      <c r="G501">
        <v>5</v>
      </c>
      <c r="H501">
        <v>0.1</v>
      </c>
      <c r="I501">
        <v>157.5</v>
      </c>
      <c r="J501">
        <v>20.74</v>
      </c>
      <c r="K501" t="str">
        <f t="shared" si="21"/>
        <v>Technology</v>
      </c>
      <c r="L501" t="str">
        <f t="shared" si="22"/>
        <v>Jul-2025</v>
      </c>
      <c r="M501" s="14">
        <f t="shared" si="23"/>
        <v>45839</v>
      </c>
    </row>
    <row r="502" spans="1:13" x14ac:dyDescent="0.35">
      <c r="A502" t="s">
        <v>629</v>
      </c>
      <c r="B502" s="2">
        <v>45815</v>
      </c>
      <c r="C502" t="s">
        <v>278</v>
      </c>
      <c r="D502" t="s">
        <v>45</v>
      </c>
      <c r="E502" t="s">
        <v>46</v>
      </c>
      <c r="F502" t="s">
        <v>25</v>
      </c>
      <c r="G502">
        <v>3</v>
      </c>
      <c r="H502">
        <v>0</v>
      </c>
      <c r="I502">
        <v>54</v>
      </c>
      <c r="J502">
        <v>22.69</v>
      </c>
      <c r="K502" t="str">
        <f t="shared" si="21"/>
        <v>Office Supplies</v>
      </c>
      <c r="L502" t="str">
        <f t="shared" si="22"/>
        <v>Jun-2025</v>
      </c>
      <c r="M502" s="14">
        <f t="shared" si="23"/>
        <v>45809</v>
      </c>
    </row>
    <row r="503" spans="1:13" x14ac:dyDescent="0.35">
      <c r="A503" t="s">
        <v>630</v>
      </c>
      <c r="B503" s="2">
        <v>46018</v>
      </c>
      <c r="C503" t="s">
        <v>150</v>
      </c>
      <c r="D503" t="s">
        <v>17</v>
      </c>
      <c r="E503" t="s">
        <v>18</v>
      </c>
      <c r="F503" t="s">
        <v>22</v>
      </c>
      <c r="G503">
        <v>5</v>
      </c>
      <c r="H503">
        <v>0</v>
      </c>
      <c r="I503">
        <v>1050</v>
      </c>
      <c r="J503">
        <v>398</v>
      </c>
      <c r="K503" t="str">
        <f t="shared" si="21"/>
        <v>Furniture</v>
      </c>
      <c r="L503" t="str">
        <f t="shared" si="22"/>
        <v>Dec-2025</v>
      </c>
      <c r="M503" s="14">
        <f t="shared" si="23"/>
        <v>45992</v>
      </c>
    </row>
    <row r="504" spans="1:13" x14ac:dyDescent="0.35">
      <c r="A504" t="s">
        <v>631</v>
      </c>
      <c r="B504" s="2">
        <v>45704</v>
      </c>
      <c r="C504" t="s">
        <v>217</v>
      </c>
      <c r="D504" t="s">
        <v>17</v>
      </c>
      <c r="E504" t="s">
        <v>18</v>
      </c>
      <c r="F504" t="s">
        <v>25</v>
      </c>
      <c r="G504">
        <v>2</v>
      </c>
      <c r="H504">
        <v>0.1</v>
      </c>
      <c r="I504">
        <v>378</v>
      </c>
      <c r="J504">
        <v>120.67</v>
      </c>
      <c r="K504" t="str">
        <f t="shared" si="21"/>
        <v>Furniture</v>
      </c>
      <c r="L504" t="str">
        <f t="shared" si="22"/>
        <v>Feb-2025</v>
      </c>
      <c r="M504" s="14">
        <f t="shared" si="23"/>
        <v>45689</v>
      </c>
    </row>
    <row r="505" spans="1:13" x14ac:dyDescent="0.35">
      <c r="A505" t="s">
        <v>632</v>
      </c>
      <c r="B505" s="2">
        <v>45791</v>
      </c>
      <c r="C505" t="s">
        <v>20</v>
      </c>
      <c r="D505" t="s">
        <v>28</v>
      </c>
      <c r="E505" t="s">
        <v>18</v>
      </c>
      <c r="F505" t="s">
        <v>22</v>
      </c>
      <c r="G505">
        <v>1</v>
      </c>
      <c r="H505">
        <v>0.15</v>
      </c>
      <c r="I505">
        <v>238</v>
      </c>
      <c r="J505">
        <v>39.979999999999997</v>
      </c>
      <c r="K505" t="str">
        <f t="shared" si="21"/>
        <v>Furniture</v>
      </c>
      <c r="L505" t="str">
        <f t="shared" si="22"/>
        <v>May-2025</v>
      </c>
      <c r="M505" s="14">
        <f t="shared" si="23"/>
        <v>45778</v>
      </c>
    </row>
    <row r="506" spans="1:13" x14ac:dyDescent="0.35">
      <c r="A506" t="s">
        <v>633</v>
      </c>
      <c r="B506" s="2">
        <v>45706</v>
      </c>
      <c r="C506" t="s">
        <v>105</v>
      </c>
      <c r="D506" t="s">
        <v>45</v>
      </c>
      <c r="E506" t="s">
        <v>46</v>
      </c>
      <c r="F506" t="s">
        <v>22</v>
      </c>
      <c r="G506">
        <v>1</v>
      </c>
      <c r="H506">
        <v>0.05</v>
      </c>
      <c r="I506">
        <v>17.100000000000001</v>
      </c>
      <c r="J506">
        <v>7.01</v>
      </c>
      <c r="K506" t="str">
        <f t="shared" si="21"/>
        <v>Office Supplies</v>
      </c>
      <c r="L506" t="str">
        <f t="shared" si="22"/>
        <v>Feb-2025</v>
      </c>
      <c r="M506" s="14">
        <f t="shared" si="23"/>
        <v>45689</v>
      </c>
    </row>
    <row r="507" spans="1:13" x14ac:dyDescent="0.35">
      <c r="A507" t="s">
        <v>634</v>
      </c>
      <c r="B507" s="2">
        <v>45724</v>
      </c>
      <c r="C507" t="s">
        <v>192</v>
      </c>
      <c r="D507" t="s">
        <v>21</v>
      </c>
      <c r="E507" t="s">
        <v>18</v>
      </c>
      <c r="F507" t="s">
        <v>14</v>
      </c>
      <c r="G507">
        <v>4</v>
      </c>
      <c r="H507">
        <v>0.1</v>
      </c>
      <c r="I507">
        <v>198</v>
      </c>
      <c r="J507">
        <v>44.26</v>
      </c>
      <c r="K507" t="str">
        <f t="shared" si="21"/>
        <v>Furniture</v>
      </c>
      <c r="L507" t="str">
        <f t="shared" si="22"/>
        <v>Mar-2025</v>
      </c>
      <c r="M507" s="14">
        <f t="shared" si="23"/>
        <v>45717</v>
      </c>
    </row>
    <row r="508" spans="1:13" x14ac:dyDescent="0.35">
      <c r="A508" t="s">
        <v>635</v>
      </c>
      <c r="B508" s="2">
        <v>45956</v>
      </c>
      <c r="C508" t="s">
        <v>80</v>
      </c>
      <c r="D508" t="s">
        <v>83</v>
      </c>
      <c r="E508" t="s">
        <v>46</v>
      </c>
      <c r="F508" t="s">
        <v>22</v>
      </c>
      <c r="G508">
        <v>3</v>
      </c>
      <c r="H508">
        <v>0</v>
      </c>
      <c r="I508">
        <v>75</v>
      </c>
      <c r="J508">
        <v>33.21</v>
      </c>
      <c r="K508" t="str">
        <f t="shared" si="21"/>
        <v>Office Supplies</v>
      </c>
      <c r="L508" t="str">
        <f t="shared" si="22"/>
        <v>Oct-2025</v>
      </c>
      <c r="M508" s="14">
        <f t="shared" si="23"/>
        <v>45931</v>
      </c>
    </row>
    <row r="509" spans="1:13" x14ac:dyDescent="0.35">
      <c r="A509" t="s">
        <v>636</v>
      </c>
      <c r="B509" s="2">
        <v>45988</v>
      </c>
      <c r="C509" t="s">
        <v>241</v>
      </c>
      <c r="D509" t="s">
        <v>45</v>
      </c>
      <c r="E509" t="s">
        <v>46</v>
      </c>
      <c r="F509" t="s">
        <v>14</v>
      </c>
      <c r="G509">
        <v>2</v>
      </c>
      <c r="H509">
        <v>0</v>
      </c>
      <c r="I509">
        <v>36</v>
      </c>
      <c r="J509">
        <v>5.45</v>
      </c>
      <c r="K509" t="str">
        <f t="shared" si="21"/>
        <v>Office Supplies</v>
      </c>
      <c r="L509" t="str">
        <f t="shared" si="22"/>
        <v>Nov-2025</v>
      </c>
      <c r="M509" s="14">
        <f t="shared" si="23"/>
        <v>45962</v>
      </c>
    </row>
    <row r="510" spans="1:13" x14ac:dyDescent="0.35">
      <c r="A510" t="s">
        <v>637</v>
      </c>
      <c r="B510" s="2">
        <v>45679</v>
      </c>
      <c r="C510" t="s">
        <v>64</v>
      </c>
      <c r="D510" t="s">
        <v>45</v>
      </c>
      <c r="E510" t="s">
        <v>46</v>
      </c>
      <c r="F510" t="s">
        <v>50</v>
      </c>
      <c r="G510">
        <v>1</v>
      </c>
      <c r="H510">
        <v>0.05</v>
      </c>
      <c r="I510">
        <v>17.100000000000001</v>
      </c>
      <c r="J510">
        <v>2.48</v>
      </c>
      <c r="K510" t="str">
        <f t="shared" si="21"/>
        <v>Office Supplies</v>
      </c>
      <c r="L510" t="str">
        <f t="shared" si="22"/>
        <v>Jan-2025</v>
      </c>
      <c r="M510" s="14">
        <f t="shared" si="23"/>
        <v>45658</v>
      </c>
    </row>
    <row r="511" spans="1:13" x14ac:dyDescent="0.35">
      <c r="A511" t="s">
        <v>638</v>
      </c>
      <c r="B511" s="2">
        <v>45912</v>
      </c>
      <c r="C511" t="s">
        <v>27</v>
      </c>
      <c r="D511" t="s">
        <v>67</v>
      </c>
      <c r="E511" t="s">
        <v>13</v>
      </c>
      <c r="F511" t="s">
        <v>22</v>
      </c>
      <c r="G511">
        <v>4</v>
      </c>
      <c r="H511">
        <v>0.15</v>
      </c>
      <c r="I511">
        <v>4080</v>
      </c>
      <c r="J511">
        <v>1603.33</v>
      </c>
      <c r="K511" t="str">
        <f t="shared" si="21"/>
        <v>Technology</v>
      </c>
      <c r="L511" t="str">
        <f t="shared" si="22"/>
        <v>Sept-2025</v>
      </c>
      <c r="M511" s="14">
        <f t="shared" si="23"/>
        <v>45901</v>
      </c>
    </row>
    <row r="512" spans="1:13" x14ac:dyDescent="0.35">
      <c r="A512" t="s">
        <v>639</v>
      </c>
      <c r="B512" s="2">
        <v>45798</v>
      </c>
      <c r="C512" t="s">
        <v>111</v>
      </c>
      <c r="D512" t="s">
        <v>35</v>
      </c>
      <c r="E512" t="s">
        <v>13</v>
      </c>
      <c r="F512" t="s">
        <v>22</v>
      </c>
      <c r="G512">
        <v>4</v>
      </c>
      <c r="H512">
        <v>0.05</v>
      </c>
      <c r="I512">
        <v>3230</v>
      </c>
      <c r="J512">
        <v>1416.57</v>
      </c>
      <c r="K512" t="str">
        <f t="shared" si="21"/>
        <v>Technology</v>
      </c>
      <c r="L512" t="str">
        <f t="shared" si="22"/>
        <v>May-2025</v>
      </c>
      <c r="M512" s="14">
        <f t="shared" si="23"/>
        <v>45778</v>
      </c>
    </row>
    <row r="513" spans="1:13" x14ac:dyDescent="0.35">
      <c r="A513" t="s">
        <v>640</v>
      </c>
      <c r="B513" s="2">
        <v>45989</v>
      </c>
      <c r="C513" t="s">
        <v>641</v>
      </c>
      <c r="D513" t="s">
        <v>35</v>
      </c>
      <c r="E513" t="s">
        <v>13</v>
      </c>
      <c r="F513" t="s">
        <v>14</v>
      </c>
      <c r="G513">
        <v>4</v>
      </c>
      <c r="H513">
        <v>0.15</v>
      </c>
      <c r="I513">
        <v>2890</v>
      </c>
      <c r="J513">
        <v>458.59</v>
      </c>
      <c r="K513" t="str">
        <f t="shared" si="21"/>
        <v>Technology</v>
      </c>
      <c r="L513" t="str">
        <f t="shared" si="22"/>
        <v>Nov-2025</v>
      </c>
      <c r="M513" s="14">
        <f t="shared" si="23"/>
        <v>45962</v>
      </c>
    </row>
    <row r="514" spans="1:13" x14ac:dyDescent="0.35">
      <c r="A514" t="s">
        <v>642</v>
      </c>
      <c r="B514" s="2">
        <v>45702</v>
      </c>
      <c r="C514" t="s">
        <v>192</v>
      </c>
      <c r="D514" t="s">
        <v>35</v>
      </c>
      <c r="E514" t="s">
        <v>13</v>
      </c>
      <c r="F514" t="s">
        <v>22</v>
      </c>
      <c r="G514">
        <v>4</v>
      </c>
      <c r="H514">
        <v>0.05</v>
      </c>
      <c r="I514">
        <v>3230</v>
      </c>
      <c r="J514">
        <v>1006.64</v>
      </c>
      <c r="K514" t="str">
        <f t="shared" ref="K514:K577" si="24">TRIM(E514)</f>
        <v>Technology</v>
      </c>
      <c r="L514" t="str">
        <f t="shared" si="22"/>
        <v>Feb-2025</v>
      </c>
      <c r="M514" s="14">
        <f t="shared" si="23"/>
        <v>45689</v>
      </c>
    </row>
    <row r="515" spans="1:13" x14ac:dyDescent="0.35">
      <c r="A515" t="s">
        <v>643</v>
      </c>
      <c r="B515" s="2">
        <v>45980</v>
      </c>
      <c r="C515" t="s">
        <v>40</v>
      </c>
      <c r="D515" t="s">
        <v>55</v>
      </c>
      <c r="E515" t="s">
        <v>46</v>
      </c>
      <c r="F515" t="s">
        <v>50</v>
      </c>
      <c r="G515">
        <v>1</v>
      </c>
      <c r="H515">
        <v>0.15</v>
      </c>
      <c r="I515">
        <v>204</v>
      </c>
      <c r="J515">
        <v>39.159999999999997</v>
      </c>
      <c r="K515" t="str">
        <f t="shared" si="24"/>
        <v>Office Supplies</v>
      </c>
      <c r="L515" t="str">
        <f t="shared" ref="L515:L578" si="25">TEXT(B515,"mmm-yyyy")</f>
        <v>Nov-2025</v>
      </c>
      <c r="M515" s="14">
        <f t="shared" ref="M515:M578" si="26">DATE(YEAR(B515),MONTH(B515),1)</f>
        <v>45962</v>
      </c>
    </row>
    <row r="516" spans="1:13" x14ac:dyDescent="0.35">
      <c r="A516" t="s">
        <v>644</v>
      </c>
      <c r="B516" s="2">
        <v>45936</v>
      </c>
      <c r="C516" t="s">
        <v>59</v>
      </c>
      <c r="D516" t="s">
        <v>45</v>
      </c>
      <c r="E516" t="s">
        <v>46</v>
      </c>
      <c r="F516" t="s">
        <v>25</v>
      </c>
      <c r="G516">
        <v>3</v>
      </c>
      <c r="H516">
        <v>0.2</v>
      </c>
      <c r="I516">
        <v>43.2</v>
      </c>
      <c r="J516">
        <v>12.28</v>
      </c>
      <c r="K516" t="str">
        <f t="shared" si="24"/>
        <v>Office Supplies</v>
      </c>
      <c r="L516" t="str">
        <f t="shared" si="25"/>
        <v>Oct-2025</v>
      </c>
      <c r="M516" s="14">
        <f t="shared" si="26"/>
        <v>45931</v>
      </c>
    </row>
    <row r="517" spans="1:13" x14ac:dyDescent="0.35">
      <c r="A517" t="s">
        <v>645</v>
      </c>
      <c r="B517" s="2">
        <v>45750</v>
      </c>
      <c r="C517" t="s">
        <v>387</v>
      </c>
      <c r="D517" t="s">
        <v>67</v>
      </c>
      <c r="E517" t="s">
        <v>13</v>
      </c>
      <c r="F517" t="s">
        <v>25</v>
      </c>
      <c r="G517">
        <v>3</v>
      </c>
      <c r="H517">
        <v>0.2</v>
      </c>
      <c r="I517">
        <v>2880</v>
      </c>
      <c r="J517">
        <v>1087.8399999999999</v>
      </c>
      <c r="K517" t="str">
        <f t="shared" si="24"/>
        <v>Technology</v>
      </c>
      <c r="L517" t="str">
        <f t="shared" si="25"/>
        <v>Apr-2025</v>
      </c>
      <c r="M517" s="14">
        <f t="shared" si="26"/>
        <v>45748</v>
      </c>
    </row>
    <row r="518" spans="1:13" x14ac:dyDescent="0.35">
      <c r="A518" t="s">
        <v>646</v>
      </c>
      <c r="B518" s="2">
        <v>45687</v>
      </c>
      <c r="C518" t="s">
        <v>37</v>
      </c>
      <c r="D518" t="s">
        <v>45</v>
      </c>
      <c r="E518" t="s">
        <v>46</v>
      </c>
      <c r="F518" t="s">
        <v>22</v>
      </c>
      <c r="G518">
        <v>5</v>
      </c>
      <c r="H518">
        <v>0.1</v>
      </c>
      <c r="I518">
        <v>81</v>
      </c>
      <c r="J518">
        <v>15.95</v>
      </c>
      <c r="K518" t="str">
        <f t="shared" si="24"/>
        <v>Office Supplies</v>
      </c>
      <c r="L518" t="str">
        <f t="shared" si="25"/>
        <v>Jan-2025</v>
      </c>
      <c r="M518" s="14">
        <f t="shared" si="26"/>
        <v>45658</v>
      </c>
    </row>
    <row r="519" spans="1:13" x14ac:dyDescent="0.35">
      <c r="A519" t="s">
        <v>647</v>
      </c>
      <c r="B519" s="2">
        <v>45709</v>
      </c>
      <c r="C519" t="s">
        <v>133</v>
      </c>
      <c r="D519" t="s">
        <v>21</v>
      </c>
      <c r="E519" t="s">
        <v>18</v>
      </c>
      <c r="F519" t="s">
        <v>14</v>
      </c>
      <c r="G519">
        <v>2</v>
      </c>
      <c r="H519">
        <v>0.1</v>
      </c>
      <c r="I519">
        <v>99</v>
      </c>
      <c r="J519">
        <v>27.11</v>
      </c>
      <c r="K519" t="str">
        <f t="shared" si="24"/>
        <v>Furniture</v>
      </c>
      <c r="L519" t="str">
        <f t="shared" si="25"/>
        <v>Feb-2025</v>
      </c>
      <c r="M519" s="14">
        <f t="shared" si="26"/>
        <v>45689</v>
      </c>
    </row>
    <row r="520" spans="1:13" x14ac:dyDescent="0.35">
      <c r="A520" t="s">
        <v>648</v>
      </c>
      <c r="B520" s="2">
        <v>45770</v>
      </c>
      <c r="C520" t="s">
        <v>238</v>
      </c>
      <c r="D520" t="s">
        <v>83</v>
      </c>
      <c r="E520" t="s">
        <v>46</v>
      </c>
      <c r="F520" t="s">
        <v>22</v>
      </c>
      <c r="G520">
        <v>4</v>
      </c>
      <c r="H520">
        <v>0.1</v>
      </c>
      <c r="I520">
        <v>90</v>
      </c>
      <c r="J520">
        <v>12.72</v>
      </c>
      <c r="K520" t="str">
        <f t="shared" si="24"/>
        <v>Office Supplies</v>
      </c>
      <c r="L520" t="str">
        <f t="shared" si="25"/>
        <v>Apr-2025</v>
      </c>
      <c r="M520" s="14">
        <f t="shared" si="26"/>
        <v>45748</v>
      </c>
    </row>
    <row r="521" spans="1:13" x14ac:dyDescent="0.35">
      <c r="A521" t="s">
        <v>649</v>
      </c>
      <c r="B521" s="2">
        <v>45779</v>
      </c>
      <c r="C521" t="s">
        <v>369</v>
      </c>
      <c r="D521" t="s">
        <v>83</v>
      </c>
      <c r="E521" t="s">
        <v>46</v>
      </c>
      <c r="F521" t="s">
        <v>25</v>
      </c>
      <c r="G521">
        <v>3</v>
      </c>
      <c r="H521">
        <v>0.1</v>
      </c>
      <c r="I521">
        <v>67.5</v>
      </c>
      <c r="J521">
        <v>10.02</v>
      </c>
      <c r="K521" t="str">
        <f t="shared" si="24"/>
        <v>Office Supplies</v>
      </c>
      <c r="L521" t="str">
        <f t="shared" si="25"/>
        <v>May-2025</v>
      </c>
      <c r="M521" s="14">
        <f t="shared" si="26"/>
        <v>45778</v>
      </c>
    </row>
    <row r="522" spans="1:13" x14ac:dyDescent="0.35">
      <c r="A522" t="s">
        <v>650</v>
      </c>
      <c r="B522" s="2">
        <v>45948</v>
      </c>
      <c r="C522" t="s">
        <v>243</v>
      </c>
      <c r="D522" t="s">
        <v>83</v>
      </c>
      <c r="E522" t="s">
        <v>46</v>
      </c>
      <c r="F522" t="s">
        <v>25</v>
      </c>
      <c r="G522">
        <v>2</v>
      </c>
      <c r="H522">
        <v>0.2</v>
      </c>
      <c r="I522">
        <v>40</v>
      </c>
      <c r="J522">
        <v>5.48</v>
      </c>
      <c r="K522" t="str">
        <f t="shared" si="24"/>
        <v>Office Supplies</v>
      </c>
      <c r="L522" t="str">
        <f t="shared" si="25"/>
        <v>Oct-2025</v>
      </c>
      <c r="M522" s="14">
        <f t="shared" si="26"/>
        <v>45931</v>
      </c>
    </row>
    <row r="523" spans="1:13" x14ac:dyDescent="0.35">
      <c r="A523" t="s">
        <v>651</v>
      </c>
      <c r="B523" s="2">
        <v>45747</v>
      </c>
      <c r="C523" t="s">
        <v>185</v>
      </c>
      <c r="D523" t="s">
        <v>45</v>
      </c>
      <c r="E523" t="s">
        <v>46</v>
      </c>
      <c r="F523" t="s">
        <v>22</v>
      </c>
      <c r="G523">
        <v>1</v>
      </c>
      <c r="H523">
        <v>0</v>
      </c>
      <c r="I523">
        <v>18</v>
      </c>
      <c r="J523">
        <v>7.77</v>
      </c>
      <c r="K523" t="str">
        <f t="shared" si="24"/>
        <v>Office Supplies</v>
      </c>
      <c r="L523" t="str">
        <f t="shared" si="25"/>
        <v>Mar-2025</v>
      </c>
      <c r="M523" s="14">
        <f t="shared" si="26"/>
        <v>45717</v>
      </c>
    </row>
    <row r="524" spans="1:13" x14ac:dyDescent="0.35">
      <c r="A524" t="s">
        <v>652</v>
      </c>
      <c r="B524" s="2">
        <v>45668</v>
      </c>
      <c r="C524" t="s">
        <v>349</v>
      </c>
      <c r="D524" t="s">
        <v>55</v>
      </c>
      <c r="E524" t="s">
        <v>46</v>
      </c>
      <c r="F524" t="s">
        <v>22</v>
      </c>
      <c r="G524">
        <v>4</v>
      </c>
      <c r="H524">
        <v>0</v>
      </c>
      <c r="I524">
        <v>960</v>
      </c>
      <c r="J524">
        <v>326.91000000000003</v>
      </c>
      <c r="K524" t="str">
        <f t="shared" si="24"/>
        <v>Office Supplies</v>
      </c>
      <c r="L524" t="str">
        <f t="shared" si="25"/>
        <v>Jan-2025</v>
      </c>
      <c r="M524" s="14">
        <f t="shared" si="26"/>
        <v>45658</v>
      </c>
    </row>
    <row r="525" spans="1:13" x14ac:dyDescent="0.35">
      <c r="A525" t="s">
        <v>653</v>
      </c>
      <c r="B525" s="2">
        <v>45724</v>
      </c>
      <c r="C525" t="s">
        <v>154</v>
      </c>
      <c r="D525" t="s">
        <v>49</v>
      </c>
      <c r="E525" t="s">
        <v>13</v>
      </c>
      <c r="F525" t="s">
        <v>22</v>
      </c>
      <c r="G525">
        <v>2</v>
      </c>
      <c r="H525">
        <v>0.1</v>
      </c>
      <c r="I525">
        <v>126</v>
      </c>
      <c r="J525">
        <v>54.22</v>
      </c>
      <c r="K525" t="str">
        <f t="shared" si="24"/>
        <v>Technology</v>
      </c>
      <c r="L525" t="str">
        <f t="shared" si="25"/>
        <v>Mar-2025</v>
      </c>
      <c r="M525" s="14">
        <f t="shared" si="26"/>
        <v>45717</v>
      </c>
    </row>
    <row r="526" spans="1:13" x14ac:dyDescent="0.35">
      <c r="A526" t="s">
        <v>654</v>
      </c>
      <c r="B526" s="2">
        <v>45714</v>
      </c>
      <c r="C526" t="s">
        <v>145</v>
      </c>
      <c r="D526" t="s">
        <v>55</v>
      </c>
      <c r="E526" t="s">
        <v>46</v>
      </c>
      <c r="F526" t="s">
        <v>50</v>
      </c>
      <c r="G526">
        <v>3</v>
      </c>
      <c r="H526">
        <v>0</v>
      </c>
      <c r="I526">
        <v>720</v>
      </c>
      <c r="J526">
        <v>235.23</v>
      </c>
      <c r="K526" t="str">
        <f t="shared" si="24"/>
        <v>Office Supplies</v>
      </c>
      <c r="L526" t="str">
        <f t="shared" si="25"/>
        <v>Feb-2025</v>
      </c>
      <c r="M526" s="14">
        <f t="shared" si="26"/>
        <v>45689</v>
      </c>
    </row>
    <row r="527" spans="1:13" x14ac:dyDescent="0.35">
      <c r="A527" t="s">
        <v>655</v>
      </c>
      <c r="B527" s="2">
        <v>45958</v>
      </c>
      <c r="C527" t="s">
        <v>273</v>
      </c>
      <c r="D527" t="s">
        <v>12</v>
      </c>
      <c r="E527" t="s">
        <v>13</v>
      </c>
      <c r="F527" t="s">
        <v>50</v>
      </c>
      <c r="G527">
        <v>3</v>
      </c>
      <c r="H527">
        <v>0.1</v>
      </c>
      <c r="I527">
        <v>94.5</v>
      </c>
      <c r="J527">
        <v>32.46</v>
      </c>
      <c r="K527" t="str">
        <f t="shared" si="24"/>
        <v>Technology</v>
      </c>
      <c r="L527" t="str">
        <f t="shared" si="25"/>
        <v>Oct-2025</v>
      </c>
      <c r="M527" s="14">
        <f t="shared" si="26"/>
        <v>45931</v>
      </c>
    </row>
    <row r="528" spans="1:13" x14ac:dyDescent="0.35">
      <c r="A528" t="s">
        <v>656</v>
      </c>
      <c r="B528" s="2">
        <v>45985</v>
      </c>
      <c r="C528" t="s">
        <v>20</v>
      </c>
      <c r="D528" t="s">
        <v>45</v>
      </c>
      <c r="E528" t="s">
        <v>46</v>
      </c>
      <c r="F528" t="s">
        <v>25</v>
      </c>
      <c r="G528">
        <v>3</v>
      </c>
      <c r="H528">
        <v>0.05</v>
      </c>
      <c r="I528">
        <v>51.3</v>
      </c>
      <c r="J528">
        <v>11.11</v>
      </c>
      <c r="K528" t="str">
        <f t="shared" si="24"/>
        <v>Office Supplies</v>
      </c>
      <c r="L528" t="str">
        <f t="shared" si="25"/>
        <v>Nov-2025</v>
      </c>
      <c r="M528" s="14">
        <f t="shared" si="26"/>
        <v>45962</v>
      </c>
    </row>
    <row r="529" spans="1:13" x14ac:dyDescent="0.35">
      <c r="A529" t="s">
        <v>657</v>
      </c>
      <c r="B529" s="2">
        <v>45772</v>
      </c>
      <c r="C529" t="s">
        <v>198</v>
      </c>
      <c r="D529" t="s">
        <v>38</v>
      </c>
      <c r="E529" t="s">
        <v>13</v>
      </c>
      <c r="F529" t="s">
        <v>25</v>
      </c>
      <c r="G529">
        <v>5</v>
      </c>
      <c r="H529">
        <v>0.05</v>
      </c>
      <c r="I529">
        <v>1520</v>
      </c>
      <c r="J529">
        <v>494.2</v>
      </c>
      <c r="K529" t="str">
        <f t="shared" si="24"/>
        <v>Technology</v>
      </c>
      <c r="L529" t="str">
        <f t="shared" si="25"/>
        <v>Apr-2025</v>
      </c>
      <c r="M529" s="14">
        <f t="shared" si="26"/>
        <v>45748</v>
      </c>
    </row>
    <row r="530" spans="1:13" x14ac:dyDescent="0.35">
      <c r="A530" t="s">
        <v>658</v>
      </c>
      <c r="B530" s="2">
        <v>45723</v>
      </c>
      <c r="C530" t="s">
        <v>158</v>
      </c>
      <c r="D530" t="s">
        <v>28</v>
      </c>
      <c r="E530" t="s">
        <v>18</v>
      </c>
      <c r="F530" t="s">
        <v>14</v>
      </c>
      <c r="G530">
        <v>1</v>
      </c>
      <c r="H530">
        <v>0.2</v>
      </c>
      <c r="I530">
        <v>224</v>
      </c>
      <c r="J530">
        <v>71.849999999999994</v>
      </c>
      <c r="K530" t="str">
        <f t="shared" si="24"/>
        <v>Furniture</v>
      </c>
      <c r="L530" t="str">
        <f t="shared" si="25"/>
        <v>Mar-2025</v>
      </c>
      <c r="M530" s="14">
        <f t="shared" si="26"/>
        <v>45717</v>
      </c>
    </row>
    <row r="531" spans="1:13" x14ac:dyDescent="0.35">
      <c r="A531" t="s">
        <v>659</v>
      </c>
      <c r="B531" s="2">
        <v>45751</v>
      </c>
      <c r="C531" t="s">
        <v>73</v>
      </c>
      <c r="D531" t="s">
        <v>83</v>
      </c>
      <c r="E531" t="s">
        <v>46</v>
      </c>
      <c r="F531" t="s">
        <v>14</v>
      </c>
      <c r="G531">
        <v>3</v>
      </c>
      <c r="H531">
        <v>0.2</v>
      </c>
      <c r="I531">
        <v>60</v>
      </c>
      <c r="J531">
        <v>22.63</v>
      </c>
      <c r="K531" t="str">
        <f t="shared" si="24"/>
        <v>Office Supplies</v>
      </c>
      <c r="L531" t="str">
        <f t="shared" si="25"/>
        <v>Apr-2025</v>
      </c>
      <c r="M531" s="14">
        <f t="shared" si="26"/>
        <v>45748</v>
      </c>
    </row>
    <row r="532" spans="1:13" x14ac:dyDescent="0.35">
      <c r="A532" t="s">
        <v>660</v>
      </c>
      <c r="B532" s="2">
        <v>45912</v>
      </c>
      <c r="C532" t="s">
        <v>48</v>
      </c>
      <c r="D532" t="s">
        <v>28</v>
      </c>
      <c r="E532" t="s">
        <v>18</v>
      </c>
      <c r="F532" t="s">
        <v>22</v>
      </c>
      <c r="G532">
        <v>3</v>
      </c>
      <c r="H532">
        <v>0</v>
      </c>
      <c r="I532">
        <v>840</v>
      </c>
      <c r="J532">
        <v>312.02999999999997</v>
      </c>
      <c r="K532" t="str">
        <f t="shared" si="24"/>
        <v>Furniture</v>
      </c>
      <c r="L532" t="str">
        <f t="shared" si="25"/>
        <v>Sept-2025</v>
      </c>
      <c r="M532" s="14">
        <f t="shared" si="26"/>
        <v>45901</v>
      </c>
    </row>
    <row r="533" spans="1:13" x14ac:dyDescent="0.35">
      <c r="A533" t="s">
        <v>661</v>
      </c>
      <c r="B533" s="2">
        <v>45983</v>
      </c>
      <c r="C533" t="s">
        <v>124</v>
      </c>
      <c r="D533" t="s">
        <v>12</v>
      </c>
      <c r="E533" t="s">
        <v>13</v>
      </c>
      <c r="F533" t="s">
        <v>22</v>
      </c>
      <c r="G533">
        <v>3</v>
      </c>
      <c r="H533">
        <v>0.15</v>
      </c>
      <c r="I533">
        <v>89.25</v>
      </c>
      <c r="J533">
        <v>39.83</v>
      </c>
      <c r="K533" t="str">
        <f t="shared" si="24"/>
        <v>Technology</v>
      </c>
      <c r="L533" t="str">
        <f t="shared" si="25"/>
        <v>Nov-2025</v>
      </c>
      <c r="M533" s="14">
        <f t="shared" si="26"/>
        <v>45962</v>
      </c>
    </row>
    <row r="534" spans="1:13" x14ac:dyDescent="0.35">
      <c r="A534" t="s">
        <v>662</v>
      </c>
      <c r="B534" s="2">
        <v>46012</v>
      </c>
      <c r="C534" t="s">
        <v>204</v>
      </c>
      <c r="D534" t="s">
        <v>12</v>
      </c>
      <c r="E534" t="s">
        <v>13</v>
      </c>
      <c r="F534" t="s">
        <v>14</v>
      </c>
      <c r="G534">
        <v>3</v>
      </c>
      <c r="H534">
        <v>0.1</v>
      </c>
      <c r="I534">
        <v>94.5</v>
      </c>
      <c r="J534">
        <v>17.98</v>
      </c>
      <c r="K534" t="str">
        <f t="shared" si="24"/>
        <v>Technology</v>
      </c>
      <c r="L534" t="str">
        <f t="shared" si="25"/>
        <v>Dec-2025</v>
      </c>
      <c r="M534" s="14">
        <f t="shared" si="26"/>
        <v>45992</v>
      </c>
    </row>
    <row r="535" spans="1:13" x14ac:dyDescent="0.35">
      <c r="A535" t="s">
        <v>663</v>
      </c>
      <c r="B535" s="2">
        <v>45682</v>
      </c>
      <c r="C535" t="s">
        <v>87</v>
      </c>
      <c r="D535" t="s">
        <v>99</v>
      </c>
      <c r="E535" t="s">
        <v>18</v>
      </c>
      <c r="F535" t="s">
        <v>50</v>
      </c>
      <c r="G535">
        <v>4</v>
      </c>
      <c r="H535">
        <v>0.15</v>
      </c>
      <c r="I535">
        <v>646</v>
      </c>
      <c r="J535">
        <v>84.11</v>
      </c>
      <c r="K535" t="str">
        <f t="shared" si="24"/>
        <v>Furniture</v>
      </c>
      <c r="L535" t="str">
        <f t="shared" si="25"/>
        <v>Jan-2025</v>
      </c>
      <c r="M535" s="14">
        <f t="shared" si="26"/>
        <v>45658</v>
      </c>
    </row>
    <row r="536" spans="1:13" x14ac:dyDescent="0.35">
      <c r="A536" t="s">
        <v>664</v>
      </c>
      <c r="B536" s="2">
        <v>45851</v>
      </c>
      <c r="C536" t="s">
        <v>641</v>
      </c>
      <c r="D536" t="s">
        <v>49</v>
      </c>
      <c r="E536" t="s">
        <v>13</v>
      </c>
      <c r="F536" t="s">
        <v>22</v>
      </c>
      <c r="G536">
        <v>5</v>
      </c>
      <c r="H536">
        <v>0.15</v>
      </c>
      <c r="I536">
        <v>297.5</v>
      </c>
      <c r="J536">
        <v>123.92</v>
      </c>
      <c r="K536" t="str">
        <f t="shared" si="24"/>
        <v>Technology</v>
      </c>
      <c r="L536" t="str">
        <f t="shared" si="25"/>
        <v>Jul-2025</v>
      </c>
      <c r="M536" s="14">
        <f t="shared" si="26"/>
        <v>45839</v>
      </c>
    </row>
    <row r="537" spans="1:13" x14ac:dyDescent="0.35">
      <c r="A537" t="s">
        <v>665</v>
      </c>
      <c r="B537" s="2">
        <v>45741</v>
      </c>
      <c r="C537" t="s">
        <v>48</v>
      </c>
      <c r="D537" t="s">
        <v>45</v>
      </c>
      <c r="E537" t="s">
        <v>46</v>
      </c>
      <c r="F537" t="s">
        <v>25</v>
      </c>
      <c r="G537">
        <v>1</v>
      </c>
      <c r="H537">
        <v>0</v>
      </c>
      <c r="I537">
        <v>18</v>
      </c>
      <c r="J537">
        <v>6.35</v>
      </c>
      <c r="K537" t="str">
        <f t="shared" si="24"/>
        <v>Office Supplies</v>
      </c>
      <c r="L537" t="str">
        <f t="shared" si="25"/>
        <v>Mar-2025</v>
      </c>
      <c r="M537" s="14">
        <f t="shared" si="26"/>
        <v>45717</v>
      </c>
    </row>
    <row r="538" spans="1:13" x14ac:dyDescent="0.35">
      <c r="A538" t="s">
        <v>666</v>
      </c>
      <c r="B538" s="2">
        <v>45711</v>
      </c>
      <c r="C538" t="s">
        <v>273</v>
      </c>
      <c r="D538" t="s">
        <v>12</v>
      </c>
      <c r="E538" t="s">
        <v>13</v>
      </c>
      <c r="F538" t="s">
        <v>14</v>
      </c>
      <c r="G538">
        <v>3</v>
      </c>
      <c r="H538">
        <v>0.05</v>
      </c>
      <c r="I538">
        <v>99.75</v>
      </c>
      <c r="J538">
        <v>15.66</v>
      </c>
      <c r="K538" t="str">
        <f t="shared" si="24"/>
        <v>Technology</v>
      </c>
      <c r="L538" t="str">
        <f t="shared" si="25"/>
        <v>Feb-2025</v>
      </c>
      <c r="M538" s="14">
        <f t="shared" si="26"/>
        <v>45689</v>
      </c>
    </row>
    <row r="539" spans="1:13" x14ac:dyDescent="0.35">
      <c r="A539" t="s">
        <v>667</v>
      </c>
      <c r="B539" s="2">
        <v>45938</v>
      </c>
      <c r="C539" t="s">
        <v>641</v>
      </c>
      <c r="D539" t="s">
        <v>12</v>
      </c>
      <c r="E539" t="s">
        <v>13</v>
      </c>
      <c r="F539" t="s">
        <v>14</v>
      </c>
      <c r="G539">
        <v>3</v>
      </c>
      <c r="H539">
        <v>0.2</v>
      </c>
      <c r="I539">
        <v>84</v>
      </c>
      <c r="J539">
        <v>10.49</v>
      </c>
      <c r="K539" t="str">
        <f t="shared" si="24"/>
        <v>Technology</v>
      </c>
      <c r="L539" t="str">
        <f t="shared" si="25"/>
        <v>Oct-2025</v>
      </c>
      <c r="M539" s="14">
        <f t="shared" si="26"/>
        <v>45931</v>
      </c>
    </row>
    <row r="540" spans="1:13" x14ac:dyDescent="0.35">
      <c r="A540" t="s">
        <v>668</v>
      </c>
      <c r="B540" s="2">
        <v>45878</v>
      </c>
      <c r="C540" t="s">
        <v>273</v>
      </c>
      <c r="D540" t="s">
        <v>38</v>
      </c>
      <c r="E540" t="s">
        <v>13</v>
      </c>
      <c r="F540" t="s">
        <v>14</v>
      </c>
      <c r="G540">
        <v>2</v>
      </c>
      <c r="H540">
        <v>0.2</v>
      </c>
      <c r="I540">
        <v>512</v>
      </c>
      <c r="J540">
        <v>80.069999999999993</v>
      </c>
      <c r="K540" t="str">
        <f t="shared" si="24"/>
        <v>Technology</v>
      </c>
      <c r="L540" t="str">
        <f t="shared" si="25"/>
        <v>Aug-2025</v>
      </c>
      <c r="M540" s="14">
        <f t="shared" si="26"/>
        <v>45870</v>
      </c>
    </row>
    <row r="541" spans="1:13" x14ac:dyDescent="0.35">
      <c r="A541" t="s">
        <v>669</v>
      </c>
      <c r="B541" s="2">
        <v>45709</v>
      </c>
      <c r="C541" t="s">
        <v>95</v>
      </c>
      <c r="D541" t="s">
        <v>49</v>
      </c>
      <c r="E541" t="s">
        <v>13</v>
      </c>
      <c r="F541" t="s">
        <v>25</v>
      </c>
      <c r="G541">
        <v>2</v>
      </c>
      <c r="H541">
        <v>0.05</v>
      </c>
      <c r="I541">
        <v>133</v>
      </c>
      <c r="J541">
        <v>41.89</v>
      </c>
      <c r="K541" t="str">
        <f t="shared" si="24"/>
        <v>Technology</v>
      </c>
      <c r="L541" t="str">
        <f t="shared" si="25"/>
        <v>Feb-2025</v>
      </c>
      <c r="M541" s="14">
        <f t="shared" si="26"/>
        <v>45689</v>
      </c>
    </row>
    <row r="542" spans="1:13" x14ac:dyDescent="0.35">
      <c r="A542" t="s">
        <v>670</v>
      </c>
      <c r="B542" s="2">
        <v>45996</v>
      </c>
      <c r="C542" t="s">
        <v>286</v>
      </c>
      <c r="D542" t="s">
        <v>35</v>
      </c>
      <c r="E542" t="s">
        <v>13</v>
      </c>
      <c r="F542" t="s">
        <v>50</v>
      </c>
      <c r="G542">
        <v>3</v>
      </c>
      <c r="H542">
        <v>0.05</v>
      </c>
      <c r="I542">
        <v>2422.5</v>
      </c>
      <c r="J542">
        <v>1013.45</v>
      </c>
      <c r="K542" t="str">
        <f t="shared" si="24"/>
        <v>Technology</v>
      </c>
      <c r="L542" t="str">
        <f t="shared" si="25"/>
        <v>Dec-2025</v>
      </c>
      <c r="M542" s="14">
        <f t="shared" si="26"/>
        <v>45992</v>
      </c>
    </row>
    <row r="543" spans="1:13" x14ac:dyDescent="0.35">
      <c r="A543" t="s">
        <v>671</v>
      </c>
      <c r="B543" s="2">
        <v>45736</v>
      </c>
      <c r="C543" t="s">
        <v>103</v>
      </c>
      <c r="D543" t="s">
        <v>67</v>
      </c>
      <c r="E543" t="s">
        <v>13</v>
      </c>
      <c r="F543" t="s">
        <v>50</v>
      </c>
      <c r="G543">
        <v>3</v>
      </c>
      <c r="H543">
        <v>0</v>
      </c>
      <c r="I543">
        <v>3600</v>
      </c>
      <c r="J543">
        <v>1112</v>
      </c>
      <c r="K543" t="str">
        <f t="shared" si="24"/>
        <v>Technology</v>
      </c>
      <c r="L543" t="str">
        <f t="shared" si="25"/>
        <v>Mar-2025</v>
      </c>
      <c r="M543" s="14">
        <f t="shared" si="26"/>
        <v>45717</v>
      </c>
    </row>
    <row r="544" spans="1:13" x14ac:dyDescent="0.35">
      <c r="A544" t="s">
        <v>672</v>
      </c>
      <c r="B544" s="2">
        <v>45760</v>
      </c>
      <c r="C544" t="s">
        <v>103</v>
      </c>
      <c r="D544" t="s">
        <v>12</v>
      </c>
      <c r="E544" t="s">
        <v>13</v>
      </c>
      <c r="F544" t="s">
        <v>14</v>
      </c>
      <c r="G544">
        <v>1</v>
      </c>
      <c r="H544">
        <v>0.05</v>
      </c>
      <c r="I544">
        <v>33.25</v>
      </c>
      <c r="J544">
        <v>13.09</v>
      </c>
      <c r="K544" t="str">
        <f t="shared" si="24"/>
        <v>Technology</v>
      </c>
      <c r="L544" t="str">
        <f t="shared" si="25"/>
        <v>Apr-2025</v>
      </c>
      <c r="M544" s="14">
        <f t="shared" si="26"/>
        <v>45748</v>
      </c>
    </row>
    <row r="545" spans="1:13" x14ac:dyDescent="0.35">
      <c r="A545" t="s">
        <v>673</v>
      </c>
      <c r="B545" s="2">
        <v>45900</v>
      </c>
      <c r="C545" t="s">
        <v>145</v>
      </c>
      <c r="D545" t="s">
        <v>12</v>
      </c>
      <c r="E545" t="s">
        <v>13</v>
      </c>
      <c r="F545" t="s">
        <v>25</v>
      </c>
      <c r="G545">
        <v>3</v>
      </c>
      <c r="H545">
        <v>0.15</v>
      </c>
      <c r="I545">
        <v>89.25</v>
      </c>
      <c r="J545">
        <v>26.29</v>
      </c>
      <c r="K545" t="str">
        <f t="shared" si="24"/>
        <v>Technology</v>
      </c>
      <c r="L545" t="str">
        <f t="shared" si="25"/>
        <v>Aug-2025</v>
      </c>
      <c r="M545" s="14">
        <f t="shared" si="26"/>
        <v>45870</v>
      </c>
    </row>
    <row r="546" spans="1:13" x14ac:dyDescent="0.35">
      <c r="A546" t="s">
        <v>674</v>
      </c>
      <c r="B546" s="2">
        <v>45704</v>
      </c>
      <c r="C546" t="s">
        <v>32</v>
      </c>
      <c r="D546" t="s">
        <v>38</v>
      </c>
      <c r="E546" t="s">
        <v>13</v>
      </c>
      <c r="F546" t="s">
        <v>25</v>
      </c>
      <c r="G546">
        <v>5</v>
      </c>
      <c r="H546">
        <v>0.15</v>
      </c>
      <c r="I546">
        <v>1360</v>
      </c>
      <c r="J546">
        <v>529.03</v>
      </c>
      <c r="K546" t="str">
        <f t="shared" si="24"/>
        <v>Technology</v>
      </c>
      <c r="L546" t="str">
        <f t="shared" si="25"/>
        <v>Feb-2025</v>
      </c>
      <c r="M546" s="14">
        <f t="shared" si="26"/>
        <v>45689</v>
      </c>
    </row>
    <row r="547" spans="1:13" x14ac:dyDescent="0.35">
      <c r="A547" t="s">
        <v>675</v>
      </c>
      <c r="B547" s="2">
        <v>45753</v>
      </c>
      <c r="C547" t="s">
        <v>113</v>
      </c>
      <c r="D547" t="s">
        <v>45</v>
      </c>
      <c r="E547" t="s">
        <v>46</v>
      </c>
      <c r="F547" t="s">
        <v>22</v>
      </c>
      <c r="G547">
        <v>1</v>
      </c>
      <c r="H547">
        <v>0.1</v>
      </c>
      <c r="I547">
        <v>16.2</v>
      </c>
      <c r="J547">
        <v>4.9400000000000004</v>
      </c>
      <c r="K547" t="str">
        <f t="shared" si="24"/>
        <v>Office Supplies</v>
      </c>
      <c r="L547" t="str">
        <f t="shared" si="25"/>
        <v>Apr-2025</v>
      </c>
      <c r="M547" s="14">
        <f t="shared" si="26"/>
        <v>45748</v>
      </c>
    </row>
    <row r="548" spans="1:13" x14ac:dyDescent="0.35">
      <c r="A548" t="s">
        <v>676</v>
      </c>
      <c r="B548" s="2">
        <v>45795</v>
      </c>
      <c r="C548" t="s">
        <v>78</v>
      </c>
      <c r="D548" t="s">
        <v>83</v>
      </c>
      <c r="E548" t="s">
        <v>46</v>
      </c>
      <c r="F548" t="s">
        <v>14</v>
      </c>
      <c r="G548">
        <v>1</v>
      </c>
      <c r="H548">
        <v>0.05</v>
      </c>
      <c r="I548">
        <v>23.75</v>
      </c>
      <c r="J548">
        <v>4.79</v>
      </c>
      <c r="K548" t="str">
        <f t="shared" si="24"/>
        <v>Office Supplies</v>
      </c>
      <c r="L548" t="str">
        <f t="shared" si="25"/>
        <v>May-2025</v>
      </c>
      <c r="M548" s="14">
        <f t="shared" si="26"/>
        <v>45778</v>
      </c>
    </row>
    <row r="549" spans="1:13" x14ac:dyDescent="0.35">
      <c r="A549" t="s">
        <v>677</v>
      </c>
      <c r="B549" s="2">
        <v>45701</v>
      </c>
      <c r="C549" t="s">
        <v>57</v>
      </c>
      <c r="D549" t="s">
        <v>38</v>
      </c>
      <c r="E549" t="s">
        <v>13</v>
      </c>
      <c r="F549" t="s">
        <v>22</v>
      </c>
      <c r="G549">
        <v>3</v>
      </c>
      <c r="H549">
        <v>0.2</v>
      </c>
      <c r="I549">
        <v>768</v>
      </c>
      <c r="J549">
        <v>240.68</v>
      </c>
      <c r="K549" t="str">
        <f t="shared" si="24"/>
        <v>Technology</v>
      </c>
      <c r="L549" t="str">
        <f t="shared" si="25"/>
        <v>Feb-2025</v>
      </c>
      <c r="M549" s="14">
        <f t="shared" si="26"/>
        <v>45689</v>
      </c>
    </row>
    <row r="550" spans="1:13" x14ac:dyDescent="0.35">
      <c r="A550" t="s">
        <v>678</v>
      </c>
      <c r="B550" s="2">
        <v>45941</v>
      </c>
      <c r="C550" t="s">
        <v>42</v>
      </c>
      <c r="D550" t="s">
        <v>67</v>
      </c>
      <c r="E550" t="s">
        <v>13</v>
      </c>
      <c r="F550" t="s">
        <v>50</v>
      </c>
      <c r="G550">
        <v>4</v>
      </c>
      <c r="H550">
        <v>0.2</v>
      </c>
      <c r="I550">
        <v>3840</v>
      </c>
      <c r="J550">
        <v>1197.51</v>
      </c>
      <c r="K550" t="str">
        <f t="shared" si="24"/>
        <v>Technology</v>
      </c>
      <c r="L550" t="str">
        <f t="shared" si="25"/>
        <v>Oct-2025</v>
      </c>
      <c r="M550" s="14">
        <f t="shared" si="26"/>
        <v>45931</v>
      </c>
    </row>
    <row r="551" spans="1:13" x14ac:dyDescent="0.35">
      <c r="A551" t="s">
        <v>679</v>
      </c>
      <c r="B551" s="2">
        <v>45951</v>
      </c>
      <c r="C551" t="s">
        <v>165</v>
      </c>
      <c r="D551" t="s">
        <v>21</v>
      </c>
      <c r="E551" t="s">
        <v>18</v>
      </c>
      <c r="F551" t="s">
        <v>14</v>
      </c>
      <c r="G551">
        <v>4</v>
      </c>
      <c r="H551">
        <v>0.1</v>
      </c>
      <c r="I551">
        <v>198</v>
      </c>
      <c r="J551">
        <v>83.94</v>
      </c>
      <c r="K551" t="str">
        <f t="shared" si="24"/>
        <v>Furniture</v>
      </c>
      <c r="L551" t="str">
        <f t="shared" si="25"/>
        <v>Oct-2025</v>
      </c>
      <c r="M551" s="14">
        <f t="shared" si="26"/>
        <v>45931</v>
      </c>
    </row>
    <row r="552" spans="1:13" x14ac:dyDescent="0.35">
      <c r="A552" t="s">
        <v>680</v>
      </c>
      <c r="B552" s="2">
        <v>45915</v>
      </c>
      <c r="C552" t="s">
        <v>111</v>
      </c>
      <c r="D552" t="s">
        <v>83</v>
      </c>
      <c r="E552" t="s">
        <v>46</v>
      </c>
      <c r="F552" t="s">
        <v>22</v>
      </c>
      <c r="G552">
        <v>5</v>
      </c>
      <c r="H552">
        <v>0.2</v>
      </c>
      <c r="I552">
        <v>100</v>
      </c>
      <c r="J552">
        <v>22.64</v>
      </c>
      <c r="K552" t="str">
        <f t="shared" si="24"/>
        <v>Office Supplies</v>
      </c>
      <c r="L552" t="str">
        <f t="shared" si="25"/>
        <v>Sept-2025</v>
      </c>
      <c r="M552" s="14">
        <f t="shared" si="26"/>
        <v>45901</v>
      </c>
    </row>
    <row r="553" spans="1:13" x14ac:dyDescent="0.35">
      <c r="A553" t="s">
        <v>681</v>
      </c>
      <c r="B553" s="2">
        <v>45719</v>
      </c>
      <c r="C553" t="s">
        <v>142</v>
      </c>
      <c r="D553" t="s">
        <v>45</v>
      </c>
      <c r="E553" t="s">
        <v>46</v>
      </c>
      <c r="F553" t="s">
        <v>22</v>
      </c>
      <c r="G553">
        <v>2</v>
      </c>
      <c r="H553">
        <v>0.05</v>
      </c>
      <c r="I553">
        <v>34.200000000000003</v>
      </c>
      <c r="J553">
        <v>4.42</v>
      </c>
      <c r="K553" t="str">
        <f t="shared" si="24"/>
        <v>Office Supplies</v>
      </c>
      <c r="L553" t="str">
        <f t="shared" si="25"/>
        <v>Mar-2025</v>
      </c>
      <c r="M553" s="14">
        <f t="shared" si="26"/>
        <v>45717</v>
      </c>
    </row>
    <row r="554" spans="1:13" x14ac:dyDescent="0.35">
      <c r="A554" t="s">
        <v>682</v>
      </c>
      <c r="B554" s="2">
        <v>45679</v>
      </c>
      <c r="C554" t="s">
        <v>189</v>
      </c>
      <c r="D554" t="s">
        <v>99</v>
      </c>
      <c r="E554" t="s">
        <v>18</v>
      </c>
      <c r="F554" t="s">
        <v>22</v>
      </c>
      <c r="G554">
        <v>1</v>
      </c>
      <c r="H554">
        <v>0.15</v>
      </c>
      <c r="I554">
        <v>161.5</v>
      </c>
      <c r="J554">
        <v>61.91</v>
      </c>
      <c r="K554" t="str">
        <f t="shared" si="24"/>
        <v>Furniture</v>
      </c>
      <c r="L554" t="str">
        <f t="shared" si="25"/>
        <v>Jan-2025</v>
      </c>
      <c r="M554" s="14">
        <f t="shared" si="26"/>
        <v>45658</v>
      </c>
    </row>
    <row r="555" spans="1:13" x14ac:dyDescent="0.35">
      <c r="A555" t="s">
        <v>683</v>
      </c>
      <c r="B555" s="2">
        <v>45962</v>
      </c>
      <c r="C555" t="s">
        <v>20</v>
      </c>
      <c r="D555" t="s">
        <v>35</v>
      </c>
      <c r="E555" t="s">
        <v>13</v>
      </c>
      <c r="F555" t="s">
        <v>50</v>
      </c>
      <c r="G555">
        <v>3</v>
      </c>
      <c r="H555">
        <v>0</v>
      </c>
      <c r="I555">
        <v>2550</v>
      </c>
      <c r="J555">
        <v>1074.27</v>
      </c>
      <c r="K555" t="str">
        <f t="shared" si="24"/>
        <v>Technology</v>
      </c>
      <c r="L555" t="str">
        <f t="shared" si="25"/>
        <v>Nov-2025</v>
      </c>
      <c r="M555" s="14">
        <f t="shared" si="26"/>
        <v>45962</v>
      </c>
    </row>
    <row r="556" spans="1:13" x14ac:dyDescent="0.35">
      <c r="A556" t="s">
        <v>684</v>
      </c>
      <c r="B556" s="2">
        <v>45940</v>
      </c>
      <c r="C556" t="s">
        <v>62</v>
      </c>
      <c r="D556" t="s">
        <v>49</v>
      </c>
      <c r="E556" t="s">
        <v>13</v>
      </c>
      <c r="F556" t="s">
        <v>50</v>
      </c>
      <c r="G556">
        <v>3</v>
      </c>
      <c r="H556">
        <v>0.2</v>
      </c>
      <c r="I556">
        <v>168</v>
      </c>
      <c r="J556">
        <v>50.2</v>
      </c>
      <c r="K556" t="str">
        <f t="shared" si="24"/>
        <v>Technology</v>
      </c>
      <c r="L556" t="str">
        <f t="shared" si="25"/>
        <v>Oct-2025</v>
      </c>
      <c r="M556" s="14">
        <f t="shared" si="26"/>
        <v>45931</v>
      </c>
    </row>
    <row r="557" spans="1:13" x14ac:dyDescent="0.35">
      <c r="A557" t="s">
        <v>685</v>
      </c>
      <c r="B557" s="2">
        <v>45715</v>
      </c>
      <c r="C557" t="s">
        <v>54</v>
      </c>
      <c r="D557" t="s">
        <v>99</v>
      </c>
      <c r="E557" t="s">
        <v>18</v>
      </c>
      <c r="F557" t="s">
        <v>14</v>
      </c>
      <c r="G557">
        <v>2</v>
      </c>
      <c r="H557">
        <v>0.05</v>
      </c>
      <c r="I557">
        <v>361</v>
      </c>
      <c r="J557">
        <v>94.95</v>
      </c>
      <c r="K557" t="str">
        <f t="shared" si="24"/>
        <v>Furniture</v>
      </c>
      <c r="L557" t="str">
        <f t="shared" si="25"/>
        <v>Feb-2025</v>
      </c>
      <c r="M557" s="14">
        <f t="shared" si="26"/>
        <v>45689</v>
      </c>
    </row>
    <row r="558" spans="1:13" x14ac:dyDescent="0.35">
      <c r="A558" t="s">
        <v>686</v>
      </c>
      <c r="B558" s="2">
        <v>45712</v>
      </c>
      <c r="C558" t="s">
        <v>30</v>
      </c>
      <c r="D558" t="s">
        <v>83</v>
      </c>
      <c r="E558" t="s">
        <v>46</v>
      </c>
      <c r="F558" t="s">
        <v>50</v>
      </c>
      <c r="G558">
        <v>1</v>
      </c>
      <c r="H558">
        <v>0.1</v>
      </c>
      <c r="I558">
        <v>22.5</v>
      </c>
      <c r="J558">
        <v>3.68</v>
      </c>
      <c r="K558" t="str">
        <f t="shared" si="24"/>
        <v>Office Supplies</v>
      </c>
      <c r="L558" t="str">
        <f t="shared" si="25"/>
        <v>Feb-2025</v>
      </c>
      <c r="M558" s="14">
        <f t="shared" si="26"/>
        <v>45689</v>
      </c>
    </row>
    <row r="559" spans="1:13" x14ac:dyDescent="0.35">
      <c r="A559" t="s">
        <v>687</v>
      </c>
      <c r="B559" s="2">
        <v>45793</v>
      </c>
      <c r="C559" t="s">
        <v>16</v>
      </c>
      <c r="D559" t="s">
        <v>99</v>
      </c>
      <c r="E559" t="s">
        <v>18</v>
      </c>
      <c r="F559" t="s">
        <v>22</v>
      </c>
      <c r="G559">
        <v>4</v>
      </c>
      <c r="H559">
        <v>0.2</v>
      </c>
      <c r="I559">
        <v>608</v>
      </c>
      <c r="J559">
        <v>151.41999999999999</v>
      </c>
      <c r="K559" t="str">
        <f t="shared" si="24"/>
        <v>Furniture</v>
      </c>
      <c r="L559" t="str">
        <f t="shared" si="25"/>
        <v>May-2025</v>
      </c>
      <c r="M559" s="14">
        <f t="shared" si="26"/>
        <v>45778</v>
      </c>
    </row>
    <row r="560" spans="1:13" x14ac:dyDescent="0.35">
      <c r="A560" t="s">
        <v>688</v>
      </c>
      <c r="B560" s="2">
        <v>45799</v>
      </c>
      <c r="C560" t="s">
        <v>515</v>
      </c>
      <c r="D560" t="s">
        <v>99</v>
      </c>
      <c r="E560" t="s">
        <v>18</v>
      </c>
      <c r="F560" t="s">
        <v>50</v>
      </c>
      <c r="G560">
        <v>2</v>
      </c>
      <c r="H560">
        <v>0.2</v>
      </c>
      <c r="I560">
        <v>304</v>
      </c>
      <c r="J560">
        <v>75.739999999999995</v>
      </c>
      <c r="K560" t="str">
        <f t="shared" si="24"/>
        <v>Furniture</v>
      </c>
      <c r="L560" t="str">
        <f t="shared" si="25"/>
        <v>May-2025</v>
      </c>
      <c r="M560" s="14">
        <f t="shared" si="26"/>
        <v>45778</v>
      </c>
    </row>
    <row r="561" spans="1:13" x14ac:dyDescent="0.35">
      <c r="A561" t="s">
        <v>689</v>
      </c>
      <c r="B561" s="2">
        <v>45677</v>
      </c>
      <c r="C561" t="s">
        <v>253</v>
      </c>
      <c r="D561" t="s">
        <v>99</v>
      </c>
      <c r="E561" t="s">
        <v>18</v>
      </c>
      <c r="F561" t="s">
        <v>25</v>
      </c>
      <c r="G561">
        <v>3</v>
      </c>
      <c r="H561">
        <v>0.05</v>
      </c>
      <c r="I561">
        <v>541.5</v>
      </c>
      <c r="J561">
        <v>234.87</v>
      </c>
      <c r="K561" t="str">
        <f t="shared" si="24"/>
        <v>Furniture</v>
      </c>
      <c r="L561" t="str">
        <f t="shared" si="25"/>
        <v>Jan-2025</v>
      </c>
      <c r="M561" s="14">
        <f t="shared" si="26"/>
        <v>45658</v>
      </c>
    </row>
    <row r="562" spans="1:13" x14ac:dyDescent="0.35">
      <c r="A562" t="s">
        <v>690</v>
      </c>
      <c r="B562" s="2">
        <v>45848</v>
      </c>
      <c r="C562" t="s">
        <v>206</v>
      </c>
      <c r="D562" t="s">
        <v>67</v>
      </c>
      <c r="E562" t="s">
        <v>13</v>
      </c>
      <c r="F562" t="s">
        <v>14</v>
      </c>
      <c r="G562">
        <v>3</v>
      </c>
      <c r="H562">
        <v>0.1</v>
      </c>
      <c r="I562">
        <v>3240</v>
      </c>
      <c r="J562">
        <v>1125.53</v>
      </c>
      <c r="K562" t="str">
        <f t="shared" si="24"/>
        <v>Technology</v>
      </c>
      <c r="L562" t="str">
        <f t="shared" si="25"/>
        <v>Jul-2025</v>
      </c>
      <c r="M562" s="14">
        <f t="shared" si="26"/>
        <v>45839</v>
      </c>
    </row>
    <row r="563" spans="1:13" x14ac:dyDescent="0.35">
      <c r="A563" t="s">
        <v>691</v>
      </c>
      <c r="B563" s="2">
        <v>45774</v>
      </c>
      <c r="C563" t="s">
        <v>150</v>
      </c>
      <c r="D563" t="s">
        <v>28</v>
      </c>
      <c r="E563" t="s">
        <v>18</v>
      </c>
      <c r="F563" t="s">
        <v>25</v>
      </c>
      <c r="G563">
        <v>3</v>
      </c>
      <c r="H563">
        <v>0.15</v>
      </c>
      <c r="I563">
        <v>714</v>
      </c>
      <c r="J563">
        <v>138.91999999999999</v>
      </c>
      <c r="K563" t="str">
        <f t="shared" si="24"/>
        <v>Furniture</v>
      </c>
      <c r="L563" t="str">
        <f t="shared" si="25"/>
        <v>Apr-2025</v>
      </c>
      <c r="M563" s="14">
        <f t="shared" si="26"/>
        <v>45748</v>
      </c>
    </row>
    <row r="564" spans="1:13" x14ac:dyDescent="0.35">
      <c r="A564" t="s">
        <v>692</v>
      </c>
      <c r="B564" s="2">
        <v>45871</v>
      </c>
      <c r="C564" t="s">
        <v>87</v>
      </c>
      <c r="D564" t="s">
        <v>83</v>
      </c>
      <c r="E564" t="s">
        <v>46</v>
      </c>
      <c r="F564" t="s">
        <v>50</v>
      </c>
      <c r="G564">
        <v>1</v>
      </c>
      <c r="H564">
        <v>0.05</v>
      </c>
      <c r="I564">
        <v>23.75</v>
      </c>
      <c r="J564">
        <v>7.23</v>
      </c>
      <c r="K564" t="str">
        <f t="shared" si="24"/>
        <v>Office Supplies</v>
      </c>
      <c r="L564" t="str">
        <f t="shared" si="25"/>
        <v>Aug-2025</v>
      </c>
      <c r="M564" s="14">
        <f t="shared" si="26"/>
        <v>45870</v>
      </c>
    </row>
    <row r="565" spans="1:13" x14ac:dyDescent="0.35">
      <c r="A565" t="s">
        <v>693</v>
      </c>
      <c r="B565" s="2">
        <v>45922</v>
      </c>
      <c r="C565" t="s">
        <v>80</v>
      </c>
      <c r="D565" t="s">
        <v>49</v>
      </c>
      <c r="E565" t="s">
        <v>13</v>
      </c>
      <c r="F565" t="s">
        <v>25</v>
      </c>
      <c r="G565">
        <v>1</v>
      </c>
      <c r="H565">
        <v>0.2</v>
      </c>
      <c r="I565">
        <v>56</v>
      </c>
      <c r="J565">
        <v>10.57</v>
      </c>
      <c r="K565" t="str">
        <f t="shared" si="24"/>
        <v>Technology</v>
      </c>
      <c r="L565" t="str">
        <f t="shared" si="25"/>
        <v>Sept-2025</v>
      </c>
      <c r="M565" s="14">
        <f t="shared" si="26"/>
        <v>45901</v>
      </c>
    </row>
    <row r="566" spans="1:13" x14ac:dyDescent="0.35">
      <c r="A566" t="s">
        <v>694</v>
      </c>
      <c r="B566" s="2">
        <v>46021</v>
      </c>
      <c r="C566" t="s">
        <v>76</v>
      </c>
      <c r="D566" t="s">
        <v>55</v>
      </c>
      <c r="E566" t="s">
        <v>46</v>
      </c>
      <c r="F566" t="s">
        <v>14</v>
      </c>
      <c r="G566">
        <v>4</v>
      </c>
      <c r="H566">
        <v>0.05</v>
      </c>
      <c r="I566">
        <v>912</v>
      </c>
      <c r="J566">
        <v>175.5</v>
      </c>
      <c r="K566" t="str">
        <f t="shared" si="24"/>
        <v>Office Supplies</v>
      </c>
      <c r="L566" t="str">
        <f t="shared" si="25"/>
        <v>Dec-2025</v>
      </c>
      <c r="M566" s="14">
        <f t="shared" si="26"/>
        <v>45992</v>
      </c>
    </row>
    <row r="567" spans="1:13" x14ac:dyDescent="0.35">
      <c r="A567" t="s">
        <v>695</v>
      </c>
      <c r="B567" s="2">
        <v>45746</v>
      </c>
      <c r="C567" t="s">
        <v>101</v>
      </c>
      <c r="D567" t="s">
        <v>21</v>
      </c>
      <c r="E567" t="s">
        <v>18</v>
      </c>
      <c r="F567" t="s">
        <v>14</v>
      </c>
      <c r="G567">
        <v>2</v>
      </c>
      <c r="H567">
        <v>0</v>
      </c>
      <c r="I567">
        <v>110</v>
      </c>
      <c r="J567">
        <v>40.44</v>
      </c>
      <c r="K567" t="str">
        <f t="shared" si="24"/>
        <v>Furniture</v>
      </c>
      <c r="L567" t="str">
        <f t="shared" si="25"/>
        <v>Mar-2025</v>
      </c>
      <c r="M567" s="14">
        <f t="shared" si="26"/>
        <v>45717</v>
      </c>
    </row>
    <row r="568" spans="1:13" x14ac:dyDescent="0.35">
      <c r="A568" t="s">
        <v>696</v>
      </c>
      <c r="B568" s="2">
        <v>45842</v>
      </c>
      <c r="C568" t="s">
        <v>89</v>
      </c>
      <c r="D568" t="s">
        <v>17</v>
      </c>
      <c r="E568" t="s">
        <v>18</v>
      </c>
      <c r="F568" t="s">
        <v>50</v>
      </c>
      <c r="G568">
        <v>2</v>
      </c>
      <c r="H568">
        <v>0.1</v>
      </c>
      <c r="I568">
        <v>378</v>
      </c>
      <c r="J568">
        <v>124.15</v>
      </c>
      <c r="K568" t="str">
        <f t="shared" si="24"/>
        <v>Furniture</v>
      </c>
      <c r="L568" t="str">
        <f t="shared" si="25"/>
        <v>Jul-2025</v>
      </c>
      <c r="M568" s="14">
        <f t="shared" si="26"/>
        <v>45839</v>
      </c>
    </row>
    <row r="569" spans="1:13" x14ac:dyDescent="0.35">
      <c r="A569" t="s">
        <v>697</v>
      </c>
      <c r="B569" s="2">
        <v>45983</v>
      </c>
      <c r="C569" t="s">
        <v>202</v>
      </c>
      <c r="D569" t="s">
        <v>12</v>
      </c>
      <c r="E569" t="s">
        <v>13</v>
      </c>
      <c r="F569" t="s">
        <v>50</v>
      </c>
      <c r="G569">
        <v>1</v>
      </c>
      <c r="H569">
        <v>0.05</v>
      </c>
      <c r="I569">
        <v>33.25</v>
      </c>
      <c r="J569">
        <v>10.88</v>
      </c>
      <c r="K569" t="str">
        <f t="shared" si="24"/>
        <v>Technology</v>
      </c>
      <c r="L569" t="str">
        <f t="shared" si="25"/>
        <v>Nov-2025</v>
      </c>
      <c r="M569" s="14">
        <f t="shared" si="26"/>
        <v>45962</v>
      </c>
    </row>
    <row r="570" spans="1:13" x14ac:dyDescent="0.35">
      <c r="A570" t="s">
        <v>698</v>
      </c>
      <c r="B570" s="2">
        <v>45748</v>
      </c>
      <c r="C570" t="s">
        <v>273</v>
      </c>
      <c r="D570" t="s">
        <v>45</v>
      </c>
      <c r="E570" t="s">
        <v>46</v>
      </c>
      <c r="F570" t="s">
        <v>25</v>
      </c>
      <c r="G570">
        <v>5</v>
      </c>
      <c r="H570">
        <v>0.2</v>
      </c>
      <c r="I570">
        <v>72</v>
      </c>
      <c r="J570">
        <v>24.09</v>
      </c>
      <c r="K570" t="str">
        <f t="shared" si="24"/>
        <v>Office Supplies</v>
      </c>
      <c r="L570" t="str">
        <f t="shared" si="25"/>
        <v>Apr-2025</v>
      </c>
      <c r="M570" s="14">
        <f t="shared" si="26"/>
        <v>45748</v>
      </c>
    </row>
    <row r="571" spans="1:13" x14ac:dyDescent="0.35">
      <c r="A571" t="s">
        <v>699</v>
      </c>
      <c r="B571" s="2">
        <v>46010</v>
      </c>
      <c r="C571" t="s">
        <v>273</v>
      </c>
      <c r="D571" t="s">
        <v>12</v>
      </c>
      <c r="E571" t="s">
        <v>13</v>
      </c>
      <c r="F571" t="s">
        <v>22</v>
      </c>
      <c r="G571">
        <v>3</v>
      </c>
      <c r="H571">
        <v>0</v>
      </c>
      <c r="I571">
        <v>105</v>
      </c>
      <c r="J571">
        <v>33.86</v>
      </c>
      <c r="K571" t="str">
        <f t="shared" si="24"/>
        <v>Technology</v>
      </c>
      <c r="L571" t="str">
        <f t="shared" si="25"/>
        <v>Dec-2025</v>
      </c>
      <c r="M571" s="14">
        <f t="shared" si="26"/>
        <v>45992</v>
      </c>
    </row>
    <row r="572" spans="1:13" x14ac:dyDescent="0.35">
      <c r="A572" t="s">
        <v>700</v>
      </c>
      <c r="B572" s="2">
        <v>45771</v>
      </c>
      <c r="C572" t="s">
        <v>87</v>
      </c>
      <c r="D572" t="s">
        <v>38</v>
      </c>
      <c r="E572" t="s">
        <v>13</v>
      </c>
      <c r="F572" t="s">
        <v>14</v>
      </c>
      <c r="G572">
        <v>2</v>
      </c>
      <c r="H572">
        <v>0.05</v>
      </c>
      <c r="I572">
        <v>608</v>
      </c>
      <c r="J572">
        <v>219.61</v>
      </c>
      <c r="K572" t="str">
        <f t="shared" si="24"/>
        <v>Technology</v>
      </c>
      <c r="L572" t="str">
        <f t="shared" si="25"/>
        <v>Apr-2025</v>
      </c>
      <c r="M572" s="14">
        <f t="shared" si="26"/>
        <v>45748</v>
      </c>
    </row>
    <row r="573" spans="1:13" x14ac:dyDescent="0.35">
      <c r="A573" t="s">
        <v>701</v>
      </c>
      <c r="B573" s="2">
        <v>46007</v>
      </c>
      <c r="C573" t="s">
        <v>202</v>
      </c>
      <c r="D573" t="s">
        <v>67</v>
      </c>
      <c r="E573" t="s">
        <v>13</v>
      </c>
      <c r="F573" t="s">
        <v>14</v>
      </c>
      <c r="G573">
        <v>4</v>
      </c>
      <c r="H573">
        <v>0.05</v>
      </c>
      <c r="I573">
        <v>4560</v>
      </c>
      <c r="J573">
        <v>1077.8399999999999</v>
      </c>
      <c r="K573" t="str">
        <f t="shared" si="24"/>
        <v>Technology</v>
      </c>
      <c r="L573" t="str">
        <f t="shared" si="25"/>
        <v>Dec-2025</v>
      </c>
      <c r="M573" s="14">
        <f t="shared" si="26"/>
        <v>45992</v>
      </c>
    </row>
    <row r="574" spans="1:13" x14ac:dyDescent="0.35">
      <c r="A574" t="s">
        <v>702</v>
      </c>
      <c r="B574" s="2">
        <v>45772</v>
      </c>
      <c r="C574" t="s">
        <v>34</v>
      </c>
      <c r="D574" t="s">
        <v>35</v>
      </c>
      <c r="E574" t="s">
        <v>13</v>
      </c>
      <c r="F574" t="s">
        <v>25</v>
      </c>
      <c r="G574">
        <v>5</v>
      </c>
      <c r="H574">
        <v>0.1</v>
      </c>
      <c r="I574">
        <v>3825</v>
      </c>
      <c r="J574">
        <v>821.59</v>
      </c>
      <c r="K574" t="str">
        <f t="shared" si="24"/>
        <v>Technology</v>
      </c>
      <c r="L574" t="str">
        <f t="shared" si="25"/>
        <v>Apr-2025</v>
      </c>
      <c r="M574" s="14">
        <f t="shared" si="26"/>
        <v>45748</v>
      </c>
    </row>
    <row r="575" spans="1:13" x14ac:dyDescent="0.35">
      <c r="A575" t="s">
        <v>703</v>
      </c>
      <c r="B575" s="2">
        <v>45874</v>
      </c>
      <c r="C575" t="s">
        <v>89</v>
      </c>
      <c r="D575" t="s">
        <v>99</v>
      </c>
      <c r="E575" t="s">
        <v>18</v>
      </c>
      <c r="F575" t="s">
        <v>25</v>
      </c>
      <c r="G575">
        <v>3</v>
      </c>
      <c r="H575">
        <v>0.15</v>
      </c>
      <c r="I575">
        <v>484.5</v>
      </c>
      <c r="J575">
        <v>177.73</v>
      </c>
      <c r="K575" t="str">
        <f t="shared" si="24"/>
        <v>Furniture</v>
      </c>
      <c r="L575" t="str">
        <f t="shared" si="25"/>
        <v>Aug-2025</v>
      </c>
      <c r="M575" s="14">
        <f t="shared" si="26"/>
        <v>45870</v>
      </c>
    </row>
    <row r="576" spans="1:13" x14ac:dyDescent="0.35">
      <c r="A576" t="s">
        <v>704</v>
      </c>
      <c r="B576" s="2">
        <v>46004</v>
      </c>
      <c r="C576" t="s">
        <v>82</v>
      </c>
      <c r="D576" t="s">
        <v>55</v>
      </c>
      <c r="E576" t="s">
        <v>46</v>
      </c>
      <c r="F576" t="s">
        <v>25</v>
      </c>
      <c r="G576">
        <v>5</v>
      </c>
      <c r="H576">
        <v>0.15</v>
      </c>
      <c r="I576">
        <v>1020</v>
      </c>
      <c r="J576">
        <v>262.26</v>
      </c>
      <c r="K576" t="str">
        <f t="shared" si="24"/>
        <v>Office Supplies</v>
      </c>
      <c r="L576" t="str">
        <f t="shared" si="25"/>
        <v>Dec-2025</v>
      </c>
      <c r="M576" s="14">
        <f t="shared" si="26"/>
        <v>45992</v>
      </c>
    </row>
    <row r="577" spans="1:13" x14ac:dyDescent="0.35">
      <c r="A577" t="s">
        <v>705</v>
      </c>
      <c r="B577" s="2">
        <v>45945</v>
      </c>
      <c r="C577" t="s">
        <v>278</v>
      </c>
      <c r="D577" t="s">
        <v>38</v>
      </c>
      <c r="E577" t="s">
        <v>13</v>
      </c>
      <c r="F577" t="s">
        <v>14</v>
      </c>
      <c r="G577">
        <v>5</v>
      </c>
      <c r="H577">
        <v>0.2</v>
      </c>
      <c r="I577">
        <v>1280</v>
      </c>
      <c r="J577">
        <v>456.6</v>
      </c>
      <c r="K577" t="str">
        <f t="shared" si="24"/>
        <v>Technology</v>
      </c>
      <c r="L577" t="str">
        <f t="shared" si="25"/>
        <v>Oct-2025</v>
      </c>
      <c r="M577" s="14">
        <f t="shared" si="26"/>
        <v>45931</v>
      </c>
    </row>
    <row r="578" spans="1:13" x14ac:dyDescent="0.35">
      <c r="A578" t="s">
        <v>706</v>
      </c>
      <c r="B578" s="2">
        <v>45904</v>
      </c>
      <c r="C578" t="s">
        <v>295</v>
      </c>
      <c r="D578" t="s">
        <v>12</v>
      </c>
      <c r="E578" t="s">
        <v>13</v>
      </c>
      <c r="F578" t="s">
        <v>25</v>
      </c>
      <c r="G578">
        <v>3</v>
      </c>
      <c r="H578">
        <v>0.1</v>
      </c>
      <c r="I578">
        <v>94.5</v>
      </c>
      <c r="J578">
        <v>22.55</v>
      </c>
      <c r="K578" t="str">
        <f t="shared" ref="K578:K641" si="27">TRIM(E578)</f>
        <v>Technology</v>
      </c>
      <c r="L578" t="str">
        <f t="shared" si="25"/>
        <v>Sept-2025</v>
      </c>
      <c r="M578" s="14">
        <f t="shared" si="26"/>
        <v>45901</v>
      </c>
    </row>
    <row r="579" spans="1:13" x14ac:dyDescent="0.35">
      <c r="A579" t="s">
        <v>707</v>
      </c>
      <c r="B579" s="2">
        <v>45993</v>
      </c>
      <c r="C579" t="s">
        <v>213</v>
      </c>
      <c r="D579" t="s">
        <v>17</v>
      </c>
      <c r="E579" t="s">
        <v>18</v>
      </c>
      <c r="F579" t="s">
        <v>22</v>
      </c>
      <c r="G579">
        <v>3</v>
      </c>
      <c r="H579">
        <v>0.05</v>
      </c>
      <c r="I579">
        <v>598.5</v>
      </c>
      <c r="J579">
        <v>239.71</v>
      </c>
      <c r="K579" t="str">
        <f t="shared" si="27"/>
        <v>Furniture</v>
      </c>
      <c r="L579" t="str">
        <f t="shared" ref="L579:L642" si="28">TEXT(B579,"mmm-yyyy")</f>
        <v>Dec-2025</v>
      </c>
      <c r="M579" s="14">
        <f t="shared" ref="M579:M642" si="29">DATE(YEAR(B579),MONTH(B579),1)</f>
        <v>45992</v>
      </c>
    </row>
    <row r="580" spans="1:13" x14ac:dyDescent="0.35">
      <c r="A580" t="s">
        <v>708</v>
      </c>
      <c r="B580" s="2">
        <v>45687</v>
      </c>
      <c r="C580" t="s">
        <v>204</v>
      </c>
      <c r="D580" t="s">
        <v>83</v>
      </c>
      <c r="E580" t="s">
        <v>46</v>
      </c>
      <c r="F580" t="s">
        <v>14</v>
      </c>
      <c r="G580">
        <v>4</v>
      </c>
      <c r="H580">
        <v>0.1</v>
      </c>
      <c r="I580">
        <v>90</v>
      </c>
      <c r="J580">
        <v>20.28</v>
      </c>
      <c r="K580" t="str">
        <f t="shared" si="27"/>
        <v>Office Supplies</v>
      </c>
      <c r="L580" t="str">
        <f t="shared" si="28"/>
        <v>Jan-2025</v>
      </c>
      <c r="M580" s="14">
        <f t="shared" si="29"/>
        <v>45658</v>
      </c>
    </row>
    <row r="581" spans="1:13" x14ac:dyDescent="0.35">
      <c r="A581" t="s">
        <v>709</v>
      </c>
      <c r="B581" s="2">
        <v>45993</v>
      </c>
      <c r="C581" t="s">
        <v>98</v>
      </c>
      <c r="D581" t="s">
        <v>45</v>
      </c>
      <c r="E581" t="s">
        <v>46</v>
      </c>
      <c r="F581" t="s">
        <v>50</v>
      </c>
      <c r="G581">
        <v>3</v>
      </c>
      <c r="H581">
        <v>0.1</v>
      </c>
      <c r="I581">
        <v>48.6</v>
      </c>
      <c r="J581">
        <v>7.32</v>
      </c>
      <c r="K581" t="str">
        <f t="shared" si="27"/>
        <v>Office Supplies</v>
      </c>
      <c r="L581" t="str">
        <f t="shared" si="28"/>
        <v>Dec-2025</v>
      </c>
      <c r="M581" s="14">
        <f t="shared" si="29"/>
        <v>45992</v>
      </c>
    </row>
    <row r="582" spans="1:13" x14ac:dyDescent="0.35">
      <c r="A582" t="s">
        <v>710</v>
      </c>
      <c r="B582" s="2">
        <v>45676</v>
      </c>
      <c r="C582" t="s">
        <v>165</v>
      </c>
      <c r="D582" t="s">
        <v>83</v>
      </c>
      <c r="E582" t="s">
        <v>46</v>
      </c>
      <c r="F582" t="s">
        <v>22</v>
      </c>
      <c r="G582">
        <v>5</v>
      </c>
      <c r="H582">
        <v>0.05</v>
      </c>
      <c r="I582">
        <v>118.75</v>
      </c>
      <c r="J582">
        <v>39.99</v>
      </c>
      <c r="K582" t="str">
        <f t="shared" si="27"/>
        <v>Office Supplies</v>
      </c>
      <c r="L582" t="str">
        <f t="shared" si="28"/>
        <v>Jan-2025</v>
      </c>
      <c r="M582" s="14">
        <f t="shared" si="29"/>
        <v>45658</v>
      </c>
    </row>
    <row r="583" spans="1:13" x14ac:dyDescent="0.35">
      <c r="A583" t="s">
        <v>711</v>
      </c>
      <c r="B583" s="2">
        <v>46009</v>
      </c>
      <c r="C583" t="s">
        <v>412</v>
      </c>
      <c r="D583" t="s">
        <v>55</v>
      </c>
      <c r="E583" t="s">
        <v>46</v>
      </c>
      <c r="F583" t="s">
        <v>22</v>
      </c>
      <c r="G583">
        <v>4</v>
      </c>
      <c r="H583">
        <v>0.1</v>
      </c>
      <c r="I583">
        <v>864</v>
      </c>
      <c r="J583">
        <v>244.15</v>
      </c>
      <c r="K583" t="str">
        <f t="shared" si="27"/>
        <v>Office Supplies</v>
      </c>
      <c r="L583" t="str">
        <f t="shared" si="28"/>
        <v>Dec-2025</v>
      </c>
      <c r="M583" s="14">
        <f t="shared" si="29"/>
        <v>45992</v>
      </c>
    </row>
    <row r="584" spans="1:13" x14ac:dyDescent="0.35">
      <c r="A584" t="s">
        <v>712</v>
      </c>
      <c r="B584" s="2">
        <v>45808</v>
      </c>
      <c r="C584" t="s">
        <v>204</v>
      </c>
      <c r="D584" t="s">
        <v>12</v>
      </c>
      <c r="E584" t="s">
        <v>13</v>
      </c>
      <c r="F584" t="s">
        <v>22</v>
      </c>
      <c r="G584">
        <v>4</v>
      </c>
      <c r="H584">
        <v>0.05</v>
      </c>
      <c r="I584">
        <v>133</v>
      </c>
      <c r="J584">
        <v>27.33</v>
      </c>
      <c r="K584" t="str">
        <f t="shared" si="27"/>
        <v>Technology</v>
      </c>
      <c r="L584" t="str">
        <f t="shared" si="28"/>
        <v>May-2025</v>
      </c>
      <c r="M584" s="14">
        <f t="shared" si="29"/>
        <v>45778</v>
      </c>
    </row>
    <row r="585" spans="1:13" x14ac:dyDescent="0.35">
      <c r="A585" t="s">
        <v>713</v>
      </c>
      <c r="B585" s="2">
        <v>46006</v>
      </c>
      <c r="C585" t="s">
        <v>288</v>
      </c>
      <c r="D585" t="s">
        <v>49</v>
      </c>
      <c r="E585" t="s">
        <v>13</v>
      </c>
      <c r="F585" t="s">
        <v>25</v>
      </c>
      <c r="G585">
        <v>1</v>
      </c>
      <c r="H585">
        <v>0.05</v>
      </c>
      <c r="I585">
        <v>66.5</v>
      </c>
      <c r="J585">
        <v>22.13</v>
      </c>
      <c r="K585" t="str">
        <f t="shared" si="27"/>
        <v>Technology</v>
      </c>
      <c r="L585" t="str">
        <f t="shared" si="28"/>
        <v>Dec-2025</v>
      </c>
      <c r="M585" s="14">
        <f t="shared" si="29"/>
        <v>45992</v>
      </c>
    </row>
    <row r="586" spans="1:13" x14ac:dyDescent="0.35">
      <c r="A586" t="s">
        <v>714</v>
      </c>
      <c r="B586" s="2">
        <v>45873</v>
      </c>
      <c r="C586" t="s">
        <v>89</v>
      </c>
      <c r="D586" t="s">
        <v>49</v>
      </c>
      <c r="E586" t="s">
        <v>13</v>
      </c>
      <c r="F586" t="s">
        <v>14</v>
      </c>
      <c r="G586">
        <v>3</v>
      </c>
      <c r="H586">
        <v>0.1</v>
      </c>
      <c r="I586">
        <v>189</v>
      </c>
      <c r="J586">
        <v>48.53</v>
      </c>
      <c r="K586" t="str">
        <f t="shared" si="27"/>
        <v>Technology</v>
      </c>
      <c r="L586" t="str">
        <f t="shared" si="28"/>
        <v>Aug-2025</v>
      </c>
      <c r="M586" s="14">
        <f t="shared" si="29"/>
        <v>45870</v>
      </c>
    </row>
    <row r="587" spans="1:13" x14ac:dyDescent="0.35">
      <c r="A587" t="s">
        <v>715</v>
      </c>
      <c r="B587" s="2">
        <v>45898</v>
      </c>
      <c r="C587" t="s">
        <v>128</v>
      </c>
      <c r="D587" t="s">
        <v>67</v>
      </c>
      <c r="E587" t="s">
        <v>13</v>
      </c>
      <c r="F587" t="s">
        <v>50</v>
      </c>
      <c r="G587">
        <v>5</v>
      </c>
      <c r="H587">
        <v>0.2</v>
      </c>
      <c r="I587">
        <v>4800</v>
      </c>
      <c r="J587">
        <v>664.23</v>
      </c>
      <c r="K587" t="str">
        <f t="shared" si="27"/>
        <v>Technology</v>
      </c>
      <c r="L587" t="str">
        <f t="shared" si="28"/>
        <v>Aug-2025</v>
      </c>
      <c r="M587" s="14">
        <f t="shared" si="29"/>
        <v>45870</v>
      </c>
    </row>
    <row r="588" spans="1:13" x14ac:dyDescent="0.35">
      <c r="A588" t="s">
        <v>716</v>
      </c>
      <c r="B588" s="2">
        <v>45757</v>
      </c>
      <c r="C588" t="s">
        <v>87</v>
      </c>
      <c r="D588" t="s">
        <v>55</v>
      </c>
      <c r="E588" t="s">
        <v>46</v>
      </c>
      <c r="F588" t="s">
        <v>14</v>
      </c>
      <c r="G588">
        <v>1</v>
      </c>
      <c r="H588">
        <v>0.15</v>
      </c>
      <c r="I588">
        <v>204</v>
      </c>
      <c r="J588">
        <v>56.13</v>
      </c>
      <c r="K588" t="str">
        <f t="shared" si="27"/>
        <v>Office Supplies</v>
      </c>
      <c r="L588" t="str">
        <f t="shared" si="28"/>
        <v>Apr-2025</v>
      </c>
      <c r="M588" s="14">
        <f t="shared" si="29"/>
        <v>45748</v>
      </c>
    </row>
    <row r="589" spans="1:13" x14ac:dyDescent="0.35">
      <c r="A589" t="s">
        <v>717</v>
      </c>
      <c r="B589" s="2">
        <v>45735</v>
      </c>
      <c r="C589" t="s">
        <v>73</v>
      </c>
      <c r="D589" t="s">
        <v>28</v>
      </c>
      <c r="E589" t="s">
        <v>18</v>
      </c>
      <c r="F589" t="s">
        <v>50</v>
      </c>
      <c r="G589">
        <v>2</v>
      </c>
      <c r="H589">
        <v>0.1</v>
      </c>
      <c r="I589">
        <v>504</v>
      </c>
      <c r="J589">
        <v>158.74</v>
      </c>
      <c r="K589" t="str">
        <f t="shared" si="27"/>
        <v>Furniture</v>
      </c>
      <c r="L589" t="str">
        <f t="shared" si="28"/>
        <v>Mar-2025</v>
      </c>
      <c r="M589" s="14">
        <f t="shared" si="29"/>
        <v>45717</v>
      </c>
    </row>
    <row r="590" spans="1:13" x14ac:dyDescent="0.35">
      <c r="A590" t="s">
        <v>718</v>
      </c>
      <c r="B590" s="2">
        <v>45731</v>
      </c>
      <c r="C590" t="s">
        <v>189</v>
      </c>
      <c r="D590" t="s">
        <v>49</v>
      </c>
      <c r="E590" t="s">
        <v>13</v>
      </c>
      <c r="F590" t="s">
        <v>22</v>
      </c>
      <c r="G590">
        <v>2</v>
      </c>
      <c r="H590">
        <v>0</v>
      </c>
      <c r="I590">
        <v>140</v>
      </c>
      <c r="J590">
        <v>40.47</v>
      </c>
      <c r="K590" t="str">
        <f t="shared" si="27"/>
        <v>Technology</v>
      </c>
      <c r="L590" t="str">
        <f t="shared" si="28"/>
        <v>Mar-2025</v>
      </c>
      <c r="M590" s="14">
        <f t="shared" si="29"/>
        <v>45717</v>
      </c>
    </row>
    <row r="591" spans="1:13" x14ac:dyDescent="0.35">
      <c r="A591" t="s">
        <v>719</v>
      </c>
      <c r="B591" s="2">
        <v>45818</v>
      </c>
      <c r="C591" t="s">
        <v>124</v>
      </c>
      <c r="D591" t="s">
        <v>38</v>
      </c>
      <c r="E591" t="s">
        <v>13</v>
      </c>
      <c r="F591" t="s">
        <v>22</v>
      </c>
      <c r="G591">
        <v>1</v>
      </c>
      <c r="H591">
        <v>0</v>
      </c>
      <c r="I591">
        <v>320</v>
      </c>
      <c r="J591">
        <v>96.26</v>
      </c>
      <c r="K591" t="str">
        <f t="shared" si="27"/>
        <v>Technology</v>
      </c>
      <c r="L591" t="str">
        <f t="shared" si="28"/>
        <v>Jun-2025</v>
      </c>
      <c r="M591" s="14">
        <f t="shared" si="29"/>
        <v>45809</v>
      </c>
    </row>
    <row r="592" spans="1:13" x14ac:dyDescent="0.35">
      <c r="A592" t="s">
        <v>720</v>
      </c>
      <c r="B592" s="2">
        <v>45953</v>
      </c>
      <c r="C592" t="s">
        <v>64</v>
      </c>
      <c r="D592" t="s">
        <v>28</v>
      </c>
      <c r="E592" t="s">
        <v>18</v>
      </c>
      <c r="F592" t="s">
        <v>50</v>
      </c>
      <c r="G592">
        <v>4</v>
      </c>
      <c r="H592">
        <v>0</v>
      </c>
      <c r="I592">
        <v>1120</v>
      </c>
      <c r="J592">
        <v>456.17</v>
      </c>
      <c r="K592" t="str">
        <f t="shared" si="27"/>
        <v>Furniture</v>
      </c>
      <c r="L592" t="str">
        <f t="shared" si="28"/>
        <v>Oct-2025</v>
      </c>
      <c r="M592" s="14">
        <f t="shared" si="29"/>
        <v>45931</v>
      </c>
    </row>
    <row r="593" spans="1:13" x14ac:dyDescent="0.35">
      <c r="A593" t="s">
        <v>721</v>
      </c>
      <c r="B593" s="2">
        <v>45864</v>
      </c>
      <c r="C593" t="s">
        <v>42</v>
      </c>
      <c r="D593" t="s">
        <v>99</v>
      </c>
      <c r="E593" t="s">
        <v>18</v>
      </c>
      <c r="F593" t="s">
        <v>22</v>
      </c>
      <c r="G593">
        <v>4</v>
      </c>
      <c r="H593">
        <v>0.15</v>
      </c>
      <c r="I593">
        <v>646</v>
      </c>
      <c r="J593">
        <v>289.7</v>
      </c>
      <c r="K593" t="str">
        <f t="shared" si="27"/>
        <v>Furniture</v>
      </c>
      <c r="L593" t="str">
        <f t="shared" si="28"/>
        <v>Jul-2025</v>
      </c>
      <c r="M593" s="14">
        <f t="shared" si="29"/>
        <v>45839</v>
      </c>
    </row>
    <row r="594" spans="1:13" x14ac:dyDescent="0.35">
      <c r="A594" t="s">
        <v>722</v>
      </c>
      <c r="B594" s="2">
        <v>45849</v>
      </c>
      <c r="C594" t="s">
        <v>236</v>
      </c>
      <c r="D594" t="s">
        <v>67</v>
      </c>
      <c r="E594" t="s">
        <v>13</v>
      </c>
      <c r="F594" t="s">
        <v>14</v>
      </c>
      <c r="G594">
        <v>3</v>
      </c>
      <c r="H594">
        <v>0.2</v>
      </c>
      <c r="I594">
        <v>2880</v>
      </c>
      <c r="J594">
        <v>1114.8800000000001</v>
      </c>
      <c r="K594" t="str">
        <f t="shared" si="27"/>
        <v>Technology</v>
      </c>
      <c r="L594" t="str">
        <f t="shared" si="28"/>
        <v>Jul-2025</v>
      </c>
      <c r="M594" s="14">
        <f t="shared" si="29"/>
        <v>45839</v>
      </c>
    </row>
    <row r="595" spans="1:13" x14ac:dyDescent="0.35">
      <c r="A595" t="s">
        <v>723</v>
      </c>
      <c r="B595" s="2">
        <v>45978</v>
      </c>
      <c r="C595" t="s">
        <v>30</v>
      </c>
      <c r="D595" t="s">
        <v>17</v>
      </c>
      <c r="E595" t="s">
        <v>18</v>
      </c>
      <c r="F595" t="s">
        <v>25</v>
      </c>
      <c r="G595">
        <v>2</v>
      </c>
      <c r="H595">
        <v>0.05</v>
      </c>
      <c r="I595">
        <v>399</v>
      </c>
      <c r="J595">
        <v>88.23</v>
      </c>
      <c r="K595" t="str">
        <f t="shared" si="27"/>
        <v>Furniture</v>
      </c>
      <c r="L595" t="str">
        <f t="shared" si="28"/>
        <v>Nov-2025</v>
      </c>
      <c r="M595" s="14">
        <f t="shared" si="29"/>
        <v>45962</v>
      </c>
    </row>
    <row r="596" spans="1:13" x14ac:dyDescent="0.35">
      <c r="A596" t="s">
        <v>724</v>
      </c>
      <c r="B596" s="2">
        <v>45724</v>
      </c>
      <c r="C596" t="s">
        <v>412</v>
      </c>
      <c r="D596" t="s">
        <v>12</v>
      </c>
      <c r="E596" t="s">
        <v>13</v>
      </c>
      <c r="F596" t="s">
        <v>14</v>
      </c>
      <c r="G596">
        <v>4</v>
      </c>
      <c r="H596">
        <v>0.2</v>
      </c>
      <c r="I596">
        <v>112</v>
      </c>
      <c r="J596">
        <v>28.64</v>
      </c>
      <c r="K596" t="str">
        <f t="shared" si="27"/>
        <v>Technology</v>
      </c>
      <c r="L596" t="str">
        <f t="shared" si="28"/>
        <v>Mar-2025</v>
      </c>
      <c r="M596" s="14">
        <f t="shared" si="29"/>
        <v>45717</v>
      </c>
    </row>
    <row r="597" spans="1:13" x14ac:dyDescent="0.35">
      <c r="A597" t="s">
        <v>725</v>
      </c>
      <c r="B597" s="2">
        <v>45681</v>
      </c>
      <c r="C597" t="s">
        <v>202</v>
      </c>
      <c r="D597" t="s">
        <v>35</v>
      </c>
      <c r="E597" t="s">
        <v>13</v>
      </c>
      <c r="F597" t="s">
        <v>25</v>
      </c>
      <c r="G597">
        <v>3</v>
      </c>
      <c r="H597">
        <v>0.15</v>
      </c>
      <c r="I597">
        <v>2167.5</v>
      </c>
      <c r="J597">
        <v>454.78</v>
      </c>
      <c r="K597" t="str">
        <f t="shared" si="27"/>
        <v>Technology</v>
      </c>
      <c r="L597" t="str">
        <f t="shared" si="28"/>
        <v>Jan-2025</v>
      </c>
      <c r="M597" s="14">
        <f t="shared" si="29"/>
        <v>45658</v>
      </c>
    </row>
    <row r="598" spans="1:13" x14ac:dyDescent="0.35">
      <c r="A598" t="s">
        <v>726</v>
      </c>
      <c r="B598" s="2">
        <v>45880</v>
      </c>
      <c r="C598" t="s">
        <v>206</v>
      </c>
      <c r="D598" t="s">
        <v>38</v>
      </c>
      <c r="E598" t="s">
        <v>13</v>
      </c>
      <c r="F598" t="s">
        <v>25</v>
      </c>
      <c r="G598">
        <v>2</v>
      </c>
      <c r="H598">
        <v>0.1</v>
      </c>
      <c r="I598">
        <v>576</v>
      </c>
      <c r="J598">
        <v>69.849999999999994</v>
      </c>
      <c r="K598" t="str">
        <f t="shared" si="27"/>
        <v>Technology</v>
      </c>
      <c r="L598" t="str">
        <f t="shared" si="28"/>
        <v>Aug-2025</v>
      </c>
      <c r="M598" s="14">
        <f t="shared" si="29"/>
        <v>45870</v>
      </c>
    </row>
    <row r="599" spans="1:13" x14ac:dyDescent="0.35">
      <c r="A599" t="s">
        <v>727</v>
      </c>
      <c r="B599" s="2">
        <v>45754</v>
      </c>
      <c r="C599" t="s">
        <v>198</v>
      </c>
      <c r="D599" t="s">
        <v>28</v>
      </c>
      <c r="E599" t="s">
        <v>18</v>
      </c>
      <c r="F599" t="s">
        <v>22</v>
      </c>
      <c r="G599">
        <v>4</v>
      </c>
      <c r="H599">
        <v>0</v>
      </c>
      <c r="I599">
        <v>1120</v>
      </c>
      <c r="J599">
        <v>419.58</v>
      </c>
      <c r="K599" t="str">
        <f t="shared" si="27"/>
        <v>Furniture</v>
      </c>
      <c r="L599" t="str">
        <f t="shared" si="28"/>
        <v>Apr-2025</v>
      </c>
      <c r="M599" s="14">
        <f t="shared" si="29"/>
        <v>45748</v>
      </c>
    </row>
    <row r="600" spans="1:13" x14ac:dyDescent="0.35">
      <c r="A600" t="s">
        <v>728</v>
      </c>
      <c r="B600" s="2">
        <v>45766</v>
      </c>
      <c r="C600" t="s">
        <v>404</v>
      </c>
      <c r="D600" t="s">
        <v>17</v>
      </c>
      <c r="E600" t="s">
        <v>18</v>
      </c>
      <c r="F600" t="s">
        <v>25</v>
      </c>
      <c r="G600">
        <v>1</v>
      </c>
      <c r="H600">
        <v>0.2</v>
      </c>
      <c r="I600">
        <v>168</v>
      </c>
      <c r="J600">
        <v>47.62</v>
      </c>
      <c r="K600" t="str">
        <f t="shared" si="27"/>
        <v>Furniture</v>
      </c>
      <c r="L600" t="str">
        <f t="shared" si="28"/>
        <v>Apr-2025</v>
      </c>
      <c r="M600" s="14">
        <f t="shared" si="29"/>
        <v>45748</v>
      </c>
    </row>
    <row r="601" spans="1:13" x14ac:dyDescent="0.35">
      <c r="A601" t="s">
        <v>729</v>
      </c>
      <c r="B601" s="2">
        <v>46022</v>
      </c>
      <c r="C601" t="s">
        <v>210</v>
      </c>
      <c r="D601" t="s">
        <v>38</v>
      </c>
      <c r="E601" t="s">
        <v>13</v>
      </c>
      <c r="F601" t="s">
        <v>14</v>
      </c>
      <c r="G601">
        <v>1</v>
      </c>
      <c r="H601">
        <v>0.15</v>
      </c>
      <c r="I601">
        <v>272</v>
      </c>
      <c r="J601">
        <v>43.72</v>
      </c>
      <c r="K601" t="str">
        <f t="shared" si="27"/>
        <v>Technology</v>
      </c>
      <c r="L601" t="str">
        <f t="shared" si="28"/>
        <v>Dec-2025</v>
      </c>
      <c r="M601" s="14">
        <f t="shared" si="29"/>
        <v>45992</v>
      </c>
    </row>
    <row r="602" spans="1:13" x14ac:dyDescent="0.35">
      <c r="A602" t="s">
        <v>730</v>
      </c>
      <c r="B602" s="2">
        <v>45962</v>
      </c>
      <c r="C602" t="s">
        <v>183</v>
      </c>
      <c r="D602" t="s">
        <v>67</v>
      </c>
      <c r="E602" t="s">
        <v>13</v>
      </c>
      <c r="F602" t="s">
        <v>50</v>
      </c>
      <c r="G602">
        <v>1</v>
      </c>
      <c r="H602">
        <v>0</v>
      </c>
      <c r="I602">
        <v>1200</v>
      </c>
      <c r="J602">
        <v>520.9</v>
      </c>
      <c r="K602" t="str">
        <f t="shared" si="27"/>
        <v>Technology</v>
      </c>
      <c r="L602" t="str">
        <f t="shared" si="28"/>
        <v>Nov-2025</v>
      </c>
      <c r="M602" s="14">
        <f t="shared" si="29"/>
        <v>45962</v>
      </c>
    </row>
    <row r="603" spans="1:13" x14ac:dyDescent="0.35">
      <c r="A603" t="s">
        <v>731</v>
      </c>
      <c r="B603" s="2">
        <v>45885</v>
      </c>
      <c r="C603" t="s">
        <v>135</v>
      </c>
      <c r="D603" t="s">
        <v>99</v>
      </c>
      <c r="E603" t="s">
        <v>18</v>
      </c>
      <c r="F603" t="s">
        <v>22</v>
      </c>
      <c r="G603">
        <v>1</v>
      </c>
      <c r="H603">
        <v>0.2</v>
      </c>
      <c r="I603">
        <v>152</v>
      </c>
      <c r="J603">
        <v>55.72</v>
      </c>
      <c r="K603" t="str">
        <f t="shared" si="27"/>
        <v>Furniture</v>
      </c>
      <c r="L603" t="str">
        <f t="shared" si="28"/>
        <v>Aug-2025</v>
      </c>
      <c r="M603" s="14">
        <f t="shared" si="29"/>
        <v>45870</v>
      </c>
    </row>
    <row r="604" spans="1:13" x14ac:dyDescent="0.35">
      <c r="A604" t="s">
        <v>732</v>
      </c>
      <c r="B604" s="2">
        <v>45763</v>
      </c>
      <c r="C604" t="s">
        <v>733</v>
      </c>
      <c r="D604" t="s">
        <v>17</v>
      </c>
      <c r="E604" t="s">
        <v>18</v>
      </c>
      <c r="F604" t="s">
        <v>25</v>
      </c>
      <c r="G604">
        <v>1</v>
      </c>
      <c r="H604">
        <v>0.1</v>
      </c>
      <c r="I604">
        <v>189</v>
      </c>
      <c r="J604">
        <v>58.8</v>
      </c>
      <c r="K604" t="str">
        <f t="shared" si="27"/>
        <v>Furniture</v>
      </c>
      <c r="L604" t="str">
        <f t="shared" si="28"/>
        <v>Apr-2025</v>
      </c>
      <c r="M604" s="14">
        <f t="shared" si="29"/>
        <v>45748</v>
      </c>
    </row>
    <row r="605" spans="1:13" x14ac:dyDescent="0.35">
      <c r="A605" t="s">
        <v>734</v>
      </c>
      <c r="B605" s="2">
        <v>45976</v>
      </c>
      <c r="C605" t="s">
        <v>122</v>
      </c>
      <c r="D605" t="s">
        <v>83</v>
      </c>
      <c r="E605" t="s">
        <v>46</v>
      </c>
      <c r="F605" t="s">
        <v>14</v>
      </c>
      <c r="G605">
        <v>2</v>
      </c>
      <c r="H605">
        <v>0.15</v>
      </c>
      <c r="I605">
        <v>42.5</v>
      </c>
      <c r="J605">
        <v>7.48</v>
      </c>
      <c r="K605" t="str">
        <f t="shared" si="27"/>
        <v>Office Supplies</v>
      </c>
      <c r="L605" t="str">
        <f t="shared" si="28"/>
        <v>Nov-2025</v>
      </c>
      <c r="M605" s="14">
        <f t="shared" si="29"/>
        <v>45962</v>
      </c>
    </row>
    <row r="606" spans="1:13" x14ac:dyDescent="0.35">
      <c r="A606" t="s">
        <v>735</v>
      </c>
      <c r="B606" s="2">
        <v>45802</v>
      </c>
      <c r="C606" t="s">
        <v>181</v>
      </c>
      <c r="D606" t="s">
        <v>12</v>
      </c>
      <c r="E606" t="s">
        <v>13</v>
      </c>
      <c r="F606" t="s">
        <v>25</v>
      </c>
      <c r="G606">
        <v>1</v>
      </c>
      <c r="H606">
        <v>0.15</v>
      </c>
      <c r="I606">
        <v>29.75</v>
      </c>
      <c r="J606">
        <v>11.44</v>
      </c>
      <c r="K606" t="str">
        <f t="shared" si="27"/>
        <v>Technology</v>
      </c>
      <c r="L606" t="str">
        <f t="shared" si="28"/>
        <v>May-2025</v>
      </c>
      <c r="M606" s="14">
        <f t="shared" si="29"/>
        <v>45778</v>
      </c>
    </row>
    <row r="607" spans="1:13" x14ac:dyDescent="0.35">
      <c r="A607" t="s">
        <v>736</v>
      </c>
      <c r="B607" s="2">
        <v>45925</v>
      </c>
      <c r="C607" t="s">
        <v>360</v>
      </c>
      <c r="D607" t="s">
        <v>21</v>
      </c>
      <c r="E607" t="s">
        <v>18</v>
      </c>
      <c r="F607" t="s">
        <v>50</v>
      </c>
      <c r="G607">
        <v>3</v>
      </c>
      <c r="H607">
        <v>0.15</v>
      </c>
      <c r="I607">
        <v>140.25</v>
      </c>
      <c r="J607">
        <v>49.44</v>
      </c>
      <c r="K607" t="str">
        <f t="shared" si="27"/>
        <v>Furniture</v>
      </c>
      <c r="L607" t="str">
        <f t="shared" si="28"/>
        <v>Sept-2025</v>
      </c>
      <c r="M607" s="14">
        <f t="shared" si="29"/>
        <v>45901</v>
      </c>
    </row>
    <row r="608" spans="1:13" x14ac:dyDescent="0.35">
      <c r="A608" t="s">
        <v>737</v>
      </c>
      <c r="B608" s="2">
        <v>45764</v>
      </c>
      <c r="C608" t="s">
        <v>62</v>
      </c>
      <c r="D608" t="s">
        <v>17</v>
      </c>
      <c r="E608" t="s">
        <v>18</v>
      </c>
      <c r="F608" t="s">
        <v>14</v>
      </c>
      <c r="G608">
        <v>4</v>
      </c>
      <c r="H608">
        <v>0.1</v>
      </c>
      <c r="I608">
        <v>756</v>
      </c>
      <c r="J608">
        <v>281.7</v>
      </c>
      <c r="K608" t="str">
        <f t="shared" si="27"/>
        <v>Furniture</v>
      </c>
      <c r="L608" t="str">
        <f t="shared" si="28"/>
        <v>Apr-2025</v>
      </c>
      <c r="M608" s="14">
        <f t="shared" si="29"/>
        <v>45748</v>
      </c>
    </row>
    <row r="609" spans="1:13" x14ac:dyDescent="0.35">
      <c r="A609" t="s">
        <v>738</v>
      </c>
      <c r="B609" s="2">
        <v>45714</v>
      </c>
      <c r="C609" t="s">
        <v>387</v>
      </c>
      <c r="D609" t="s">
        <v>83</v>
      </c>
      <c r="E609" t="s">
        <v>46</v>
      </c>
      <c r="F609" t="s">
        <v>14</v>
      </c>
      <c r="G609">
        <v>4</v>
      </c>
      <c r="H609">
        <v>0.05</v>
      </c>
      <c r="I609">
        <v>95</v>
      </c>
      <c r="J609">
        <v>12.98</v>
      </c>
      <c r="K609" t="str">
        <f t="shared" si="27"/>
        <v>Office Supplies</v>
      </c>
      <c r="L609" t="str">
        <f t="shared" si="28"/>
        <v>Feb-2025</v>
      </c>
      <c r="M609" s="14">
        <f t="shared" si="29"/>
        <v>45689</v>
      </c>
    </row>
    <row r="610" spans="1:13" x14ac:dyDescent="0.35">
      <c r="A610" t="s">
        <v>739</v>
      </c>
      <c r="B610" s="2">
        <v>45709</v>
      </c>
      <c r="C610" t="s">
        <v>103</v>
      </c>
      <c r="D610" t="s">
        <v>35</v>
      </c>
      <c r="E610" t="s">
        <v>13</v>
      </c>
      <c r="F610" t="s">
        <v>25</v>
      </c>
      <c r="G610">
        <v>2</v>
      </c>
      <c r="H610">
        <v>0.15</v>
      </c>
      <c r="I610">
        <v>1445</v>
      </c>
      <c r="J610">
        <v>178.8</v>
      </c>
      <c r="K610" t="str">
        <f t="shared" si="27"/>
        <v>Technology</v>
      </c>
      <c r="L610" t="str">
        <f t="shared" si="28"/>
        <v>Feb-2025</v>
      </c>
      <c r="M610" s="14">
        <f t="shared" si="29"/>
        <v>45689</v>
      </c>
    </row>
    <row r="611" spans="1:13" x14ac:dyDescent="0.35">
      <c r="A611" t="s">
        <v>740</v>
      </c>
      <c r="B611" s="2">
        <v>45895</v>
      </c>
      <c r="C611" t="s">
        <v>103</v>
      </c>
      <c r="D611" t="s">
        <v>67</v>
      </c>
      <c r="E611" t="s">
        <v>13</v>
      </c>
      <c r="F611" t="s">
        <v>25</v>
      </c>
      <c r="G611">
        <v>1</v>
      </c>
      <c r="H611">
        <v>0.05</v>
      </c>
      <c r="I611">
        <v>1140</v>
      </c>
      <c r="J611">
        <v>184.15</v>
      </c>
      <c r="K611" t="str">
        <f t="shared" si="27"/>
        <v>Technology</v>
      </c>
      <c r="L611" t="str">
        <f t="shared" si="28"/>
        <v>Aug-2025</v>
      </c>
      <c r="M611" s="14">
        <f t="shared" si="29"/>
        <v>45870</v>
      </c>
    </row>
    <row r="612" spans="1:13" x14ac:dyDescent="0.35">
      <c r="A612" t="s">
        <v>741</v>
      </c>
      <c r="B612" s="2">
        <v>46004</v>
      </c>
      <c r="C612" t="s">
        <v>213</v>
      </c>
      <c r="D612" t="s">
        <v>49</v>
      </c>
      <c r="E612" t="s">
        <v>13</v>
      </c>
      <c r="F612" t="s">
        <v>14</v>
      </c>
      <c r="G612">
        <v>4</v>
      </c>
      <c r="H612">
        <v>0</v>
      </c>
      <c r="I612">
        <v>280</v>
      </c>
      <c r="J612">
        <v>117.22</v>
      </c>
      <c r="K612" t="str">
        <f t="shared" si="27"/>
        <v>Technology</v>
      </c>
      <c r="L612" t="str">
        <f t="shared" si="28"/>
        <v>Dec-2025</v>
      </c>
      <c r="M612" s="14">
        <f t="shared" si="29"/>
        <v>45992</v>
      </c>
    </row>
    <row r="613" spans="1:13" x14ac:dyDescent="0.35">
      <c r="A613" t="s">
        <v>742</v>
      </c>
      <c r="B613" s="2">
        <v>45662</v>
      </c>
      <c r="C613" t="s">
        <v>342</v>
      </c>
      <c r="D613" t="s">
        <v>28</v>
      </c>
      <c r="E613" t="s">
        <v>18</v>
      </c>
      <c r="F613" t="s">
        <v>25</v>
      </c>
      <c r="G613">
        <v>2</v>
      </c>
      <c r="H613">
        <v>0.1</v>
      </c>
      <c r="I613">
        <v>504</v>
      </c>
      <c r="J613">
        <v>167.34</v>
      </c>
      <c r="K613" t="str">
        <f t="shared" si="27"/>
        <v>Furniture</v>
      </c>
      <c r="L613" t="str">
        <f t="shared" si="28"/>
        <v>Jan-2025</v>
      </c>
      <c r="M613" s="14">
        <f t="shared" si="29"/>
        <v>45658</v>
      </c>
    </row>
    <row r="614" spans="1:13" x14ac:dyDescent="0.35">
      <c r="A614" t="s">
        <v>743</v>
      </c>
      <c r="B614" s="2">
        <v>45705</v>
      </c>
      <c r="C614" t="s">
        <v>98</v>
      </c>
      <c r="D614" t="s">
        <v>49</v>
      </c>
      <c r="E614" t="s">
        <v>13</v>
      </c>
      <c r="F614" t="s">
        <v>50</v>
      </c>
      <c r="G614">
        <v>3</v>
      </c>
      <c r="H614">
        <v>0.05</v>
      </c>
      <c r="I614">
        <v>199.5</v>
      </c>
      <c r="J614">
        <v>82.28</v>
      </c>
      <c r="K614" t="str">
        <f t="shared" si="27"/>
        <v>Technology</v>
      </c>
      <c r="L614" t="str">
        <f t="shared" si="28"/>
        <v>Feb-2025</v>
      </c>
      <c r="M614" s="14">
        <f t="shared" si="29"/>
        <v>45689</v>
      </c>
    </row>
    <row r="615" spans="1:13" x14ac:dyDescent="0.35">
      <c r="A615" t="s">
        <v>744</v>
      </c>
      <c r="B615" s="2">
        <v>45797</v>
      </c>
      <c r="C615" t="s">
        <v>412</v>
      </c>
      <c r="D615" t="s">
        <v>99</v>
      </c>
      <c r="E615" t="s">
        <v>18</v>
      </c>
      <c r="F615" t="s">
        <v>14</v>
      </c>
      <c r="G615">
        <v>4</v>
      </c>
      <c r="H615">
        <v>0.15</v>
      </c>
      <c r="I615">
        <v>646</v>
      </c>
      <c r="J615">
        <v>152.38</v>
      </c>
      <c r="K615" t="str">
        <f t="shared" si="27"/>
        <v>Furniture</v>
      </c>
      <c r="L615" t="str">
        <f t="shared" si="28"/>
        <v>May-2025</v>
      </c>
      <c r="M615" s="14">
        <f t="shared" si="29"/>
        <v>45778</v>
      </c>
    </row>
    <row r="616" spans="1:13" x14ac:dyDescent="0.35">
      <c r="A616" t="s">
        <v>745</v>
      </c>
      <c r="B616" s="2">
        <v>45725</v>
      </c>
      <c r="C616" t="s">
        <v>24</v>
      </c>
      <c r="D616" t="s">
        <v>17</v>
      </c>
      <c r="E616" t="s">
        <v>18</v>
      </c>
      <c r="F616" t="s">
        <v>50</v>
      </c>
      <c r="G616">
        <v>1</v>
      </c>
      <c r="H616">
        <v>0.05</v>
      </c>
      <c r="I616">
        <v>199.5</v>
      </c>
      <c r="J616">
        <v>82.95</v>
      </c>
      <c r="K616" t="str">
        <f t="shared" si="27"/>
        <v>Furniture</v>
      </c>
      <c r="L616" t="str">
        <f t="shared" si="28"/>
        <v>Mar-2025</v>
      </c>
      <c r="M616" s="14">
        <f t="shared" si="29"/>
        <v>45717</v>
      </c>
    </row>
    <row r="617" spans="1:13" x14ac:dyDescent="0.35">
      <c r="A617" t="s">
        <v>746</v>
      </c>
      <c r="B617" s="2">
        <v>45949</v>
      </c>
      <c r="C617" t="s">
        <v>387</v>
      </c>
      <c r="D617" t="s">
        <v>38</v>
      </c>
      <c r="E617" t="s">
        <v>13</v>
      </c>
      <c r="F617" t="s">
        <v>25</v>
      </c>
      <c r="G617">
        <v>4</v>
      </c>
      <c r="H617">
        <v>0.05</v>
      </c>
      <c r="I617">
        <v>1216</v>
      </c>
      <c r="J617">
        <v>301.89</v>
      </c>
      <c r="K617" t="str">
        <f t="shared" si="27"/>
        <v>Technology</v>
      </c>
      <c r="L617" t="str">
        <f t="shared" si="28"/>
        <v>Oct-2025</v>
      </c>
      <c r="M617" s="14">
        <f t="shared" si="29"/>
        <v>45931</v>
      </c>
    </row>
    <row r="618" spans="1:13" x14ac:dyDescent="0.35">
      <c r="A618" t="s">
        <v>747</v>
      </c>
      <c r="B618" s="2">
        <v>45971</v>
      </c>
      <c r="C618" t="s">
        <v>183</v>
      </c>
      <c r="D618" t="s">
        <v>67</v>
      </c>
      <c r="E618" t="s">
        <v>13</v>
      </c>
      <c r="F618" t="s">
        <v>50</v>
      </c>
      <c r="G618">
        <v>2</v>
      </c>
      <c r="H618">
        <v>0.15</v>
      </c>
      <c r="I618">
        <v>2040</v>
      </c>
      <c r="J618">
        <v>298.39</v>
      </c>
      <c r="K618" t="str">
        <f t="shared" si="27"/>
        <v>Technology</v>
      </c>
      <c r="L618" t="str">
        <f t="shared" si="28"/>
        <v>Nov-2025</v>
      </c>
      <c r="M618" s="14">
        <f t="shared" si="29"/>
        <v>45962</v>
      </c>
    </row>
    <row r="619" spans="1:13" x14ac:dyDescent="0.35">
      <c r="A619" t="s">
        <v>748</v>
      </c>
      <c r="B619" s="2">
        <v>45883</v>
      </c>
      <c r="C619" t="s">
        <v>62</v>
      </c>
      <c r="D619" t="s">
        <v>67</v>
      </c>
      <c r="E619" t="s">
        <v>13</v>
      </c>
      <c r="F619" t="s">
        <v>22</v>
      </c>
      <c r="G619">
        <v>1</v>
      </c>
      <c r="H619">
        <v>0.1</v>
      </c>
      <c r="I619">
        <v>1080</v>
      </c>
      <c r="J619">
        <v>252.57</v>
      </c>
      <c r="K619" t="str">
        <f t="shared" si="27"/>
        <v>Technology</v>
      </c>
      <c r="L619" t="str">
        <f t="shared" si="28"/>
        <v>Aug-2025</v>
      </c>
      <c r="M619" s="14">
        <f t="shared" si="29"/>
        <v>45870</v>
      </c>
    </row>
    <row r="620" spans="1:13" x14ac:dyDescent="0.35">
      <c r="A620" t="s">
        <v>749</v>
      </c>
      <c r="B620" s="2">
        <v>46000</v>
      </c>
      <c r="C620" t="s">
        <v>111</v>
      </c>
      <c r="D620" t="s">
        <v>49</v>
      </c>
      <c r="E620" t="s">
        <v>13</v>
      </c>
      <c r="F620" t="s">
        <v>14</v>
      </c>
      <c r="G620">
        <v>5</v>
      </c>
      <c r="H620">
        <v>0.2</v>
      </c>
      <c r="I620">
        <v>280</v>
      </c>
      <c r="J620">
        <v>62.41</v>
      </c>
      <c r="K620" t="str">
        <f t="shared" si="27"/>
        <v>Technology</v>
      </c>
      <c r="L620" t="str">
        <f t="shared" si="28"/>
        <v>Dec-2025</v>
      </c>
      <c r="M620" s="14">
        <f t="shared" si="29"/>
        <v>45992</v>
      </c>
    </row>
    <row r="621" spans="1:13" x14ac:dyDescent="0.35">
      <c r="A621" t="s">
        <v>750</v>
      </c>
      <c r="B621" s="2">
        <v>45879</v>
      </c>
      <c r="C621" t="s">
        <v>236</v>
      </c>
      <c r="D621" t="s">
        <v>38</v>
      </c>
      <c r="E621" t="s">
        <v>13</v>
      </c>
      <c r="F621" t="s">
        <v>50</v>
      </c>
      <c r="G621">
        <v>2</v>
      </c>
      <c r="H621">
        <v>0.15</v>
      </c>
      <c r="I621">
        <v>544</v>
      </c>
      <c r="J621">
        <v>182.73</v>
      </c>
      <c r="K621" t="str">
        <f t="shared" si="27"/>
        <v>Technology</v>
      </c>
      <c r="L621" t="str">
        <f t="shared" si="28"/>
        <v>Aug-2025</v>
      </c>
      <c r="M621" s="14">
        <f t="shared" si="29"/>
        <v>45870</v>
      </c>
    </row>
    <row r="622" spans="1:13" x14ac:dyDescent="0.35">
      <c r="A622" t="s">
        <v>751</v>
      </c>
      <c r="B622" s="2">
        <v>45734</v>
      </c>
      <c r="C622" t="s">
        <v>273</v>
      </c>
      <c r="D622" t="s">
        <v>55</v>
      </c>
      <c r="E622" t="s">
        <v>46</v>
      </c>
      <c r="F622" t="s">
        <v>50</v>
      </c>
      <c r="G622">
        <v>5</v>
      </c>
      <c r="H622">
        <v>0</v>
      </c>
      <c r="I622">
        <v>1200</v>
      </c>
      <c r="J622">
        <v>535.39</v>
      </c>
      <c r="K622" t="str">
        <f t="shared" si="27"/>
        <v>Office Supplies</v>
      </c>
      <c r="L622" t="str">
        <f t="shared" si="28"/>
        <v>Mar-2025</v>
      </c>
      <c r="M622" s="14">
        <f t="shared" si="29"/>
        <v>45717</v>
      </c>
    </row>
    <row r="623" spans="1:13" x14ac:dyDescent="0.35">
      <c r="A623" t="s">
        <v>752</v>
      </c>
      <c r="B623" s="2">
        <v>45911</v>
      </c>
      <c r="C623" t="s">
        <v>241</v>
      </c>
      <c r="D623" t="s">
        <v>28</v>
      </c>
      <c r="E623" t="s">
        <v>18</v>
      </c>
      <c r="F623" t="s">
        <v>25</v>
      </c>
      <c r="G623">
        <v>1</v>
      </c>
      <c r="H623">
        <v>0.15</v>
      </c>
      <c r="I623">
        <v>238</v>
      </c>
      <c r="J623">
        <v>81.92</v>
      </c>
      <c r="K623" t="str">
        <f t="shared" si="27"/>
        <v>Furniture</v>
      </c>
      <c r="L623" t="str">
        <f t="shared" si="28"/>
        <v>Sept-2025</v>
      </c>
      <c r="M623" s="14">
        <f t="shared" si="29"/>
        <v>45901</v>
      </c>
    </row>
    <row r="624" spans="1:13" x14ac:dyDescent="0.35">
      <c r="A624" t="s">
        <v>753</v>
      </c>
      <c r="B624" s="2">
        <v>45683</v>
      </c>
      <c r="C624" t="s">
        <v>98</v>
      </c>
      <c r="D624" t="s">
        <v>55</v>
      </c>
      <c r="E624" t="s">
        <v>46</v>
      </c>
      <c r="F624" t="s">
        <v>22</v>
      </c>
      <c r="G624">
        <v>2</v>
      </c>
      <c r="H624">
        <v>0.2</v>
      </c>
      <c r="I624">
        <v>384</v>
      </c>
      <c r="J624">
        <v>91.28</v>
      </c>
      <c r="K624" t="str">
        <f t="shared" si="27"/>
        <v>Office Supplies</v>
      </c>
      <c r="L624" t="str">
        <f t="shared" si="28"/>
        <v>Jan-2025</v>
      </c>
      <c r="M624" s="14">
        <f t="shared" si="29"/>
        <v>45658</v>
      </c>
    </row>
    <row r="625" spans="1:13" x14ac:dyDescent="0.35">
      <c r="A625" t="s">
        <v>754</v>
      </c>
      <c r="B625" s="2">
        <v>45698</v>
      </c>
      <c r="C625" t="s">
        <v>243</v>
      </c>
      <c r="D625" t="s">
        <v>45</v>
      </c>
      <c r="E625" t="s">
        <v>46</v>
      </c>
      <c r="F625" t="s">
        <v>50</v>
      </c>
      <c r="G625">
        <v>4</v>
      </c>
      <c r="H625">
        <v>0.2</v>
      </c>
      <c r="I625">
        <v>57.6</v>
      </c>
      <c r="J625">
        <v>17.399999999999999</v>
      </c>
      <c r="K625" t="str">
        <f t="shared" si="27"/>
        <v>Office Supplies</v>
      </c>
      <c r="L625" t="str">
        <f t="shared" si="28"/>
        <v>Feb-2025</v>
      </c>
      <c r="M625" s="14">
        <f t="shared" si="29"/>
        <v>45689</v>
      </c>
    </row>
    <row r="626" spans="1:13" x14ac:dyDescent="0.35">
      <c r="A626" t="s">
        <v>755</v>
      </c>
      <c r="B626" s="2">
        <v>45819</v>
      </c>
      <c r="C626" t="s">
        <v>87</v>
      </c>
      <c r="D626" t="s">
        <v>12</v>
      </c>
      <c r="E626" t="s">
        <v>13</v>
      </c>
      <c r="F626" t="s">
        <v>14</v>
      </c>
      <c r="G626">
        <v>4</v>
      </c>
      <c r="H626">
        <v>0</v>
      </c>
      <c r="I626">
        <v>140</v>
      </c>
      <c r="J626">
        <v>58.26</v>
      </c>
      <c r="K626" t="str">
        <f t="shared" si="27"/>
        <v>Technology</v>
      </c>
      <c r="L626" t="str">
        <f t="shared" si="28"/>
        <v>Jun-2025</v>
      </c>
      <c r="M626" s="14">
        <f t="shared" si="29"/>
        <v>45809</v>
      </c>
    </row>
    <row r="627" spans="1:13" x14ac:dyDescent="0.35">
      <c r="A627" t="s">
        <v>756</v>
      </c>
      <c r="B627" s="2">
        <v>45943</v>
      </c>
      <c r="C627" t="s">
        <v>111</v>
      </c>
      <c r="D627" t="s">
        <v>55</v>
      </c>
      <c r="E627" t="s">
        <v>46</v>
      </c>
      <c r="F627" t="s">
        <v>25</v>
      </c>
      <c r="G627">
        <v>1</v>
      </c>
      <c r="H627">
        <v>0</v>
      </c>
      <c r="I627">
        <v>240</v>
      </c>
      <c r="J627">
        <v>45.29</v>
      </c>
      <c r="K627" t="str">
        <f t="shared" si="27"/>
        <v>Office Supplies</v>
      </c>
      <c r="L627" t="str">
        <f t="shared" si="28"/>
        <v>Oct-2025</v>
      </c>
      <c r="M627" s="14">
        <f t="shared" si="29"/>
        <v>45931</v>
      </c>
    </row>
    <row r="628" spans="1:13" x14ac:dyDescent="0.35">
      <c r="A628" t="s">
        <v>757</v>
      </c>
      <c r="B628" s="2">
        <v>45918</v>
      </c>
      <c r="C628" t="s">
        <v>194</v>
      </c>
      <c r="D628" t="s">
        <v>55</v>
      </c>
      <c r="E628" t="s">
        <v>46</v>
      </c>
      <c r="F628" t="s">
        <v>14</v>
      </c>
      <c r="G628">
        <v>2</v>
      </c>
      <c r="H628">
        <v>0.15</v>
      </c>
      <c r="I628">
        <v>408</v>
      </c>
      <c r="J628">
        <v>55.64</v>
      </c>
      <c r="K628" t="str">
        <f t="shared" si="27"/>
        <v>Office Supplies</v>
      </c>
      <c r="L628" t="str">
        <f t="shared" si="28"/>
        <v>Sept-2025</v>
      </c>
      <c r="M628" s="14">
        <f t="shared" si="29"/>
        <v>45901</v>
      </c>
    </row>
    <row r="629" spans="1:13" x14ac:dyDescent="0.35">
      <c r="A629" t="s">
        <v>758</v>
      </c>
      <c r="B629" s="2">
        <v>45772</v>
      </c>
      <c r="C629" t="s">
        <v>202</v>
      </c>
      <c r="D629" t="s">
        <v>45</v>
      </c>
      <c r="E629" t="s">
        <v>46</v>
      </c>
      <c r="F629" t="s">
        <v>50</v>
      </c>
      <c r="G629">
        <v>3</v>
      </c>
      <c r="H629">
        <v>0.2</v>
      </c>
      <c r="I629">
        <v>43.2</v>
      </c>
      <c r="J629">
        <v>8.5</v>
      </c>
      <c r="K629" t="str">
        <f t="shared" si="27"/>
        <v>Office Supplies</v>
      </c>
      <c r="L629" t="str">
        <f t="shared" si="28"/>
        <v>Apr-2025</v>
      </c>
      <c r="M629" s="14">
        <f t="shared" si="29"/>
        <v>45748</v>
      </c>
    </row>
    <row r="630" spans="1:13" x14ac:dyDescent="0.35">
      <c r="A630" t="s">
        <v>759</v>
      </c>
      <c r="B630" s="2">
        <v>45994</v>
      </c>
      <c r="C630" t="s">
        <v>145</v>
      </c>
      <c r="D630" t="s">
        <v>49</v>
      </c>
      <c r="E630" t="s">
        <v>13</v>
      </c>
      <c r="F630" t="s">
        <v>22</v>
      </c>
      <c r="G630">
        <v>4</v>
      </c>
      <c r="H630">
        <v>0</v>
      </c>
      <c r="I630">
        <v>280</v>
      </c>
      <c r="J630">
        <v>117</v>
      </c>
      <c r="K630" t="str">
        <f t="shared" si="27"/>
        <v>Technology</v>
      </c>
      <c r="L630" t="str">
        <f t="shared" si="28"/>
        <v>Dec-2025</v>
      </c>
      <c r="M630" s="14">
        <f t="shared" si="29"/>
        <v>45992</v>
      </c>
    </row>
    <row r="631" spans="1:13" x14ac:dyDescent="0.35">
      <c r="A631" t="s">
        <v>760</v>
      </c>
      <c r="B631" s="2">
        <v>45659</v>
      </c>
      <c r="C631" t="s">
        <v>69</v>
      </c>
      <c r="D631" t="s">
        <v>49</v>
      </c>
      <c r="E631" t="s">
        <v>13</v>
      </c>
      <c r="F631" t="s">
        <v>14</v>
      </c>
      <c r="G631">
        <v>3</v>
      </c>
      <c r="H631">
        <v>0.1</v>
      </c>
      <c r="I631">
        <v>189</v>
      </c>
      <c r="J631">
        <v>50.89</v>
      </c>
      <c r="K631" t="str">
        <f t="shared" si="27"/>
        <v>Technology</v>
      </c>
      <c r="L631" t="str">
        <f t="shared" si="28"/>
        <v>Jan-2025</v>
      </c>
      <c r="M631" s="14">
        <f t="shared" si="29"/>
        <v>45658</v>
      </c>
    </row>
    <row r="632" spans="1:13" x14ac:dyDescent="0.35">
      <c r="A632" t="s">
        <v>761</v>
      </c>
      <c r="B632" s="2">
        <v>45681</v>
      </c>
      <c r="C632" t="s">
        <v>288</v>
      </c>
      <c r="D632" t="s">
        <v>28</v>
      </c>
      <c r="E632" t="s">
        <v>18</v>
      </c>
      <c r="F632" t="s">
        <v>50</v>
      </c>
      <c r="G632">
        <v>4</v>
      </c>
      <c r="H632">
        <v>0.05</v>
      </c>
      <c r="I632">
        <v>1064</v>
      </c>
      <c r="J632">
        <v>190.24</v>
      </c>
      <c r="K632" t="str">
        <f t="shared" si="27"/>
        <v>Furniture</v>
      </c>
      <c r="L632" t="str">
        <f t="shared" si="28"/>
        <v>Jan-2025</v>
      </c>
      <c r="M632" s="14">
        <f t="shared" si="29"/>
        <v>45658</v>
      </c>
    </row>
    <row r="633" spans="1:13" x14ac:dyDescent="0.35">
      <c r="A633" t="s">
        <v>762</v>
      </c>
      <c r="B633" s="2">
        <v>45712</v>
      </c>
      <c r="C633" t="s">
        <v>286</v>
      </c>
      <c r="D633" t="s">
        <v>35</v>
      </c>
      <c r="E633" t="s">
        <v>13</v>
      </c>
      <c r="F633" t="s">
        <v>22</v>
      </c>
      <c r="G633">
        <v>5</v>
      </c>
      <c r="H633">
        <v>0.05</v>
      </c>
      <c r="I633">
        <v>4037.5</v>
      </c>
      <c r="J633">
        <v>1567</v>
      </c>
      <c r="K633" t="str">
        <f t="shared" si="27"/>
        <v>Technology</v>
      </c>
      <c r="L633" t="str">
        <f t="shared" si="28"/>
        <v>Feb-2025</v>
      </c>
      <c r="M633" s="14">
        <f t="shared" si="29"/>
        <v>45689</v>
      </c>
    </row>
    <row r="634" spans="1:13" x14ac:dyDescent="0.35">
      <c r="A634" t="s">
        <v>763</v>
      </c>
      <c r="B634" s="2">
        <v>45892</v>
      </c>
      <c r="C634" t="s">
        <v>360</v>
      </c>
      <c r="D634" t="s">
        <v>21</v>
      </c>
      <c r="E634" t="s">
        <v>18</v>
      </c>
      <c r="F634" t="s">
        <v>14</v>
      </c>
      <c r="G634">
        <v>3</v>
      </c>
      <c r="H634">
        <v>0</v>
      </c>
      <c r="I634">
        <v>165</v>
      </c>
      <c r="J634">
        <v>33.020000000000003</v>
      </c>
      <c r="K634" t="str">
        <f t="shared" si="27"/>
        <v>Furniture</v>
      </c>
      <c r="L634" t="str">
        <f t="shared" si="28"/>
        <v>Aug-2025</v>
      </c>
      <c r="M634" s="14">
        <f t="shared" si="29"/>
        <v>45870</v>
      </c>
    </row>
    <row r="635" spans="1:13" x14ac:dyDescent="0.35">
      <c r="A635" t="s">
        <v>764</v>
      </c>
      <c r="B635" s="2">
        <v>45888</v>
      </c>
      <c r="C635" t="s">
        <v>243</v>
      </c>
      <c r="D635" t="s">
        <v>45</v>
      </c>
      <c r="E635" t="s">
        <v>46</v>
      </c>
      <c r="F635" t="s">
        <v>14</v>
      </c>
      <c r="G635">
        <v>5</v>
      </c>
      <c r="H635">
        <v>0.2</v>
      </c>
      <c r="I635">
        <v>72</v>
      </c>
      <c r="J635">
        <v>29.2</v>
      </c>
      <c r="K635" t="str">
        <f t="shared" si="27"/>
        <v>Office Supplies</v>
      </c>
      <c r="L635" t="str">
        <f t="shared" si="28"/>
        <v>Aug-2025</v>
      </c>
      <c r="M635" s="14">
        <f t="shared" si="29"/>
        <v>45870</v>
      </c>
    </row>
    <row r="636" spans="1:13" x14ac:dyDescent="0.35">
      <c r="A636" t="s">
        <v>765</v>
      </c>
      <c r="B636" s="2">
        <v>45929</v>
      </c>
      <c r="C636" t="s">
        <v>54</v>
      </c>
      <c r="D636" t="s">
        <v>17</v>
      </c>
      <c r="E636" t="s">
        <v>18</v>
      </c>
      <c r="F636" t="s">
        <v>50</v>
      </c>
      <c r="G636">
        <v>1</v>
      </c>
      <c r="H636">
        <v>0.2</v>
      </c>
      <c r="I636">
        <v>168</v>
      </c>
      <c r="J636">
        <v>23.75</v>
      </c>
      <c r="K636" t="str">
        <f t="shared" si="27"/>
        <v>Furniture</v>
      </c>
      <c r="L636" t="str">
        <f t="shared" si="28"/>
        <v>Sept-2025</v>
      </c>
      <c r="M636" s="14">
        <f t="shared" si="29"/>
        <v>45901</v>
      </c>
    </row>
    <row r="637" spans="1:13" x14ac:dyDescent="0.35">
      <c r="A637" t="s">
        <v>766</v>
      </c>
      <c r="B637" s="2">
        <v>45918</v>
      </c>
      <c r="C637" t="s">
        <v>115</v>
      </c>
      <c r="D637" t="s">
        <v>28</v>
      </c>
      <c r="E637" t="s">
        <v>18</v>
      </c>
      <c r="F637" t="s">
        <v>14</v>
      </c>
      <c r="G637">
        <v>5</v>
      </c>
      <c r="H637">
        <v>0.05</v>
      </c>
      <c r="I637">
        <v>1330</v>
      </c>
      <c r="J637">
        <v>277.89</v>
      </c>
      <c r="K637" t="str">
        <f t="shared" si="27"/>
        <v>Furniture</v>
      </c>
      <c r="L637" t="str">
        <f t="shared" si="28"/>
        <v>Sept-2025</v>
      </c>
      <c r="M637" s="14">
        <f t="shared" si="29"/>
        <v>45901</v>
      </c>
    </row>
    <row r="638" spans="1:13" x14ac:dyDescent="0.35">
      <c r="A638" t="s">
        <v>767</v>
      </c>
      <c r="B638" s="2">
        <v>45856</v>
      </c>
      <c r="C638" t="s">
        <v>66</v>
      </c>
      <c r="D638" t="s">
        <v>38</v>
      </c>
      <c r="E638" t="s">
        <v>13</v>
      </c>
      <c r="F638" t="s">
        <v>50</v>
      </c>
      <c r="G638">
        <v>5</v>
      </c>
      <c r="H638">
        <v>0.2</v>
      </c>
      <c r="I638">
        <v>1280</v>
      </c>
      <c r="J638">
        <v>203.15</v>
      </c>
      <c r="K638" t="str">
        <f t="shared" si="27"/>
        <v>Technology</v>
      </c>
      <c r="L638" t="str">
        <f t="shared" si="28"/>
        <v>Jul-2025</v>
      </c>
      <c r="M638" s="14">
        <f t="shared" si="29"/>
        <v>45839</v>
      </c>
    </row>
    <row r="639" spans="1:13" x14ac:dyDescent="0.35">
      <c r="A639" t="s">
        <v>768</v>
      </c>
      <c r="B639" s="2">
        <v>45872</v>
      </c>
      <c r="C639" t="s">
        <v>91</v>
      </c>
      <c r="D639" t="s">
        <v>83</v>
      </c>
      <c r="E639" t="s">
        <v>46</v>
      </c>
      <c r="F639" t="s">
        <v>25</v>
      </c>
      <c r="G639">
        <v>2</v>
      </c>
      <c r="H639">
        <v>0.1</v>
      </c>
      <c r="I639">
        <v>45</v>
      </c>
      <c r="J639">
        <v>14.34</v>
      </c>
      <c r="K639" t="str">
        <f t="shared" si="27"/>
        <v>Office Supplies</v>
      </c>
      <c r="L639" t="str">
        <f t="shared" si="28"/>
        <v>Aug-2025</v>
      </c>
      <c r="M639" s="14">
        <f t="shared" si="29"/>
        <v>45870</v>
      </c>
    </row>
    <row r="640" spans="1:13" x14ac:dyDescent="0.35">
      <c r="A640" t="s">
        <v>769</v>
      </c>
      <c r="B640" s="2">
        <v>45889</v>
      </c>
      <c r="C640" t="s">
        <v>288</v>
      </c>
      <c r="D640" t="s">
        <v>28</v>
      </c>
      <c r="E640" t="s">
        <v>18</v>
      </c>
      <c r="F640" t="s">
        <v>25</v>
      </c>
      <c r="G640">
        <v>2</v>
      </c>
      <c r="H640">
        <v>0.15</v>
      </c>
      <c r="I640">
        <v>476</v>
      </c>
      <c r="J640">
        <v>119.56</v>
      </c>
      <c r="K640" t="str">
        <f t="shared" si="27"/>
        <v>Furniture</v>
      </c>
      <c r="L640" t="str">
        <f t="shared" si="28"/>
        <v>Aug-2025</v>
      </c>
      <c r="M640" s="14">
        <f t="shared" si="29"/>
        <v>45870</v>
      </c>
    </row>
    <row r="641" spans="1:13" x14ac:dyDescent="0.35">
      <c r="A641" t="s">
        <v>770</v>
      </c>
      <c r="B641" s="2">
        <v>46017</v>
      </c>
      <c r="C641" t="s">
        <v>181</v>
      </c>
      <c r="D641" t="s">
        <v>55</v>
      </c>
      <c r="E641" t="s">
        <v>46</v>
      </c>
      <c r="F641" t="s">
        <v>22</v>
      </c>
      <c r="G641">
        <v>3</v>
      </c>
      <c r="H641">
        <v>0.2</v>
      </c>
      <c r="I641">
        <v>576</v>
      </c>
      <c r="J641">
        <v>138.96</v>
      </c>
      <c r="K641" t="str">
        <f t="shared" si="27"/>
        <v>Office Supplies</v>
      </c>
      <c r="L641" t="str">
        <f t="shared" si="28"/>
        <v>Dec-2025</v>
      </c>
      <c r="M641" s="14">
        <f t="shared" si="29"/>
        <v>45992</v>
      </c>
    </row>
    <row r="642" spans="1:13" x14ac:dyDescent="0.35">
      <c r="A642" t="s">
        <v>771</v>
      </c>
      <c r="B642" s="2">
        <v>45977</v>
      </c>
      <c r="C642" t="s">
        <v>115</v>
      </c>
      <c r="D642" t="s">
        <v>17</v>
      </c>
      <c r="E642" t="s">
        <v>18</v>
      </c>
      <c r="F642" t="s">
        <v>22</v>
      </c>
      <c r="G642">
        <v>3</v>
      </c>
      <c r="H642">
        <v>0.1</v>
      </c>
      <c r="I642">
        <v>567</v>
      </c>
      <c r="J642">
        <v>82.79</v>
      </c>
      <c r="K642" t="str">
        <f t="shared" ref="K642:K705" si="30">TRIM(E642)</f>
        <v>Furniture</v>
      </c>
      <c r="L642" t="str">
        <f t="shared" si="28"/>
        <v>Nov-2025</v>
      </c>
      <c r="M642" s="14">
        <f t="shared" si="29"/>
        <v>45962</v>
      </c>
    </row>
    <row r="643" spans="1:13" x14ac:dyDescent="0.35">
      <c r="A643" t="s">
        <v>772</v>
      </c>
      <c r="B643" s="2">
        <v>45915</v>
      </c>
      <c r="C643" t="s">
        <v>20</v>
      </c>
      <c r="D643" t="s">
        <v>55</v>
      </c>
      <c r="E643" t="s">
        <v>46</v>
      </c>
      <c r="F643" t="s">
        <v>50</v>
      </c>
      <c r="G643">
        <v>3</v>
      </c>
      <c r="H643">
        <v>0</v>
      </c>
      <c r="I643">
        <v>720</v>
      </c>
      <c r="J643">
        <v>143.24</v>
      </c>
      <c r="K643" t="str">
        <f t="shared" si="30"/>
        <v>Office Supplies</v>
      </c>
      <c r="L643" t="str">
        <f t="shared" ref="L643:L706" si="31">TEXT(B643,"mmm-yyyy")</f>
        <v>Sept-2025</v>
      </c>
      <c r="M643" s="14">
        <f t="shared" ref="M643:M706" si="32">DATE(YEAR(B643),MONTH(B643),1)</f>
        <v>45901</v>
      </c>
    </row>
    <row r="644" spans="1:13" x14ac:dyDescent="0.35">
      <c r="A644" t="s">
        <v>773</v>
      </c>
      <c r="B644" s="2">
        <v>45956</v>
      </c>
      <c r="C644" t="s">
        <v>93</v>
      </c>
      <c r="D644" t="s">
        <v>83</v>
      </c>
      <c r="E644" t="s">
        <v>46</v>
      </c>
      <c r="F644" t="s">
        <v>14</v>
      </c>
      <c r="G644">
        <v>4</v>
      </c>
      <c r="H644">
        <v>0.2</v>
      </c>
      <c r="I644">
        <v>80</v>
      </c>
      <c r="J644">
        <v>28.45</v>
      </c>
      <c r="K644" t="str">
        <f t="shared" si="30"/>
        <v>Office Supplies</v>
      </c>
      <c r="L644" t="str">
        <f t="shared" si="31"/>
        <v>Oct-2025</v>
      </c>
      <c r="M644" s="14">
        <f t="shared" si="32"/>
        <v>45931</v>
      </c>
    </row>
    <row r="645" spans="1:13" x14ac:dyDescent="0.35">
      <c r="A645" t="s">
        <v>774</v>
      </c>
      <c r="B645" s="2">
        <v>45925</v>
      </c>
      <c r="C645" t="s">
        <v>78</v>
      </c>
      <c r="D645" t="s">
        <v>12</v>
      </c>
      <c r="E645" t="s">
        <v>13</v>
      </c>
      <c r="F645" t="s">
        <v>14</v>
      </c>
      <c r="G645">
        <v>1</v>
      </c>
      <c r="H645">
        <v>0.15</v>
      </c>
      <c r="I645">
        <v>29.75</v>
      </c>
      <c r="J645">
        <v>11.96</v>
      </c>
      <c r="K645" t="str">
        <f t="shared" si="30"/>
        <v>Technology</v>
      </c>
      <c r="L645" t="str">
        <f t="shared" si="31"/>
        <v>Sept-2025</v>
      </c>
      <c r="M645" s="14">
        <f t="shared" si="32"/>
        <v>45901</v>
      </c>
    </row>
    <row r="646" spans="1:13" x14ac:dyDescent="0.35">
      <c r="A646" t="s">
        <v>775</v>
      </c>
      <c r="B646" s="2">
        <v>45760</v>
      </c>
      <c r="C646" t="s">
        <v>154</v>
      </c>
      <c r="D646" t="s">
        <v>35</v>
      </c>
      <c r="E646" t="s">
        <v>13</v>
      </c>
      <c r="F646" t="s">
        <v>14</v>
      </c>
      <c r="G646">
        <v>2</v>
      </c>
      <c r="H646">
        <v>0.1</v>
      </c>
      <c r="I646">
        <v>1530</v>
      </c>
      <c r="J646">
        <v>343.46</v>
      </c>
      <c r="K646" t="str">
        <f t="shared" si="30"/>
        <v>Technology</v>
      </c>
      <c r="L646" t="str">
        <f t="shared" si="31"/>
        <v>Apr-2025</v>
      </c>
      <c r="M646" s="14">
        <f t="shared" si="32"/>
        <v>45748</v>
      </c>
    </row>
    <row r="647" spans="1:13" x14ac:dyDescent="0.35">
      <c r="A647" t="s">
        <v>776</v>
      </c>
      <c r="B647" s="2">
        <v>46011</v>
      </c>
      <c r="C647" t="s">
        <v>483</v>
      </c>
      <c r="D647" t="s">
        <v>35</v>
      </c>
      <c r="E647" t="s">
        <v>13</v>
      </c>
      <c r="F647" t="s">
        <v>14</v>
      </c>
      <c r="G647">
        <v>2</v>
      </c>
      <c r="H647">
        <v>0.2</v>
      </c>
      <c r="I647">
        <v>1360</v>
      </c>
      <c r="J647">
        <v>597.5</v>
      </c>
      <c r="K647" t="str">
        <f t="shared" si="30"/>
        <v>Technology</v>
      </c>
      <c r="L647" t="str">
        <f t="shared" si="31"/>
        <v>Dec-2025</v>
      </c>
      <c r="M647" s="14">
        <f t="shared" si="32"/>
        <v>45992</v>
      </c>
    </row>
    <row r="648" spans="1:13" x14ac:dyDescent="0.35">
      <c r="A648" t="s">
        <v>777</v>
      </c>
      <c r="B648" s="2">
        <v>45973</v>
      </c>
      <c r="C648" t="s">
        <v>20</v>
      </c>
      <c r="D648" t="s">
        <v>38</v>
      </c>
      <c r="E648" t="s">
        <v>13</v>
      </c>
      <c r="F648" t="s">
        <v>50</v>
      </c>
      <c r="G648">
        <v>5</v>
      </c>
      <c r="H648">
        <v>0.05</v>
      </c>
      <c r="I648">
        <v>1520</v>
      </c>
      <c r="J648">
        <v>311.61</v>
      </c>
      <c r="K648" t="str">
        <f t="shared" si="30"/>
        <v>Technology</v>
      </c>
      <c r="L648" t="str">
        <f t="shared" si="31"/>
        <v>Nov-2025</v>
      </c>
      <c r="M648" s="14">
        <f t="shared" si="32"/>
        <v>45962</v>
      </c>
    </row>
    <row r="649" spans="1:13" x14ac:dyDescent="0.35">
      <c r="A649" t="s">
        <v>778</v>
      </c>
      <c r="B649" s="2">
        <v>45779</v>
      </c>
      <c r="C649" t="s">
        <v>59</v>
      </c>
      <c r="D649" t="s">
        <v>55</v>
      </c>
      <c r="E649" t="s">
        <v>46</v>
      </c>
      <c r="F649" t="s">
        <v>50</v>
      </c>
      <c r="G649">
        <v>3</v>
      </c>
      <c r="H649">
        <v>0</v>
      </c>
      <c r="I649">
        <v>720</v>
      </c>
      <c r="J649">
        <v>103.87</v>
      </c>
      <c r="K649" t="str">
        <f t="shared" si="30"/>
        <v>Office Supplies</v>
      </c>
      <c r="L649" t="str">
        <f t="shared" si="31"/>
        <v>May-2025</v>
      </c>
      <c r="M649" s="14">
        <f t="shared" si="32"/>
        <v>45778</v>
      </c>
    </row>
    <row r="650" spans="1:13" x14ac:dyDescent="0.35">
      <c r="A650" t="s">
        <v>779</v>
      </c>
      <c r="B650" s="2">
        <v>46008</v>
      </c>
      <c r="C650" t="s">
        <v>210</v>
      </c>
      <c r="D650" t="s">
        <v>49</v>
      </c>
      <c r="E650" t="s">
        <v>13</v>
      </c>
      <c r="F650" t="s">
        <v>22</v>
      </c>
      <c r="G650">
        <v>5</v>
      </c>
      <c r="H650">
        <v>0</v>
      </c>
      <c r="I650">
        <v>350</v>
      </c>
      <c r="J650">
        <v>156</v>
      </c>
      <c r="K650" t="str">
        <f t="shared" si="30"/>
        <v>Technology</v>
      </c>
      <c r="L650" t="str">
        <f t="shared" si="31"/>
        <v>Dec-2025</v>
      </c>
      <c r="M650" s="14">
        <f t="shared" si="32"/>
        <v>45992</v>
      </c>
    </row>
    <row r="651" spans="1:13" x14ac:dyDescent="0.35">
      <c r="A651" t="s">
        <v>780</v>
      </c>
      <c r="B651" s="2">
        <v>45975</v>
      </c>
      <c r="C651" t="s">
        <v>119</v>
      </c>
      <c r="D651" t="s">
        <v>45</v>
      </c>
      <c r="E651" t="s">
        <v>46</v>
      </c>
      <c r="F651" t="s">
        <v>22</v>
      </c>
      <c r="G651">
        <v>2</v>
      </c>
      <c r="H651">
        <v>0.1</v>
      </c>
      <c r="I651">
        <v>32.4</v>
      </c>
      <c r="J651">
        <v>6.51</v>
      </c>
      <c r="K651" t="str">
        <f t="shared" si="30"/>
        <v>Office Supplies</v>
      </c>
      <c r="L651" t="str">
        <f t="shared" si="31"/>
        <v>Nov-2025</v>
      </c>
      <c r="M651" s="14">
        <f t="shared" si="32"/>
        <v>45962</v>
      </c>
    </row>
    <row r="652" spans="1:13" x14ac:dyDescent="0.35">
      <c r="A652" t="s">
        <v>781</v>
      </c>
      <c r="B652" s="2">
        <v>45757</v>
      </c>
      <c r="C652" t="s">
        <v>128</v>
      </c>
      <c r="D652" t="s">
        <v>35</v>
      </c>
      <c r="E652" t="s">
        <v>13</v>
      </c>
      <c r="F652" t="s">
        <v>22</v>
      </c>
      <c r="G652">
        <v>4</v>
      </c>
      <c r="H652">
        <v>0.05</v>
      </c>
      <c r="J652">
        <v>405.24</v>
      </c>
      <c r="K652" t="str">
        <f t="shared" si="30"/>
        <v>Technology</v>
      </c>
      <c r="L652" t="str">
        <f t="shared" si="31"/>
        <v>Apr-2025</v>
      </c>
      <c r="M652" s="14">
        <f t="shared" si="32"/>
        <v>45748</v>
      </c>
    </row>
    <row r="653" spans="1:13" x14ac:dyDescent="0.35">
      <c r="A653" t="s">
        <v>782</v>
      </c>
      <c r="B653" s="2">
        <v>45746</v>
      </c>
      <c r="C653" t="s">
        <v>93</v>
      </c>
      <c r="D653" t="s">
        <v>17</v>
      </c>
      <c r="E653" t="s">
        <v>18</v>
      </c>
      <c r="F653" t="s">
        <v>25</v>
      </c>
      <c r="G653">
        <v>5</v>
      </c>
      <c r="H653">
        <v>0</v>
      </c>
      <c r="I653">
        <v>1050</v>
      </c>
      <c r="J653">
        <v>341.8</v>
      </c>
      <c r="K653" t="str">
        <f t="shared" si="30"/>
        <v>Furniture</v>
      </c>
      <c r="L653" t="str">
        <f t="shared" si="31"/>
        <v>Mar-2025</v>
      </c>
      <c r="M653" s="14">
        <f t="shared" si="32"/>
        <v>45717</v>
      </c>
    </row>
    <row r="654" spans="1:13" x14ac:dyDescent="0.35">
      <c r="A654" t="s">
        <v>783</v>
      </c>
      <c r="B654" s="2">
        <v>45942</v>
      </c>
      <c r="C654" t="s">
        <v>210</v>
      </c>
      <c r="D654" t="s">
        <v>35</v>
      </c>
      <c r="E654" t="s">
        <v>13</v>
      </c>
      <c r="F654" t="s">
        <v>14</v>
      </c>
      <c r="G654">
        <v>2</v>
      </c>
      <c r="H654">
        <v>0.05</v>
      </c>
      <c r="I654">
        <v>1615</v>
      </c>
      <c r="J654">
        <v>415.51</v>
      </c>
      <c r="K654" t="str">
        <f t="shared" si="30"/>
        <v>Technology</v>
      </c>
      <c r="L654" t="str">
        <f t="shared" si="31"/>
        <v>Oct-2025</v>
      </c>
      <c r="M654" s="14">
        <f t="shared" si="32"/>
        <v>45931</v>
      </c>
    </row>
    <row r="655" spans="1:13" x14ac:dyDescent="0.35">
      <c r="A655" t="s">
        <v>784</v>
      </c>
      <c r="B655" s="2">
        <v>45827</v>
      </c>
      <c r="C655" t="s">
        <v>150</v>
      </c>
      <c r="D655" t="s">
        <v>45</v>
      </c>
      <c r="E655" t="s">
        <v>46</v>
      </c>
      <c r="F655" t="s">
        <v>14</v>
      </c>
      <c r="G655">
        <v>2</v>
      </c>
      <c r="H655">
        <v>0</v>
      </c>
      <c r="I655">
        <v>36</v>
      </c>
      <c r="J655">
        <v>14.37</v>
      </c>
      <c r="K655" t="str">
        <f t="shared" si="30"/>
        <v>Office Supplies</v>
      </c>
      <c r="L655" t="str">
        <f t="shared" si="31"/>
        <v>Jun-2025</v>
      </c>
      <c r="M655" s="14">
        <f t="shared" si="32"/>
        <v>45809</v>
      </c>
    </row>
    <row r="656" spans="1:13" x14ac:dyDescent="0.35">
      <c r="A656" t="s">
        <v>785</v>
      </c>
      <c r="B656" s="2">
        <v>45978</v>
      </c>
      <c r="C656" t="s">
        <v>95</v>
      </c>
      <c r="D656" t="s">
        <v>83</v>
      </c>
      <c r="E656" t="s">
        <v>46</v>
      </c>
      <c r="F656" t="s">
        <v>25</v>
      </c>
      <c r="G656">
        <v>3</v>
      </c>
      <c r="H656">
        <v>0.15</v>
      </c>
      <c r="I656">
        <v>63.75</v>
      </c>
      <c r="J656">
        <v>12.07</v>
      </c>
      <c r="K656" t="str">
        <f t="shared" si="30"/>
        <v>Office Supplies</v>
      </c>
      <c r="L656" t="str">
        <f t="shared" si="31"/>
        <v>Nov-2025</v>
      </c>
      <c r="M656" s="14">
        <f t="shared" si="32"/>
        <v>45962</v>
      </c>
    </row>
    <row r="657" spans="1:13" x14ac:dyDescent="0.35">
      <c r="A657" t="s">
        <v>786</v>
      </c>
      <c r="B657" s="2">
        <v>45695</v>
      </c>
      <c r="C657" t="s">
        <v>269</v>
      </c>
      <c r="D657" t="s">
        <v>17</v>
      </c>
      <c r="E657" t="s">
        <v>18</v>
      </c>
      <c r="F657" t="s">
        <v>14</v>
      </c>
      <c r="G657">
        <v>3</v>
      </c>
      <c r="H657">
        <v>0.2</v>
      </c>
      <c r="I657">
        <v>504</v>
      </c>
      <c r="J657">
        <v>190.22</v>
      </c>
      <c r="K657" t="str">
        <f t="shared" si="30"/>
        <v>Furniture</v>
      </c>
      <c r="L657" t="str">
        <f t="shared" si="31"/>
        <v>Feb-2025</v>
      </c>
      <c r="M657" s="14">
        <f t="shared" si="32"/>
        <v>45689</v>
      </c>
    </row>
    <row r="658" spans="1:13" x14ac:dyDescent="0.35">
      <c r="A658" t="s">
        <v>787</v>
      </c>
      <c r="B658" s="2">
        <v>45916</v>
      </c>
      <c r="C658" t="s">
        <v>315</v>
      </c>
      <c r="D658" t="s">
        <v>28</v>
      </c>
      <c r="E658" t="s">
        <v>18</v>
      </c>
      <c r="F658" t="s">
        <v>25</v>
      </c>
      <c r="G658">
        <v>4</v>
      </c>
      <c r="H658">
        <v>0.2</v>
      </c>
      <c r="I658">
        <v>896</v>
      </c>
      <c r="J658">
        <v>244.41</v>
      </c>
      <c r="K658" t="str">
        <f t="shared" si="30"/>
        <v>Furniture</v>
      </c>
      <c r="L658" t="str">
        <f t="shared" si="31"/>
        <v>Sept-2025</v>
      </c>
      <c r="M658" s="14">
        <f t="shared" si="32"/>
        <v>45901</v>
      </c>
    </row>
    <row r="659" spans="1:13" x14ac:dyDescent="0.35">
      <c r="A659" t="s">
        <v>788</v>
      </c>
      <c r="B659" s="2">
        <v>45771</v>
      </c>
      <c r="C659" t="s">
        <v>27</v>
      </c>
      <c r="D659" t="s">
        <v>21</v>
      </c>
      <c r="E659" t="s">
        <v>18</v>
      </c>
      <c r="F659" t="s">
        <v>50</v>
      </c>
      <c r="G659">
        <v>3</v>
      </c>
      <c r="H659">
        <v>0.1</v>
      </c>
      <c r="I659">
        <v>148.5</v>
      </c>
      <c r="J659">
        <v>49.14</v>
      </c>
      <c r="K659" t="str">
        <f t="shared" si="30"/>
        <v>Furniture</v>
      </c>
      <c r="L659" t="str">
        <f t="shared" si="31"/>
        <v>Apr-2025</v>
      </c>
      <c r="M659" s="14">
        <f t="shared" si="32"/>
        <v>45748</v>
      </c>
    </row>
    <row r="660" spans="1:13" x14ac:dyDescent="0.35">
      <c r="A660" t="s">
        <v>789</v>
      </c>
      <c r="B660" s="2">
        <v>45945</v>
      </c>
      <c r="C660" t="s">
        <v>483</v>
      </c>
      <c r="D660" t="s">
        <v>38</v>
      </c>
      <c r="E660" t="s">
        <v>13</v>
      </c>
      <c r="F660" t="s">
        <v>22</v>
      </c>
      <c r="G660">
        <v>1</v>
      </c>
      <c r="H660">
        <v>0</v>
      </c>
      <c r="I660">
        <v>320</v>
      </c>
      <c r="J660">
        <v>73.36</v>
      </c>
      <c r="K660" t="str">
        <f t="shared" si="30"/>
        <v>Technology</v>
      </c>
      <c r="L660" t="str">
        <f t="shared" si="31"/>
        <v>Oct-2025</v>
      </c>
      <c r="M660" s="14">
        <f t="shared" si="32"/>
        <v>45931</v>
      </c>
    </row>
    <row r="661" spans="1:13" x14ac:dyDescent="0.35">
      <c r="A661" t="s">
        <v>790</v>
      </c>
      <c r="B661" s="2">
        <v>45986</v>
      </c>
      <c r="C661" t="s">
        <v>278</v>
      </c>
      <c r="D661" t="s">
        <v>83</v>
      </c>
      <c r="E661" t="s">
        <v>46</v>
      </c>
      <c r="F661" t="s">
        <v>25</v>
      </c>
      <c r="G661">
        <v>5</v>
      </c>
      <c r="H661">
        <v>0.05</v>
      </c>
      <c r="I661">
        <v>118.75</v>
      </c>
      <c r="J661">
        <v>15.86</v>
      </c>
      <c r="K661" t="str">
        <f t="shared" si="30"/>
        <v>Office Supplies</v>
      </c>
      <c r="L661" t="str">
        <f t="shared" si="31"/>
        <v>Nov-2025</v>
      </c>
      <c r="M661" s="14">
        <f t="shared" si="32"/>
        <v>45962</v>
      </c>
    </row>
    <row r="662" spans="1:13" x14ac:dyDescent="0.35">
      <c r="A662" t="s">
        <v>791</v>
      </c>
      <c r="B662" s="2">
        <v>45853</v>
      </c>
      <c r="C662" t="s">
        <v>364</v>
      </c>
      <c r="D662" t="s">
        <v>12</v>
      </c>
      <c r="E662" t="s">
        <v>13</v>
      </c>
      <c r="F662" t="s">
        <v>14</v>
      </c>
      <c r="G662">
        <v>4</v>
      </c>
      <c r="H662">
        <v>0.1</v>
      </c>
      <c r="I662">
        <v>126</v>
      </c>
      <c r="J662">
        <v>34.24</v>
      </c>
      <c r="K662" t="str">
        <f t="shared" si="30"/>
        <v>Technology</v>
      </c>
      <c r="L662" t="str">
        <f t="shared" si="31"/>
        <v>Jul-2025</v>
      </c>
      <c r="M662" s="14">
        <f t="shared" si="32"/>
        <v>45839</v>
      </c>
    </row>
    <row r="663" spans="1:13" x14ac:dyDescent="0.35">
      <c r="A663" t="s">
        <v>792</v>
      </c>
      <c r="B663" s="2">
        <v>45922</v>
      </c>
      <c r="C663" t="s">
        <v>360</v>
      </c>
      <c r="D663" t="s">
        <v>49</v>
      </c>
      <c r="E663" t="s">
        <v>13</v>
      </c>
      <c r="F663" t="s">
        <v>25</v>
      </c>
      <c r="G663">
        <v>5</v>
      </c>
      <c r="H663">
        <v>0.2</v>
      </c>
      <c r="I663">
        <v>280</v>
      </c>
      <c r="J663">
        <v>84.83</v>
      </c>
      <c r="K663" t="str">
        <f t="shared" si="30"/>
        <v>Technology</v>
      </c>
      <c r="L663" t="str">
        <f t="shared" si="31"/>
        <v>Sept-2025</v>
      </c>
      <c r="M663" s="14">
        <f t="shared" si="32"/>
        <v>45901</v>
      </c>
    </row>
    <row r="664" spans="1:13" x14ac:dyDescent="0.35">
      <c r="A664" t="s">
        <v>793</v>
      </c>
      <c r="B664" s="2">
        <v>45991</v>
      </c>
      <c r="C664" t="s">
        <v>733</v>
      </c>
      <c r="D664" t="s">
        <v>21</v>
      </c>
      <c r="E664" t="s">
        <v>18</v>
      </c>
      <c r="F664" t="s">
        <v>22</v>
      </c>
      <c r="G664">
        <v>3</v>
      </c>
      <c r="H664">
        <v>0.2</v>
      </c>
      <c r="I664">
        <v>132</v>
      </c>
      <c r="J664">
        <v>55.81</v>
      </c>
      <c r="K664" t="str">
        <f t="shared" si="30"/>
        <v>Furniture</v>
      </c>
      <c r="L664" t="str">
        <f t="shared" si="31"/>
        <v>Nov-2025</v>
      </c>
      <c r="M664" s="14">
        <f t="shared" si="32"/>
        <v>45962</v>
      </c>
    </row>
    <row r="665" spans="1:13" x14ac:dyDescent="0.35">
      <c r="A665" t="s">
        <v>794</v>
      </c>
      <c r="B665" s="2">
        <v>45933</v>
      </c>
      <c r="C665" t="s">
        <v>189</v>
      </c>
      <c r="D665" t="s">
        <v>55</v>
      </c>
      <c r="E665" t="s">
        <v>46</v>
      </c>
      <c r="F665" t="s">
        <v>22</v>
      </c>
      <c r="G665">
        <v>1</v>
      </c>
      <c r="H665">
        <v>0</v>
      </c>
      <c r="I665">
        <v>240</v>
      </c>
      <c r="J665">
        <v>91.31</v>
      </c>
      <c r="K665" t="str">
        <f t="shared" si="30"/>
        <v>Office Supplies</v>
      </c>
      <c r="L665" t="str">
        <f t="shared" si="31"/>
        <v>Oct-2025</v>
      </c>
      <c r="M665" s="14">
        <f t="shared" si="32"/>
        <v>45931</v>
      </c>
    </row>
    <row r="666" spans="1:13" x14ac:dyDescent="0.35">
      <c r="A666" t="s">
        <v>795</v>
      </c>
      <c r="B666" s="2">
        <v>46008</v>
      </c>
      <c r="C666" t="s">
        <v>135</v>
      </c>
      <c r="D666" t="s">
        <v>99</v>
      </c>
      <c r="E666" t="s">
        <v>18</v>
      </c>
      <c r="F666" t="s">
        <v>50</v>
      </c>
      <c r="G666">
        <v>1</v>
      </c>
      <c r="H666">
        <v>0.05</v>
      </c>
      <c r="I666">
        <v>180.5</v>
      </c>
      <c r="J666">
        <v>49.19</v>
      </c>
      <c r="K666" t="str">
        <f t="shared" si="30"/>
        <v>Furniture</v>
      </c>
      <c r="L666" t="str">
        <f t="shared" si="31"/>
        <v>Dec-2025</v>
      </c>
      <c r="M666" s="14">
        <f t="shared" si="32"/>
        <v>45992</v>
      </c>
    </row>
    <row r="667" spans="1:13" x14ac:dyDescent="0.35">
      <c r="A667" t="s">
        <v>796</v>
      </c>
      <c r="B667" s="2">
        <v>45989</v>
      </c>
      <c r="C667" t="s">
        <v>241</v>
      </c>
      <c r="D667" t="s">
        <v>12</v>
      </c>
      <c r="E667" t="s">
        <v>13</v>
      </c>
      <c r="F667" t="s">
        <v>14</v>
      </c>
      <c r="G667">
        <v>2</v>
      </c>
      <c r="H667">
        <v>0</v>
      </c>
      <c r="I667">
        <v>70</v>
      </c>
      <c r="J667">
        <v>20.89</v>
      </c>
      <c r="K667" t="str">
        <f t="shared" si="30"/>
        <v>Technology</v>
      </c>
      <c r="L667" t="str">
        <f t="shared" si="31"/>
        <v>Nov-2025</v>
      </c>
      <c r="M667" s="14">
        <f t="shared" si="32"/>
        <v>45962</v>
      </c>
    </row>
    <row r="668" spans="1:13" x14ac:dyDescent="0.35">
      <c r="A668" t="s">
        <v>797</v>
      </c>
      <c r="B668" s="2">
        <v>45702</v>
      </c>
      <c r="C668" t="s">
        <v>20</v>
      </c>
      <c r="D668" t="s">
        <v>12</v>
      </c>
      <c r="E668" t="s">
        <v>13</v>
      </c>
      <c r="F668" t="s">
        <v>14</v>
      </c>
      <c r="G668">
        <v>1</v>
      </c>
      <c r="H668">
        <v>0.05</v>
      </c>
      <c r="I668">
        <v>33.25</v>
      </c>
      <c r="J668">
        <v>6.25</v>
      </c>
      <c r="K668" t="str">
        <f t="shared" si="30"/>
        <v>Technology</v>
      </c>
      <c r="L668" t="str">
        <f t="shared" si="31"/>
        <v>Feb-2025</v>
      </c>
      <c r="M668" s="14">
        <f t="shared" si="32"/>
        <v>45689</v>
      </c>
    </row>
    <row r="669" spans="1:13" x14ac:dyDescent="0.35">
      <c r="A669" t="s">
        <v>798</v>
      </c>
      <c r="B669" s="2">
        <v>45952</v>
      </c>
      <c r="C669" t="s">
        <v>189</v>
      </c>
      <c r="D669" t="s">
        <v>21</v>
      </c>
      <c r="E669" t="s">
        <v>18</v>
      </c>
      <c r="F669" t="s">
        <v>50</v>
      </c>
      <c r="G669">
        <v>3</v>
      </c>
      <c r="H669">
        <v>0.15</v>
      </c>
      <c r="I669">
        <v>140.25</v>
      </c>
      <c r="J669">
        <v>45.15</v>
      </c>
      <c r="K669" t="str">
        <f t="shared" si="30"/>
        <v>Furniture</v>
      </c>
      <c r="L669" t="str">
        <f t="shared" si="31"/>
        <v>Oct-2025</v>
      </c>
      <c r="M669" s="14">
        <f t="shared" si="32"/>
        <v>45931</v>
      </c>
    </row>
    <row r="670" spans="1:13" x14ac:dyDescent="0.35">
      <c r="A670" t="s">
        <v>799</v>
      </c>
      <c r="B670" s="2">
        <v>45879</v>
      </c>
      <c r="C670" t="s">
        <v>42</v>
      </c>
      <c r="D670" t="s">
        <v>49</v>
      </c>
      <c r="E670" t="s">
        <v>13</v>
      </c>
      <c r="F670" t="s">
        <v>14</v>
      </c>
      <c r="G670">
        <v>1</v>
      </c>
      <c r="H670">
        <v>0.15</v>
      </c>
      <c r="I670">
        <v>59.5</v>
      </c>
      <c r="J670">
        <v>13.55</v>
      </c>
      <c r="K670" t="str">
        <f t="shared" si="30"/>
        <v>Technology</v>
      </c>
      <c r="L670" t="str">
        <f t="shared" si="31"/>
        <v>Aug-2025</v>
      </c>
      <c r="M670" s="14">
        <f t="shared" si="32"/>
        <v>45870</v>
      </c>
    </row>
    <row r="671" spans="1:13" x14ac:dyDescent="0.35">
      <c r="A671" t="s">
        <v>800</v>
      </c>
      <c r="B671" s="2">
        <v>45986</v>
      </c>
      <c r="C671" t="s">
        <v>54</v>
      </c>
      <c r="D671" t="s">
        <v>17</v>
      </c>
      <c r="E671" t="s">
        <v>18</v>
      </c>
      <c r="F671" t="s">
        <v>14</v>
      </c>
      <c r="G671">
        <v>5</v>
      </c>
      <c r="H671">
        <v>0</v>
      </c>
      <c r="I671">
        <v>1050</v>
      </c>
      <c r="J671">
        <v>210.56</v>
      </c>
      <c r="K671" t="str">
        <f t="shared" si="30"/>
        <v>Furniture</v>
      </c>
      <c r="L671" t="str">
        <f t="shared" si="31"/>
        <v>Nov-2025</v>
      </c>
      <c r="M671" s="14">
        <f t="shared" si="32"/>
        <v>45962</v>
      </c>
    </row>
    <row r="672" spans="1:13" x14ac:dyDescent="0.35">
      <c r="A672" t="s">
        <v>801</v>
      </c>
      <c r="B672" s="2">
        <v>46016</v>
      </c>
      <c r="C672" t="s">
        <v>278</v>
      </c>
      <c r="D672" t="s">
        <v>12</v>
      </c>
      <c r="E672" t="s">
        <v>13</v>
      </c>
      <c r="F672" t="s">
        <v>25</v>
      </c>
      <c r="G672">
        <v>3</v>
      </c>
      <c r="H672">
        <v>0.2</v>
      </c>
      <c r="I672">
        <v>84</v>
      </c>
      <c r="J672">
        <v>34.86</v>
      </c>
      <c r="K672" t="str">
        <f t="shared" si="30"/>
        <v>Technology</v>
      </c>
      <c r="L672" t="str">
        <f t="shared" si="31"/>
        <v>Dec-2025</v>
      </c>
      <c r="M672" s="14">
        <f t="shared" si="32"/>
        <v>45992</v>
      </c>
    </row>
    <row r="673" spans="1:13" x14ac:dyDescent="0.35">
      <c r="A673" t="s">
        <v>802</v>
      </c>
      <c r="B673" s="2">
        <v>45968</v>
      </c>
      <c r="C673" t="s">
        <v>145</v>
      </c>
      <c r="D673" t="s">
        <v>12</v>
      </c>
      <c r="E673" t="s">
        <v>13</v>
      </c>
      <c r="F673" t="s">
        <v>14</v>
      </c>
      <c r="G673">
        <v>3</v>
      </c>
      <c r="H673">
        <v>0.15</v>
      </c>
      <c r="I673">
        <v>89.25</v>
      </c>
      <c r="J673">
        <v>28.93</v>
      </c>
      <c r="K673" t="str">
        <f t="shared" si="30"/>
        <v>Technology</v>
      </c>
      <c r="L673" t="str">
        <f t="shared" si="31"/>
        <v>Nov-2025</v>
      </c>
      <c r="M673" s="14">
        <f t="shared" si="32"/>
        <v>45962</v>
      </c>
    </row>
    <row r="674" spans="1:13" x14ac:dyDescent="0.35">
      <c r="A674" t="s">
        <v>803</v>
      </c>
      <c r="B674" s="2">
        <v>45900</v>
      </c>
      <c r="C674" t="s">
        <v>286</v>
      </c>
      <c r="D674" t="s">
        <v>28</v>
      </c>
      <c r="E674" t="s">
        <v>18</v>
      </c>
      <c r="F674" t="s">
        <v>25</v>
      </c>
      <c r="G674">
        <v>5</v>
      </c>
      <c r="H674">
        <v>0.05</v>
      </c>
      <c r="I674">
        <v>1330</v>
      </c>
      <c r="J674">
        <v>538.64</v>
      </c>
      <c r="K674" t="str">
        <f t="shared" si="30"/>
        <v>Furniture</v>
      </c>
      <c r="L674" t="str">
        <f t="shared" si="31"/>
        <v>Aug-2025</v>
      </c>
      <c r="M674" s="14">
        <f t="shared" si="32"/>
        <v>45870</v>
      </c>
    </row>
    <row r="675" spans="1:13" x14ac:dyDescent="0.35">
      <c r="A675" t="s">
        <v>804</v>
      </c>
      <c r="B675" s="2">
        <v>45982</v>
      </c>
      <c r="C675" t="s">
        <v>62</v>
      </c>
      <c r="D675" t="s">
        <v>28</v>
      </c>
      <c r="E675" t="s">
        <v>18</v>
      </c>
      <c r="F675" t="s">
        <v>22</v>
      </c>
      <c r="G675">
        <v>3</v>
      </c>
      <c r="H675">
        <v>0.1</v>
      </c>
      <c r="I675">
        <v>756</v>
      </c>
      <c r="J675">
        <v>101.35</v>
      </c>
      <c r="K675" t="str">
        <f t="shared" si="30"/>
        <v>Furniture</v>
      </c>
      <c r="L675" t="str">
        <f t="shared" si="31"/>
        <v>Nov-2025</v>
      </c>
      <c r="M675" s="14">
        <f t="shared" si="32"/>
        <v>45962</v>
      </c>
    </row>
    <row r="676" spans="1:13" x14ac:dyDescent="0.35">
      <c r="A676" t="s">
        <v>805</v>
      </c>
      <c r="B676" s="2">
        <v>45721</v>
      </c>
      <c r="C676" t="s">
        <v>42</v>
      </c>
      <c r="D676" t="s">
        <v>67</v>
      </c>
      <c r="E676" t="s">
        <v>13</v>
      </c>
      <c r="F676" t="s">
        <v>14</v>
      </c>
      <c r="G676">
        <v>1</v>
      </c>
      <c r="H676">
        <v>0.2</v>
      </c>
      <c r="I676">
        <v>960</v>
      </c>
      <c r="J676">
        <v>242.98</v>
      </c>
      <c r="K676" t="str">
        <f t="shared" si="30"/>
        <v>Technology</v>
      </c>
      <c r="L676" t="str">
        <f t="shared" si="31"/>
        <v>Mar-2025</v>
      </c>
      <c r="M676" s="14">
        <f t="shared" si="32"/>
        <v>45717</v>
      </c>
    </row>
    <row r="677" spans="1:13" x14ac:dyDescent="0.35">
      <c r="A677" t="s">
        <v>806</v>
      </c>
      <c r="B677" s="2">
        <v>45814</v>
      </c>
      <c r="C677" t="s">
        <v>192</v>
      </c>
      <c r="D677" t="s">
        <v>21</v>
      </c>
      <c r="E677" t="s">
        <v>18</v>
      </c>
      <c r="F677" t="s">
        <v>22</v>
      </c>
      <c r="G677">
        <v>3</v>
      </c>
      <c r="H677">
        <v>0.05</v>
      </c>
      <c r="I677">
        <v>156.75</v>
      </c>
      <c r="J677">
        <v>49.19</v>
      </c>
      <c r="K677" t="str">
        <f t="shared" si="30"/>
        <v>Furniture</v>
      </c>
      <c r="L677" t="str">
        <f t="shared" si="31"/>
        <v>Jun-2025</v>
      </c>
      <c r="M677" s="14">
        <f t="shared" si="32"/>
        <v>45809</v>
      </c>
    </row>
    <row r="678" spans="1:13" x14ac:dyDescent="0.35">
      <c r="A678" t="s">
        <v>807</v>
      </c>
      <c r="B678" s="2">
        <v>45740</v>
      </c>
      <c r="C678" t="s">
        <v>142</v>
      </c>
      <c r="D678" t="s">
        <v>28</v>
      </c>
      <c r="E678" t="s">
        <v>18</v>
      </c>
      <c r="F678" t="s">
        <v>14</v>
      </c>
      <c r="G678">
        <v>2</v>
      </c>
      <c r="H678">
        <v>0.2</v>
      </c>
      <c r="I678">
        <v>448</v>
      </c>
      <c r="J678">
        <v>78.19</v>
      </c>
      <c r="K678" t="str">
        <f t="shared" si="30"/>
        <v>Furniture</v>
      </c>
      <c r="L678" t="str">
        <f t="shared" si="31"/>
        <v>Mar-2025</v>
      </c>
      <c r="M678" s="14">
        <f t="shared" si="32"/>
        <v>45717</v>
      </c>
    </row>
    <row r="679" spans="1:13" x14ac:dyDescent="0.35">
      <c r="A679" t="s">
        <v>808</v>
      </c>
      <c r="B679" s="2">
        <v>45750</v>
      </c>
      <c r="C679" t="s">
        <v>95</v>
      </c>
      <c r="D679" t="s">
        <v>38</v>
      </c>
      <c r="E679" t="s">
        <v>13</v>
      </c>
      <c r="F679" t="s">
        <v>50</v>
      </c>
      <c r="G679">
        <v>5</v>
      </c>
      <c r="H679">
        <v>0</v>
      </c>
      <c r="I679">
        <v>1600</v>
      </c>
      <c r="J679">
        <v>270.47000000000003</v>
      </c>
      <c r="K679" t="str">
        <f t="shared" si="30"/>
        <v>Technology</v>
      </c>
      <c r="L679" t="str">
        <f t="shared" si="31"/>
        <v>Apr-2025</v>
      </c>
      <c r="M679" s="14">
        <f t="shared" si="32"/>
        <v>45748</v>
      </c>
    </row>
    <row r="680" spans="1:13" x14ac:dyDescent="0.35">
      <c r="A680" t="s">
        <v>809</v>
      </c>
      <c r="B680" s="2">
        <v>45988</v>
      </c>
      <c r="C680" t="s">
        <v>210</v>
      </c>
      <c r="D680" t="s">
        <v>55</v>
      </c>
      <c r="E680" t="s">
        <v>46</v>
      </c>
      <c r="F680" t="s">
        <v>14</v>
      </c>
      <c r="G680">
        <v>1</v>
      </c>
      <c r="H680">
        <v>0.1</v>
      </c>
      <c r="I680">
        <v>216</v>
      </c>
      <c r="J680">
        <v>49.32</v>
      </c>
      <c r="K680" t="str">
        <f t="shared" si="30"/>
        <v>Office Supplies</v>
      </c>
      <c r="L680" t="str">
        <f t="shared" si="31"/>
        <v>Nov-2025</v>
      </c>
      <c r="M680" s="14">
        <f t="shared" si="32"/>
        <v>45962</v>
      </c>
    </row>
    <row r="681" spans="1:13" x14ac:dyDescent="0.35">
      <c r="A681" t="s">
        <v>810</v>
      </c>
      <c r="B681" s="2">
        <v>45759</v>
      </c>
      <c r="C681" t="s">
        <v>40</v>
      </c>
      <c r="D681" t="s">
        <v>17</v>
      </c>
      <c r="E681" t="s">
        <v>18</v>
      </c>
      <c r="F681" t="s">
        <v>22</v>
      </c>
      <c r="G681">
        <v>5</v>
      </c>
      <c r="H681">
        <v>0.15</v>
      </c>
      <c r="I681">
        <v>892.5</v>
      </c>
      <c r="J681">
        <v>121.37</v>
      </c>
      <c r="K681" t="str">
        <f t="shared" si="30"/>
        <v>Furniture</v>
      </c>
      <c r="L681" t="str">
        <f t="shared" si="31"/>
        <v>Apr-2025</v>
      </c>
      <c r="M681" s="14">
        <f t="shared" si="32"/>
        <v>45748</v>
      </c>
    </row>
    <row r="682" spans="1:13" x14ac:dyDescent="0.35">
      <c r="A682" t="s">
        <v>811</v>
      </c>
      <c r="B682" s="2">
        <v>46001</v>
      </c>
      <c r="C682" t="s">
        <v>80</v>
      </c>
      <c r="D682" t="s">
        <v>38</v>
      </c>
      <c r="E682" t="s">
        <v>13</v>
      </c>
      <c r="F682" t="s">
        <v>22</v>
      </c>
      <c r="G682">
        <v>2</v>
      </c>
      <c r="H682">
        <v>0</v>
      </c>
      <c r="I682">
        <v>640</v>
      </c>
      <c r="J682">
        <v>227.78</v>
      </c>
      <c r="K682" t="str">
        <f t="shared" si="30"/>
        <v>Technology</v>
      </c>
      <c r="L682" t="str">
        <f t="shared" si="31"/>
        <v>Dec-2025</v>
      </c>
      <c r="M682" s="14">
        <f t="shared" si="32"/>
        <v>45992</v>
      </c>
    </row>
    <row r="683" spans="1:13" x14ac:dyDescent="0.35">
      <c r="A683" t="s">
        <v>812</v>
      </c>
      <c r="B683" s="2">
        <v>45820</v>
      </c>
      <c r="C683" t="s">
        <v>187</v>
      </c>
      <c r="D683" t="s">
        <v>45</v>
      </c>
      <c r="E683" t="s">
        <v>46</v>
      </c>
      <c r="F683" t="s">
        <v>22</v>
      </c>
      <c r="G683">
        <v>4</v>
      </c>
      <c r="H683">
        <v>0.1</v>
      </c>
      <c r="I683">
        <v>64.8</v>
      </c>
      <c r="J683">
        <v>15.98</v>
      </c>
      <c r="K683" t="str">
        <f t="shared" si="30"/>
        <v>Office Supplies</v>
      </c>
      <c r="L683" t="str">
        <f t="shared" si="31"/>
        <v>Jun-2025</v>
      </c>
      <c r="M683" s="14">
        <f t="shared" si="32"/>
        <v>45809</v>
      </c>
    </row>
    <row r="684" spans="1:13" x14ac:dyDescent="0.35">
      <c r="A684" t="s">
        <v>813</v>
      </c>
      <c r="B684" s="2">
        <v>45947</v>
      </c>
      <c r="C684" t="s">
        <v>412</v>
      </c>
      <c r="D684" t="s">
        <v>83</v>
      </c>
      <c r="E684" t="s">
        <v>46</v>
      </c>
      <c r="F684" t="s">
        <v>14</v>
      </c>
      <c r="G684">
        <v>3</v>
      </c>
      <c r="H684">
        <v>0.1</v>
      </c>
      <c r="I684">
        <v>67.5</v>
      </c>
      <c r="J684">
        <v>9.02</v>
      </c>
      <c r="K684" t="str">
        <f t="shared" si="30"/>
        <v>Office Supplies</v>
      </c>
      <c r="L684" t="str">
        <f t="shared" si="31"/>
        <v>Oct-2025</v>
      </c>
      <c r="M684" s="14">
        <f t="shared" si="32"/>
        <v>45931</v>
      </c>
    </row>
    <row r="685" spans="1:13" x14ac:dyDescent="0.35">
      <c r="A685" t="s">
        <v>814</v>
      </c>
      <c r="B685" s="2">
        <v>45818</v>
      </c>
      <c r="C685" t="s">
        <v>194</v>
      </c>
      <c r="D685" t="s">
        <v>21</v>
      </c>
      <c r="E685" t="s">
        <v>18</v>
      </c>
      <c r="F685" t="s">
        <v>22</v>
      </c>
      <c r="G685">
        <v>2</v>
      </c>
      <c r="H685">
        <v>0.15</v>
      </c>
      <c r="I685">
        <v>93.5</v>
      </c>
      <c r="J685">
        <v>33.54</v>
      </c>
      <c r="K685" t="str">
        <f t="shared" si="30"/>
        <v>Furniture</v>
      </c>
      <c r="L685" t="str">
        <f t="shared" si="31"/>
        <v>Jun-2025</v>
      </c>
      <c r="M685" s="14">
        <f t="shared" si="32"/>
        <v>45809</v>
      </c>
    </row>
    <row r="686" spans="1:13" x14ac:dyDescent="0.35">
      <c r="A686" t="s">
        <v>815</v>
      </c>
      <c r="B686" s="2">
        <v>46005</v>
      </c>
      <c r="C686" t="s">
        <v>40</v>
      </c>
      <c r="D686" t="s">
        <v>17</v>
      </c>
      <c r="E686" t="s">
        <v>18</v>
      </c>
      <c r="F686" t="s">
        <v>25</v>
      </c>
      <c r="G686">
        <v>3</v>
      </c>
      <c r="H686">
        <v>0.15</v>
      </c>
      <c r="I686">
        <v>535.5</v>
      </c>
      <c r="J686">
        <v>159.18</v>
      </c>
      <c r="K686" t="str">
        <f t="shared" si="30"/>
        <v>Furniture</v>
      </c>
      <c r="L686" t="str">
        <f t="shared" si="31"/>
        <v>Dec-2025</v>
      </c>
      <c r="M686" s="14">
        <f t="shared" si="32"/>
        <v>45992</v>
      </c>
    </row>
    <row r="687" spans="1:13" x14ac:dyDescent="0.35">
      <c r="A687" t="s">
        <v>816</v>
      </c>
      <c r="B687" s="2">
        <v>45907</v>
      </c>
      <c r="C687" t="s">
        <v>167</v>
      </c>
      <c r="D687" t="s">
        <v>55</v>
      </c>
      <c r="E687" t="s">
        <v>46</v>
      </c>
      <c r="F687" t="s">
        <v>25</v>
      </c>
      <c r="G687">
        <v>1</v>
      </c>
      <c r="H687">
        <v>0.05</v>
      </c>
      <c r="I687">
        <v>228</v>
      </c>
      <c r="J687">
        <v>54.03</v>
      </c>
      <c r="K687" t="str">
        <f t="shared" si="30"/>
        <v>Office Supplies</v>
      </c>
      <c r="L687" t="str">
        <f t="shared" si="31"/>
        <v>Sept-2025</v>
      </c>
      <c r="M687" s="14">
        <f t="shared" si="32"/>
        <v>45901</v>
      </c>
    </row>
    <row r="688" spans="1:13" x14ac:dyDescent="0.35">
      <c r="A688" t="s">
        <v>817</v>
      </c>
      <c r="B688" s="2">
        <v>45729</v>
      </c>
      <c r="C688" t="s">
        <v>189</v>
      </c>
      <c r="D688" t="s">
        <v>55</v>
      </c>
      <c r="E688" t="s">
        <v>46</v>
      </c>
      <c r="F688" t="s">
        <v>14</v>
      </c>
      <c r="G688">
        <v>2</v>
      </c>
      <c r="H688">
        <v>0.1</v>
      </c>
      <c r="I688">
        <v>432</v>
      </c>
      <c r="J688">
        <v>89.83</v>
      </c>
      <c r="K688" t="str">
        <f t="shared" si="30"/>
        <v>Office Supplies</v>
      </c>
      <c r="L688" t="str">
        <f t="shared" si="31"/>
        <v>Mar-2025</v>
      </c>
      <c r="M688" s="14">
        <f t="shared" si="32"/>
        <v>45717</v>
      </c>
    </row>
    <row r="689" spans="1:13" x14ac:dyDescent="0.35">
      <c r="A689" t="s">
        <v>818</v>
      </c>
      <c r="B689" s="2">
        <v>45696</v>
      </c>
      <c r="C689" t="s">
        <v>54</v>
      </c>
      <c r="D689" t="s">
        <v>67</v>
      </c>
      <c r="E689" t="s">
        <v>13</v>
      </c>
      <c r="F689" t="s">
        <v>50</v>
      </c>
      <c r="G689">
        <v>5</v>
      </c>
      <c r="H689">
        <v>0</v>
      </c>
      <c r="I689">
        <v>6000</v>
      </c>
      <c r="J689">
        <v>1090.97</v>
      </c>
      <c r="K689" t="str">
        <f t="shared" si="30"/>
        <v>Technology</v>
      </c>
      <c r="L689" t="str">
        <f t="shared" si="31"/>
        <v>Feb-2025</v>
      </c>
      <c r="M689" s="14">
        <f t="shared" si="32"/>
        <v>45689</v>
      </c>
    </row>
    <row r="690" spans="1:13" x14ac:dyDescent="0.35">
      <c r="A690" t="s">
        <v>819</v>
      </c>
      <c r="B690" s="2">
        <v>45960</v>
      </c>
      <c r="C690" t="s">
        <v>119</v>
      </c>
      <c r="D690" t="s">
        <v>21</v>
      </c>
      <c r="E690" t="s">
        <v>18</v>
      </c>
      <c r="F690" t="s">
        <v>50</v>
      </c>
      <c r="G690">
        <v>1</v>
      </c>
      <c r="H690">
        <v>0.2</v>
      </c>
      <c r="I690">
        <v>44</v>
      </c>
      <c r="J690">
        <v>16.02</v>
      </c>
      <c r="K690" t="str">
        <f t="shared" si="30"/>
        <v>Furniture</v>
      </c>
      <c r="L690" t="str">
        <f t="shared" si="31"/>
        <v>Oct-2025</v>
      </c>
      <c r="M690" s="14">
        <f t="shared" si="32"/>
        <v>45931</v>
      </c>
    </row>
    <row r="691" spans="1:13" x14ac:dyDescent="0.35">
      <c r="A691" t="s">
        <v>820</v>
      </c>
      <c r="B691" s="2">
        <v>45992</v>
      </c>
      <c r="C691" t="s">
        <v>158</v>
      </c>
      <c r="D691" t="s">
        <v>28</v>
      </c>
      <c r="E691" t="s">
        <v>18</v>
      </c>
      <c r="F691" t="s">
        <v>25</v>
      </c>
      <c r="G691">
        <v>3</v>
      </c>
      <c r="H691">
        <v>0.15</v>
      </c>
      <c r="I691">
        <v>714</v>
      </c>
      <c r="J691">
        <v>268.68</v>
      </c>
      <c r="K691" t="str">
        <f t="shared" si="30"/>
        <v>Furniture</v>
      </c>
      <c r="L691" t="str">
        <f t="shared" si="31"/>
        <v>Dec-2025</v>
      </c>
      <c r="M691" s="14">
        <f t="shared" si="32"/>
        <v>45992</v>
      </c>
    </row>
    <row r="692" spans="1:13" x14ac:dyDescent="0.35">
      <c r="A692" t="s">
        <v>821</v>
      </c>
      <c r="B692" s="2">
        <v>45726</v>
      </c>
      <c r="C692" t="s">
        <v>194</v>
      </c>
      <c r="D692" t="s">
        <v>45</v>
      </c>
      <c r="E692" t="s">
        <v>46</v>
      </c>
      <c r="F692" t="s">
        <v>14</v>
      </c>
      <c r="G692">
        <v>5</v>
      </c>
      <c r="H692">
        <v>0.2</v>
      </c>
      <c r="I692">
        <v>72</v>
      </c>
      <c r="J692">
        <v>30.25</v>
      </c>
      <c r="K692" t="str">
        <f t="shared" si="30"/>
        <v>Office Supplies</v>
      </c>
      <c r="L692" t="str">
        <f t="shared" si="31"/>
        <v>Mar-2025</v>
      </c>
      <c r="M692" s="14">
        <f t="shared" si="32"/>
        <v>45717</v>
      </c>
    </row>
    <row r="693" spans="1:13" x14ac:dyDescent="0.35">
      <c r="A693" t="s">
        <v>822</v>
      </c>
      <c r="B693" s="2">
        <v>45997</v>
      </c>
      <c r="C693" t="s">
        <v>11</v>
      </c>
      <c r="D693" t="s">
        <v>21</v>
      </c>
      <c r="E693" t="s">
        <v>18</v>
      </c>
      <c r="F693" t="s">
        <v>50</v>
      </c>
      <c r="G693">
        <v>5</v>
      </c>
      <c r="H693">
        <v>0.05</v>
      </c>
      <c r="I693">
        <v>261.25</v>
      </c>
      <c r="J693">
        <v>52.28</v>
      </c>
      <c r="K693" t="str">
        <f t="shared" si="30"/>
        <v>Furniture</v>
      </c>
      <c r="L693" t="str">
        <f t="shared" si="31"/>
        <v>Dec-2025</v>
      </c>
      <c r="M693" s="14">
        <f t="shared" si="32"/>
        <v>45992</v>
      </c>
    </row>
    <row r="694" spans="1:13" x14ac:dyDescent="0.35">
      <c r="A694" t="s">
        <v>823</v>
      </c>
      <c r="B694" s="2">
        <v>45739</v>
      </c>
      <c r="C694" t="s">
        <v>154</v>
      </c>
      <c r="D694" t="s">
        <v>28</v>
      </c>
      <c r="E694" t="s">
        <v>18</v>
      </c>
      <c r="F694" t="s">
        <v>50</v>
      </c>
      <c r="G694">
        <v>5</v>
      </c>
      <c r="H694">
        <v>0.2</v>
      </c>
      <c r="I694">
        <v>1120</v>
      </c>
      <c r="J694">
        <v>260.27999999999997</v>
      </c>
      <c r="K694" t="str">
        <f t="shared" si="30"/>
        <v>Furniture</v>
      </c>
      <c r="L694" t="str">
        <f t="shared" si="31"/>
        <v>Mar-2025</v>
      </c>
      <c r="M694" s="14">
        <f t="shared" si="32"/>
        <v>45717</v>
      </c>
    </row>
    <row r="695" spans="1:13" x14ac:dyDescent="0.35">
      <c r="A695" t="s">
        <v>824</v>
      </c>
      <c r="B695" s="2">
        <v>45841</v>
      </c>
      <c r="C695" t="s">
        <v>113</v>
      </c>
      <c r="D695" t="s">
        <v>67</v>
      </c>
      <c r="E695" t="s">
        <v>13</v>
      </c>
      <c r="F695" t="s">
        <v>25</v>
      </c>
      <c r="G695">
        <v>2</v>
      </c>
      <c r="H695">
        <v>0.15</v>
      </c>
      <c r="I695">
        <v>2040</v>
      </c>
      <c r="J695">
        <v>761.99</v>
      </c>
      <c r="K695" t="str">
        <f t="shared" si="30"/>
        <v>Technology</v>
      </c>
      <c r="L695" t="str">
        <f t="shared" si="31"/>
        <v>Jul-2025</v>
      </c>
      <c r="M695" s="14">
        <f t="shared" si="32"/>
        <v>45839</v>
      </c>
    </row>
    <row r="696" spans="1:13" x14ac:dyDescent="0.35">
      <c r="A696" t="s">
        <v>825</v>
      </c>
      <c r="B696" s="2">
        <v>45777</v>
      </c>
      <c r="C696" t="s">
        <v>194</v>
      </c>
      <c r="D696" t="s">
        <v>67</v>
      </c>
      <c r="E696" t="s">
        <v>13</v>
      </c>
      <c r="F696" t="s">
        <v>50</v>
      </c>
      <c r="G696">
        <v>2</v>
      </c>
      <c r="H696">
        <v>0.2</v>
      </c>
      <c r="I696">
        <v>1920</v>
      </c>
      <c r="J696">
        <v>288.86</v>
      </c>
      <c r="K696" t="str">
        <f t="shared" si="30"/>
        <v>Technology</v>
      </c>
      <c r="L696" t="str">
        <f t="shared" si="31"/>
        <v>Apr-2025</v>
      </c>
      <c r="M696" s="14">
        <f t="shared" si="32"/>
        <v>45748</v>
      </c>
    </row>
    <row r="697" spans="1:13" x14ac:dyDescent="0.35">
      <c r="A697" t="s">
        <v>826</v>
      </c>
      <c r="B697" s="2">
        <v>45898</v>
      </c>
      <c r="C697" t="s">
        <v>150</v>
      </c>
      <c r="D697" t="s">
        <v>45</v>
      </c>
      <c r="E697" t="s">
        <v>46</v>
      </c>
      <c r="F697" t="s">
        <v>14</v>
      </c>
      <c r="G697">
        <v>1</v>
      </c>
      <c r="H697">
        <v>0</v>
      </c>
      <c r="I697">
        <v>18</v>
      </c>
      <c r="J697">
        <v>2.2799999999999998</v>
      </c>
      <c r="K697" t="str">
        <f t="shared" si="30"/>
        <v>Office Supplies</v>
      </c>
      <c r="L697" t="str">
        <f t="shared" si="31"/>
        <v>Aug-2025</v>
      </c>
      <c r="M697" s="14">
        <f t="shared" si="32"/>
        <v>45870</v>
      </c>
    </row>
    <row r="698" spans="1:13" x14ac:dyDescent="0.35">
      <c r="A698" t="s">
        <v>827</v>
      </c>
      <c r="B698" s="2">
        <v>46018</v>
      </c>
      <c r="C698" t="s">
        <v>73</v>
      </c>
      <c r="D698" t="s">
        <v>55</v>
      </c>
      <c r="E698" t="s">
        <v>46</v>
      </c>
      <c r="F698" t="s">
        <v>22</v>
      </c>
      <c r="G698">
        <v>3</v>
      </c>
      <c r="H698">
        <v>0.1</v>
      </c>
      <c r="I698">
        <v>648</v>
      </c>
      <c r="J698">
        <v>167.87</v>
      </c>
      <c r="K698" t="str">
        <f t="shared" si="30"/>
        <v>Office Supplies</v>
      </c>
      <c r="L698" t="str">
        <f t="shared" si="31"/>
        <v>Dec-2025</v>
      </c>
      <c r="M698" s="14">
        <f t="shared" si="32"/>
        <v>45992</v>
      </c>
    </row>
    <row r="699" spans="1:13" x14ac:dyDescent="0.35">
      <c r="A699" t="s">
        <v>828</v>
      </c>
      <c r="B699" s="2">
        <v>45850</v>
      </c>
      <c r="C699" t="s">
        <v>128</v>
      </c>
      <c r="D699" t="s">
        <v>38</v>
      </c>
      <c r="E699" t="s">
        <v>13</v>
      </c>
      <c r="F699" t="s">
        <v>25</v>
      </c>
      <c r="G699">
        <v>4</v>
      </c>
      <c r="H699">
        <v>0.1</v>
      </c>
      <c r="I699">
        <v>1152</v>
      </c>
      <c r="J699">
        <v>294.99</v>
      </c>
      <c r="K699" t="str">
        <f t="shared" si="30"/>
        <v>Technology</v>
      </c>
      <c r="L699" t="str">
        <f t="shared" si="31"/>
        <v>Jul-2025</v>
      </c>
      <c r="M699" s="14">
        <f t="shared" si="32"/>
        <v>45839</v>
      </c>
    </row>
    <row r="700" spans="1:13" x14ac:dyDescent="0.35">
      <c r="A700" t="s">
        <v>829</v>
      </c>
      <c r="B700" s="2">
        <v>45850</v>
      </c>
      <c r="C700" t="s">
        <v>30</v>
      </c>
      <c r="D700" t="s">
        <v>21</v>
      </c>
      <c r="E700" t="s">
        <v>18</v>
      </c>
      <c r="F700" t="s">
        <v>50</v>
      </c>
      <c r="G700">
        <v>5</v>
      </c>
      <c r="H700">
        <v>0.15</v>
      </c>
      <c r="I700">
        <v>233.75</v>
      </c>
      <c r="J700">
        <v>77.97</v>
      </c>
      <c r="K700" t="str">
        <f t="shared" si="30"/>
        <v>Furniture</v>
      </c>
      <c r="L700" t="str">
        <f t="shared" si="31"/>
        <v>Jul-2025</v>
      </c>
      <c r="M700" s="14">
        <f t="shared" si="32"/>
        <v>45839</v>
      </c>
    </row>
    <row r="701" spans="1:13" x14ac:dyDescent="0.35">
      <c r="A701" t="s">
        <v>830</v>
      </c>
      <c r="B701" s="2">
        <v>45904</v>
      </c>
      <c r="C701" t="s">
        <v>342</v>
      </c>
      <c r="D701" t="s">
        <v>83</v>
      </c>
      <c r="E701" t="s">
        <v>46</v>
      </c>
      <c r="F701" t="s">
        <v>22</v>
      </c>
      <c r="G701">
        <v>1</v>
      </c>
      <c r="H701">
        <v>0.2</v>
      </c>
      <c r="I701">
        <v>20</v>
      </c>
      <c r="J701">
        <v>3.18</v>
      </c>
      <c r="K701" t="str">
        <f t="shared" si="30"/>
        <v>Office Supplies</v>
      </c>
      <c r="L701" t="str">
        <f t="shared" si="31"/>
        <v>Sept-2025</v>
      </c>
      <c r="M701" s="14">
        <f t="shared" si="32"/>
        <v>45901</v>
      </c>
    </row>
    <row r="702" spans="1:13" x14ac:dyDescent="0.35">
      <c r="A702" t="s">
        <v>831</v>
      </c>
      <c r="B702" s="2">
        <v>45775</v>
      </c>
      <c r="C702" t="s">
        <v>269</v>
      </c>
      <c r="D702" t="s">
        <v>12</v>
      </c>
      <c r="E702" t="s">
        <v>13</v>
      </c>
      <c r="F702" t="s">
        <v>22</v>
      </c>
      <c r="G702">
        <v>5</v>
      </c>
      <c r="H702">
        <v>0.1</v>
      </c>
      <c r="I702">
        <v>157.5</v>
      </c>
      <c r="J702">
        <v>59.88</v>
      </c>
      <c r="K702" t="str">
        <f t="shared" si="30"/>
        <v>Technology</v>
      </c>
      <c r="L702" t="str">
        <f t="shared" si="31"/>
        <v>Apr-2025</v>
      </c>
      <c r="M702" s="14">
        <f t="shared" si="32"/>
        <v>45748</v>
      </c>
    </row>
    <row r="703" spans="1:13" x14ac:dyDescent="0.35">
      <c r="A703" t="s">
        <v>832</v>
      </c>
      <c r="B703" s="2">
        <v>45843</v>
      </c>
      <c r="C703" t="s">
        <v>241</v>
      </c>
      <c r="D703" t="s">
        <v>83</v>
      </c>
      <c r="E703" t="s">
        <v>46</v>
      </c>
      <c r="F703" t="s">
        <v>14</v>
      </c>
      <c r="G703">
        <v>1</v>
      </c>
      <c r="H703">
        <v>0.05</v>
      </c>
      <c r="I703">
        <v>23.75</v>
      </c>
      <c r="J703">
        <v>7.44</v>
      </c>
      <c r="K703" t="str">
        <f t="shared" si="30"/>
        <v>Office Supplies</v>
      </c>
      <c r="L703" t="str">
        <f t="shared" si="31"/>
        <v>Jul-2025</v>
      </c>
      <c r="M703" s="14">
        <f t="shared" si="32"/>
        <v>45839</v>
      </c>
    </row>
    <row r="704" spans="1:13" x14ac:dyDescent="0.35">
      <c r="A704" t="s">
        <v>833</v>
      </c>
      <c r="B704" s="2">
        <v>45904</v>
      </c>
      <c r="C704" t="s">
        <v>273</v>
      </c>
      <c r="D704" t="s">
        <v>38</v>
      </c>
      <c r="E704" t="s">
        <v>13</v>
      </c>
      <c r="F704" t="s">
        <v>50</v>
      </c>
      <c r="G704">
        <v>4</v>
      </c>
      <c r="H704">
        <v>0.15</v>
      </c>
      <c r="I704">
        <v>1088</v>
      </c>
      <c r="J704">
        <v>413.95</v>
      </c>
      <c r="K704" t="str">
        <f t="shared" si="30"/>
        <v>Technology</v>
      </c>
      <c r="L704" t="str">
        <f t="shared" si="31"/>
        <v>Sept-2025</v>
      </c>
      <c r="M704" s="14">
        <f t="shared" si="32"/>
        <v>45901</v>
      </c>
    </row>
    <row r="705" spans="1:13" x14ac:dyDescent="0.35">
      <c r="A705" t="s">
        <v>834</v>
      </c>
      <c r="B705" s="2">
        <v>45669</v>
      </c>
      <c r="C705" t="s">
        <v>273</v>
      </c>
      <c r="D705" t="s">
        <v>21</v>
      </c>
      <c r="E705" t="s">
        <v>18</v>
      </c>
      <c r="F705" t="s">
        <v>22</v>
      </c>
      <c r="G705">
        <v>1</v>
      </c>
      <c r="H705">
        <v>0.05</v>
      </c>
      <c r="I705">
        <v>52.25</v>
      </c>
      <c r="J705">
        <v>13.62</v>
      </c>
      <c r="K705" t="str">
        <f t="shared" si="30"/>
        <v>Furniture</v>
      </c>
      <c r="L705" t="str">
        <f t="shared" si="31"/>
        <v>Jan-2025</v>
      </c>
      <c r="M705" s="14">
        <f t="shared" si="32"/>
        <v>45658</v>
      </c>
    </row>
    <row r="706" spans="1:13" x14ac:dyDescent="0.35">
      <c r="A706" t="s">
        <v>835</v>
      </c>
      <c r="B706" s="2">
        <v>45980</v>
      </c>
      <c r="C706" t="s">
        <v>412</v>
      </c>
      <c r="D706" t="s">
        <v>55</v>
      </c>
      <c r="E706" t="s">
        <v>46</v>
      </c>
      <c r="F706" t="s">
        <v>25</v>
      </c>
      <c r="G706">
        <v>1</v>
      </c>
      <c r="H706">
        <v>0.2</v>
      </c>
      <c r="I706">
        <v>192</v>
      </c>
      <c r="J706">
        <v>77.09</v>
      </c>
      <c r="K706" t="str">
        <f t="shared" ref="K706:K769" si="33">TRIM(E706)</f>
        <v>Office Supplies</v>
      </c>
      <c r="L706" t="str">
        <f t="shared" si="31"/>
        <v>Nov-2025</v>
      </c>
      <c r="M706" s="14">
        <f t="shared" si="32"/>
        <v>45962</v>
      </c>
    </row>
    <row r="707" spans="1:13" x14ac:dyDescent="0.35">
      <c r="A707" t="s">
        <v>836</v>
      </c>
      <c r="B707" s="2">
        <v>45750</v>
      </c>
      <c r="C707" t="s">
        <v>44</v>
      </c>
      <c r="D707" t="s">
        <v>55</v>
      </c>
      <c r="E707" t="s">
        <v>46</v>
      </c>
      <c r="F707" t="s">
        <v>14</v>
      </c>
      <c r="G707">
        <v>4</v>
      </c>
      <c r="H707">
        <v>0.2</v>
      </c>
      <c r="I707">
        <v>768</v>
      </c>
      <c r="J707">
        <v>99.95</v>
      </c>
      <c r="K707" t="str">
        <f t="shared" si="33"/>
        <v>Office Supplies</v>
      </c>
      <c r="L707" t="str">
        <f t="shared" ref="L707:L770" si="34">TEXT(B707,"mmm-yyyy")</f>
        <v>Apr-2025</v>
      </c>
      <c r="M707" s="14">
        <f t="shared" ref="M707:M770" si="35">DATE(YEAR(B707),MONTH(B707),1)</f>
        <v>45748</v>
      </c>
    </row>
    <row r="708" spans="1:13" x14ac:dyDescent="0.35">
      <c r="A708" t="s">
        <v>837</v>
      </c>
      <c r="B708" s="2">
        <v>45996</v>
      </c>
      <c r="C708" t="s">
        <v>253</v>
      </c>
      <c r="D708" t="s">
        <v>35</v>
      </c>
      <c r="E708" t="s">
        <v>13</v>
      </c>
      <c r="F708" t="s">
        <v>50</v>
      </c>
      <c r="G708">
        <v>1</v>
      </c>
      <c r="H708">
        <v>0.05</v>
      </c>
      <c r="I708">
        <v>807.5</v>
      </c>
      <c r="J708">
        <v>243.67</v>
      </c>
      <c r="K708" t="str">
        <f t="shared" si="33"/>
        <v>Technology</v>
      </c>
      <c r="L708" t="str">
        <f t="shared" si="34"/>
        <v>Dec-2025</v>
      </c>
      <c r="M708" s="14">
        <f t="shared" si="35"/>
        <v>45992</v>
      </c>
    </row>
    <row r="709" spans="1:13" x14ac:dyDescent="0.35">
      <c r="A709" t="s">
        <v>838</v>
      </c>
      <c r="B709" s="2">
        <v>45745</v>
      </c>
      <c r="C709" t="s">
        <v>54</v>
      </c>
      <c r="D709" t="s">
        <v>21</v>
      </c>
      <c r="E709" t="s">
        <v>18</v>
      </c>
      <c r="F709" t="s">
        <v>22</v>
      </c>
      <c r="G709">
        <v>4</v>
      </c>
      <c r="H709">
        <v>0.2</v>
      </c>
      <c r="I709">
        <v>176</v>
      </c>
      <c r="J709">
        <v>70.91</v>
      </c>
      <c r="K709" t="str">
        <f t="shared" si="33"/>
        <v>Furniture</v>
      </c>
      <c r="L709" t="str">
        <f t="shared" si="34"/>
        <v>Mar-2025</v>
      </c>
      <c r="M709" s="14">
        <f t="shared" si="35"/>
        <v>45717</v>
      </c>
    </row>
    <row r="710" spans="1:13" x14ac:dyDescent="0.35">
      <c r="A710" t="s">
        <v>839</v>
      </c>
      <c r="B710" s="2">
        <v>45977</v>
      </c>
      <c r="C710" t="s">
        <v>278</v>
      </c>
      <c r="D710" t="s">
        <v>38</v>
      </c>
      <c r="E710" t="s">
        <v>13</v>
      </c>
      <c r="F710" t="s">
        <v>25</v>
      </c>
      <c r="G710">
        <v>5</v>
      </c>
      <c r="H710">
        <v>0.1</v>
      </c>
      <c r="I710">
        <v>1440</v>
      </c>
      <c r="J710">
        <v>568.29999999999995</v>
      </c>
      <c r="K710" t="str">
        <f t="shared" si="33"/>
        <v>Technology</v>
      </c>
      <c r="L710" t="str">
        <f t="shared" si="34"/>
        <v>Nov-2025</v>
      </c>
      <c r="M710" s="14">
        <f t="shared" si="35"/>
        <v>45962</v>
      </c>
    </row>
    <row r="711" spans="1:13" x14ac:dyDescent="0.35">
      <c r="A711" t="s">
        <v>840</v>
      </c>
      <c r="B711" s="2">
        <v>45890</v>
      </c>
      <c r="C711" t="s">
        <v>59</v>
      </c>
      <c r="D711" t="s">
        <v>83</v>
      </c>
      <c r="E711" t="s">
        <v>46</v>
      </c>
      <c r="F711" t="s">
        <v>22</v>
      </c>
      <c r="G711">
        <v>5</v>
      </c>
      <c r="H711">
        <v>0</v>
      </c>
      <c r="I711">
        <v>125</v>
      </c>
      <c r="J711">
        <v>46.77</v>
      </c>
      <c r="K711" t="str">
        <f t="shared" si="33"/>
        <v>Office Supplies</v>
      </c>
      <c r="L711" t="str">
        <f t="shared" si="34"/>
        <v>Aug-2025</v>
      </c>
      <c r="M711" s="14">
        <f t="shared" si="35"/>
        <v>45870</v>
      </c>
    </row>
    <row r="712" spans="1:13" x14ac:dyDescent="0.35">
      <c r="A712" t="s">
        <v>841</v>
      </c>
      <c r="B712" s="2">
        <v>45713</v>
      </c>
      <c r="C712" t="s">
        <v>66</v>
      </c>
      <c r="D712" t="s">
        <v>67</v>
      </c>
      <c r="E712" t="s">
        <v>13</v>
      </c>
      <c r="F712" t="s">
        <v>50</v>
      </c>
      <c r="G712">
        <v>2</v>
      </c>
      <c r="H712">
        <v>0.2</v>
      </c>
      <c r="I712">
        <v>1920</v>
      </c>
      <c r="J712">
        <v>319.36</v>
      </c>
      <c r="K712" t="str">
        <f t="shared" si="33"/>
        <v>Technology</v>
      </c>
      <c r="L712" t="str">
        <f t="shared" si="34"/>
        <v>Feb-2025</v>
      </c>
      <c r="M712" s="14">
        <f t="shared" si="35"/>
        <v>45689</v>
      </c>
    </row>
    <row r="713" spans="1:13" x14ac:dyDescent="0.35">
      <c r="A713" t="s">
        <v>842</v>
      </c>
      <c r="B713" s="2">
        <v>45734</v>
      </c>
      <c r="C713" t="s">
        <v>349</v>
      </c>
      <c r="D713" t="s">
        <v>83</v>
      </c>
      <c r="E713" t="s">
        <v>46</v>
      </c>
      <c r="F713" t="s">
        <v>14</v>
      </c>
      <c r="G713">
        <v>1</v>
      </c>
      <c r="H713">
        <v>0.05</v>
      </c>
      <c r="I713">
        <v>23.75</v>
      </c>
      <c r="J713">
        <v>6.96</v>
      </c>
      <c r="K713" t="str">
        <f t="shared" si="33"/>
        <v>Office Supplies</v>
      </c>
      <c r="L713" t="str">
        <f t="shared" si="34"/>
        <v>Mar-2025</v>
      </c>
      <c r="M713" s="14">
        <f t="shared" si="35"/>
        <v>45717</v>
      </c>
    </row>
    <row r="714" spans="1:13" x14ac:dyDescent="0.35">
      <c r="A714" t="s">
        <v>843</v>
      </c>
      <c r="B714" s="2">
        <v>45930</v>
      </c>
      <c r="C714" t="s">
        <v>115</v>
      </c>
      <c r="D714" t="s">
        <v>55</v>
      </c>
      <c r="E714" t="s">
        <v>46</v>
      </c>
      <c r="F714" t="s">
        <v>14</v>
      </c>
      <c r="G714">
        <v>1</v>
      </c>
      <c r="H714">
        <v>0</v>
      </c>
      <c r="I714">
        <v>240</v>
      </c>
      <c r="J714">
        <v>69.81</v>
      </c>
      <c r="K714" t="str">
        <f t="shared" si="33"/>
        <v>Office Supplies</v>
      </c>
      <c r="L714" t="str">
        <f t="shared" si="34"/>
        <v>Sept-2025</v>
      </c>
      <c r="M714" s="14">
        <f t="shared" si="35"/>
        <v>45901</v>
      </c>
    </row>
    <row r="715" spans="1:13" x14ac:dyDescent="0.35">
      <c r="A715" t="s">
        <v>844</v>
      </c>
      <c r="B715" s="2">
        <v>46005</v>
      </c>
      <c r="C715" t="s">
        <v>360</v>
      </c>
      <c r="D715" t="s">
        <v>38</v>
      </c>
      <c r="E715" t="s">
        <v>13</v>
      </c>
      <c r="F715" t="s">
        <v>50</v>
      </c>
      <c r="G715">
        <v>4</v>
      </c>
      <c r="H715">
        <v>0.2</v>
      </c>
      <c r="I715">
        <v>1024</v>
      </c>
      <c r="J715">
        <v>318.64</v>
      </c>
      <c r="K715" t="str">
        <f t="shared" si="33"/>
        <v>Technology</v>
      </c>
      <c r="L715" t="str">
        <f t="shared" si="34"/>
        <v>Dec-2025</v>
      </c>
      <c r="M715" s="14">
        <f t="shared" si="35"/>
        <v>45992</v>
      </c>
    </row>
    <row r="716" spans="1:13" x14ac:dyDescent="0.35">
      <c r="A716" t="s">
        <v>845</v>
      </c>
      <c r="B716" s="2">
        <v>45775</v>
      </c>
      <c r="C716" t="s">
        <v>133</v>
      </c>
      <c r="D716" t="s">
        <v>45</v>
      </c>
      <c r="E716" t="s">
        <v>46</v>
      </c>
      <c r="F716" t="s">
        <v>14</v>
      </c>
      <c r="G716">
        <v>4</v>
      </c>
      <c r="H716">
        <v>0.1</v>
      </c>
      <c r="I716">
        <v>64.8</v>
      </c>
      <c r="J716">
        <v>16.559999999999999</v>
      </c>
      <c r="K716" t="str">
        <f t="shared" si="33"/>
        <v>Office Supplies</v>
      </c>
      <c r="L716" t="str">
        <f t="shared" si="34"/>
        <v>Apr-2025</v>
      </c>
      <c r="M716" s="14">
        <f t="shared" si="35"/>
        <v>45748</v>
      </c>
    </row>
    <row r="717" spans="1:13" x14ac:dyDescent="0.35">
      <c r="A717" t="s">
        <v>846</v>
      </c>
      <c r="B717" s="2">
        <v>45875</v>
      </c>
      <c r="C717" t="s">
        <v>167</v>
      </c>
      <c r="D717" t="s">
        <v>28</v>
      </c>
      <c r="E717" t="s">
        <v>18</v>
      </c>
      <c r="F717" t="s">
        <v>25</v>
      </c>
      <c r="G717">
        <v>3</v>
      </c>
      <c r="H717">
        <v>0.15</v>
      </c>
      <c r="I717">
        <v>714</v>
      </c>
      <c r="J717">
        <v>140.85</v>
      </c>
      <c r="K717" t="str">
        <f t="shared" si="33"/>
        <v>Furniture</v>
      </c>
      <c r="L717" t="str">
        <f t="shared" si="34"/>
        <v>Aug-2025</v>
      </c>
      <c r="M717" s="14">
        <f t="shared" si="35"/>
        <v>45870</v>
      </c>
    </row>
    <row r="718" spans="1:13" x14ac:dyDescent="0.35">
      <c r="A718" t="s">
        <v>847</v>
      </c>
      <c r="B718" s="2">
        <v>45964</v>
      </c>
      <c r="C718" t="s">
        <v>34</v>
      </c>
      <c r="D718" t="s">
        <v>55</v>
      </c>
      <c r="E718" t="s">
        <v>46</v>
      </c>
      <c r="F718" t="s">
        <v>14</v>
      </c>
      <c r="G718">
        <v>4</v>
      </c>
      <c r="H718">
        <v>0.1</v>
      </c>
      <c r="I718">
        <v>864</v>
      </c>
      <c r="J718">
        <v>334.91</v>
      </c>
      <c r="K718" t="str">
        <f t="shared" si="33"/>
        <v>Office Supplies</v>
      </c>
      <c r="L718" t="str">
        <f t="shared" si="34"/>
        <v>Nov-2025</v>
      </c>
      <c r="M718" s="14">
        <f t="shared" si="35"/>
        <v>45962</v>
      </c>
    </row>
    <row r="719" spans="1:13" x14ac:dyDescent="0.35">
      <c r="A719" t="s">
        <v>848</v>
      </c>
      <c r="B719" s="2">
        <v>45953</v>
      </c>
      <c r="C719" t="s">
        <v>196</v>
      </c>
      <c r="D719" t="s">
        <v>55</v>
      </c>
      <c r="E719" t="s">
        <v>46</v>
      </c>
      <c r="F719" t="s">
        <v>22</v>
      </c>
      <c r="G719">
        <v>1</v>
      </c>
      <c r="H719">
        <v>0.2</v>
      </c>
      <c r="I719">
        <v>192</v>
      </c>
      <c r="J719">
        <v>85.94</v>
      </c>
      <c r="K719" t="str">
        <f t="shared" si="33"/>
        <v>Office Supplies</v>
      </c>
      <c r="L719" t="str">
        <f t="shared" si="34"/>
        <v>Oct-2025</v>
      </c>
      <c r="M719" s="14">
        <f t="shared" si="35"/>
        <v>45931</v>
      </c>
    </row>
    <row r="720" spans="1:13" x14ac:dyDescent="0.35">
      <c r="A720" t="s">
        <v>849</v>
      </c>
      <c r="B720" s="2">
        <v>46010</v>
      </c>
      <c r="C720" t="s">
        <v>93</v>
      </c>
      <c r="D720" t="s">
        <v>49</v>
      </c>
      <c r="E720" t="s">
        <v>13</v>
      </c>
      <c r="F720" t="s">
        <v>25</v>
      </c>
      <c r="G720">
        <v>4</v>
      </c>
      <c r="H720">
        <v>0.1</v>
      </c>
      <c r="I720">
        <v>252</v>
      </c>
      <c r="J720">
        <v>104.54</v>
      </c>
      <c r="K720" t="str">
        <f t="shared" si="33"/>
        <v>Technology</v>
      </c>
      <c r="L720" t="str">
        <f t="shared" si="34"/>
        <v>Dec-2025</v>
      </c>
      <c r="M720" s="14">
        <f t="shared" si="35"/>
        <v>45992</v>
      </c>
    </row>
    <row r="721" spans="1:13" x14ac:dyDescent="0.35">
      <c r="A721" t="s">
        <v>850</v>
      </c>
      <c r="B721" s="2">
        <v>45791</v>
      </c>
      <c r="C721" t="s">
        <v>295</v>
      </c>
      <c r="D721" t="s">
        <v>55</v>
      </c>
      <c r="E721" t="s">
        <v>46</v>
      </c>
      <c r="F721" t="s">
        <v>50</v>
      </c>
      <c r="G721">
        <v>4</v>
      </c>
      <c r="H721">
        <v>0.2</v>
      </c>
      <c r="I721">
        <v>768</v>
      </c>
      <c r="J721">
        <v>252.93</v>
      </c>
      <c r="K721" t="str">
        <f t="shared" si="33"/>
        <v>Office Supplies</v>
      </c>
      <c r="L721" t="str">
        <f t="shared" si="34"/>
        <v>May-2025</v>
      </c>
      <c r="M721" s="14">
        <f t="shared" si="35"/>
        <v>45778</v>
      </c>
    </row>
    <row r="722" spans="1:13" x14ac:dyDescent="0.35">
      <c r="A722" t="s">
        <v>851</v>
      </c>
      <c r="B722" s="2">
        <v>45762</v>
      </c>
      <c r="C722" t="s">
        <v>69</v>
      </c>
      <c r="D722" t="s">
        <v>99</v>
      </c>
      <c r="E722" t="s">
        <v>18</v>
      </c>
      <c r="F722" t="s">
        <v>50</v>
      </c>
      <c r="G722">
        <v>5</v>
      </c>
      <c r="H722">
        <v>0.2</v>
      </c>
      <c r="I722">
        <v>760</v>
      </c>
      <c r="J722">
        <v>221</v>
      </c>
      <c r="K722" t="str">
        <f t="shared" si="33"/>
        <v>Furniture</v>
      </c>
      <c r="L722" t="str">
        <f t="shared" si="34"/>
        <v>Apr-2025</v>
      </c>
      <c r="M722" s="14">
        <f t="shared" si="35"/>
        <v>45748</v>
      </c>
    </row>
    <row r="723" spans="1:13" x14ac:dyDescent="0.35">
      <c r="A723" t="s">
        <v>852</v>
      </c>
      <c r="B723" s="2">
        <v>45787</v>
      </c>
      <c r="C723" t="s">
        <v>286</v>
      </c>
      <c r="D723" t="s">
        <v>35</v>
      </c>
      <c r="E723" t="s">
        <v>13</v>
      </c>
      <c r="F723" t="s">
        <v>22</v>
      </c>
      <c r="G723">
        <v>5</v>
      </c>
      <c r="H723">
        <v>0.1</v>
      </c>
      <c r="I723">
        <v>3825</v>
      </c>
      <c r="J723">
        <v>744.02</v>
      </c>
      <c r="K723" t="str">
        <f t="shared" si="33"/>
        <v>Technology</v>
      </c>
      <c r="L723" t="str">
        <f t="shared" si="34"/>
        <v>May-2025</v>
      </c>
      <c r="M723" s="14">
        <f t="shared" si="35"/>
        <v>45778</v>
      </c>
    </row>
    <row r="724" spans="1:13" x14ac:dyDescent="0.35">
      <c r="A724" t="s">
        <v>853</v>
      </c>
      <c r="B724" s="2">
        <v>45995</v>
      </c>
      <c r="C724" t="s">
        <v>273</v>
      </c>
      <c r="D724" t="s">
        <v>12</v>
      </c>
      <c r="E724" t="s">
        <v>13</v>
      </c>
      <c r="F724" t="s">
        <v>14</v>
      </c>
      <c r="G724">
        <v>2</v>
      </c>
      <c r="H724">
        <v>0.15</v>
      </c>
      <c r="I724">
        <v>59.5</v>
      </c>
      <c r="J724">
        <v>11.4</v>
      </c>
      <c r="K724" t="str">
        <f t="shared" si="33"/>
        <v>Technology</v>
      </c>
      <c r="L724" t="str">
        <f t="shared" si="34"/>
        <v>Dec-2025</v>
      </c>
      <c r="M724" s="14">
        <f t="shared" si="35"/>
        <v>45992</v>
      </c>
    </row>
    <row r="725" spans="1:13" x14ac:dyDescent="0.35">
      <c r="A725" t="s">
        <v>854</v>
      </c>
      <c r="B725" s="2">
        <v>45767</v>
      </c>
      <c r="C725" t="s">
        <v>349</v>
      </c>
      <c r="D725" t="s">
        <v>55</v>
      </c>
      <c r="E725" t="s">
        <v>46</v>
      </c>
      <c r="F725" t="s">
        <v>14</v>
      </c>
      <c r="G725">
        <v>4</v>
      </c>
      <c r="H725">
        <v>0.1</v>
      </c>
      <c r="I725">
        <v>864</v>
      </c>
      <c r="J725">
        <v>160.46</v>
      </c>
      <c r="K725" t="str">
        <f t="shared" si="33"/>
        <v>Office Supplies</v>
      </c>
      <c r="L725" t="str">
        <f t="shared" si="34"/>
        <v>Apr-2025</v>
      </c>
      <c r="M725" s="14">
        <f t="shared" si="35"/>
        <v>45748</v>
      </c>
    </row>
    <row r="726" spans="1:13" x14ac:dyDescent="0.35">
      <c r="A726" t="s">
        <v>855</v>
      </c>
      <c r="B726" s="2">
        <v>45740</v>
      </c>
      <c r="C726" t="s">
        <v>253</v>
      </c>
      <c r="D726" t="s">
        <v>99</v>
      </c>
      <c r="E726" t="s">
        <v>18</v>
      </c>
      <c r="F726" t="s">
        <v>50</v>
      </c>
      <c r="G726">
        <v>1</v>
      </c>
      <c r="H726">
        <v>0</v>
      </c>
      <c r="I726">
        <v>190</v>
      </c>
      <c r="J726">
        <v>33.880000000000003</v>
      </c>
      <c r="K726" t="str">
        <f t="shared" si="33"/>
        <v>Furniture</v>
      </c>
      <c r="L726" t="str">
        <f t="shared" si="34"/>
        <v>Mar-2025</v>
      </c>
      <c r="M726" s="14">
        <f t="shared" si="35"/>
        <v>45717</v>
      </c>
    </row>
    <row r="727" spans="1:13" x14ac:dyDescent="0.35">
      <c r="A727" t="s">
        <v>856</v>
      </c>
      <c r="B727" s="2">
        <v>45703</v>
      </c>
      <c r="C727" t="s">
        <v>185</v>
      </c>
      <c r="D727" t="s">
        <v>12</v>
      </c>
      <c r="E727" t="s">
        <v>13</v>
      </c>
      <c r="F727" t="s">
        <v>14</v>
      </c>
      <c r="G727">
        <v>3</v>
      </c>
      <c r="H727">
        <v>0.05</v>
      </c>
      <c r="I727">
        <v>99.75</v>
      </c>
      <c r="J727">
        <v>32.68</v>
      </c>
      <c r="K727" t="str">
        <f t="shared" si="33"/>
        <v>Technology</v>
      </c>
      <c r="L727" t="str">
        <f t="shared" si="34"/>
        <v>Feb-2025</v>
      </c>
      <c r="M727" s="14">
        <f t="shared" si="35"/>
        <v>45689</v>
      </c>
    </row>
    <row r="728" spans="1:13" x14ac:dyDescent="0.35">
      <c r="A728" t="s">
        <v>857</v>
      </c>
      <c r="B728" s="2">
        <v>45854</v>
      </c>
      <c r="C728" t="s">
        <v>202</v>
      </c>
      <c r="D728" t="s">
        <v>99</v>
      </c>
      <c r="E728" t="s">
        <v>18</v>
      </c>
      <c r="F728" t="s">
        <v>14</v>
      </c>
      <c r="G728">
        <v>5</v>
      </c>
      <c r="H728">
        <v>0.2</v>
      </c>
      <c r="I728">
        <v>760</v>
      </c>
      <c r="J728">
        <v>270.14999999999998</v>
      </c>
      <c r="K728" t="str">
        <f t="shared" si="33"/>
        <v>Furniture</v>
      </c>
      <c r="L728" t="str">
        <f t="shared" si="34"/>
        <v>Jul-2025</v>
      </c>
      <c r="M728" s="14">
        <f t="shared" si="35"/>
        <v>45839</v>
      </c>
    </row>
    <row r="729" spans="1:13" x14ac:dyDescent="0.35">
      <c r="A729" t="s">
        <v>858</v>
      </c>
      <c r="B729" s="2">
        <v>45747</v>
      </c>
      <c r="C729" t="s">
        <v>145</v>
      </c>
      <c r="D729" t="s">
        <v>38</v>
      </c>
      <c r="E729" t="s">
        <v>13</v>
      </c>
      <c r="F729" t="s">
        <v>25</v>
      </c>
      <c r="G729">
        <v>4</v>
      </c>
      <c r="H729">
        <v>0.15</v>
      </c>
      <c r="I729">
        <v>1088</v>
      </c>
      <c r="J729">
        <v>485.75</v>
      </c>
      <c r="K729" t="str">
        <f t="shared" si="33"/>
        <v>Technology</v>
      </c>
      <c r="L729" t="str">
        <f t="shared" si="34"/>
        <v>Mar-2025</v>
      </c>
      <c r="M729" s="14">
        <f t="shared" si="35"/>
        <v>45717</v>
      </c>
    </row>
    <row r="730" spans="1:13" x14ac:dyDescent="0.35">
      <c r="A730" t="s">
        <v>859</v>
      </c>
      <c r="B730" s="2">
        <v>45757</v>
      </c>
      <c r="C730" t="s">
        <v>37</v>
      </c>
      <c r="D730" t="s">
        <v>67</v>
      </c>
      <c r="E730" t="s">
        <v>13</v>
      </c>
      <c r="F730" t="s">
        <v>22</v>
      </c>
      <c r="G730">
        <v>5</v>
      </c>
      <c r="H730">
        <v>0.2</v>
      </c>
      <c r="I730">
        <v>4800</v>
      </c>
      <c r="J730">
        <v>1342.95</v>
      </c>
      <c r="K730" t="str">
        <f t="shared" si="33"/>
        <v>Technology</v>
      </c>
      <c r="L730" t="str">
        <f t="shared" si="34"/>
        <v>Apr-2025</v>
      </c>
      <c r="M730" s="14">
        <f t="shared" si="35"/>
        <v>45748</v>
      </c>
    </row>
    <row r="731" spans="1:13" x14ac:dyDescent="0.35">
      <c r="A731" t="s">
        <v>860</v>
      </c>
      <c r="B731" s="2">
        <v>46003</v>
      </c>
      <c r="C731" t="s">
        <v>273</v>
      </c>
      <c r="D731" t="s">
        <v>67</v>
      </c>
      <c r="E731" t="s">
        <v>13</v>
      </c>
      <c r="F731" t="s">
        <v>14</v>
      </c>
      <c r="G731">
        <v>3</v>
      </c>
      <c r="H731">
        <v>0.05</v>
      </c>
      <c r="I731">
        <v>3420</v>
      </c>
      <c r="J731">
        <v>799.75</v>
      </c>
      <c r="K731" t="str">
        <f t="shared" si="33"/>
        <v>Technology</v>
      </c>
      <c r="L731" t="str">
        <f t="shared" si="34"/>
        <v>Dec-2025</v>
      </c>
      <c r="M731" s="14">
        <f t="shared" si="35"/>
        <v>45992</v>
      </c>
    </row>
    <row r="732" spans="1:13" x14ac:dyDescent="0.35">
      <c r="A732" t="s">
        <v>861</v>
      </c>
      <c r="B732" s="2">
        <v>45799</v>
      </c>
      <c r="C732" t="s">
        <v>181</v>
      </c>
      <c r="D732" t="s">
        <v>99</v>
      </c>
      <c r="E732" t="s">
        <v>18</v>
      </c>
      <c r="F732" t="s">
        <v>14</v>
      </c>
      <c r="G732">
        <v>3</v>
      </c>
      <c r="H732">
        <v>0.15</v>
      </c>
      <c r="I732">
        <v>484.5</v>
      </c>
      <c r="J732">
        <v>153.19999999999999</v>
      </c>
      <c r="K732" t="str">
        <f t="shared" si="33"/>
        <v>Furniture</v>
      </c>
      <c r="L732" t="str">
        <f t="shared" si="34"/>
        <v>May-2025</v>
      </c>
      <c r="M732" s="14">
        <f t="shared" si="35"/>
        <v>45778</v>
      </c>
    </row>
    <row r="733" spans="1:13" x14ac:dyDescent="0.35">
      <c r="A733" t="s">
        <v>862</v>
      </c>
      <c r="B733" s="2">
        <v>46018</v>
      </c>
      <c r="C733" t="s">
        <v>20</v>
      </c>
      <c r="D733" t="s">
        <v>12</v>
      </c>
      <c r="E733" t="s">
        <v>13</v>
      </c>
      <c r="F733" t="s">
        <v>25</v>
      </c>
      <c r="G733">
        <v>1</v>
      </c>
      <c r="H733">
        <v>0.2</v>
      </c>
      <c r="I733">
        <v>28</v>
      </c>
      <c r="J733">
        <v>9.9700000000000006</v>
      </c>
      <c r="K733" t="str">
        <f t="shared" si="33"/>
        <v>Technology</v>
      </c>
      <c r="L733" t="str">
        <f t="shared" si="34"/>
        <v>Dec-2025</v>
      </c>
      <c r="M733" s="14">
        <f t="shared" si="35"/>
        <v>45992</v>
      </c>
    </row>
    <row r="734" spans="1:13" x14ac:dyDescent="0.35">
      <c r="A734" t="s">
        <v>863</v>
      </c>
      <c r="B734" s="2">
        <v>45835</v>
      </c>
      <c r="C734" t="s">
        <v>101</v>
      </c>
      <c r="D734" t="s">
        <v>35</v>
      </c>
      <c r="E734" t="s">
        <v>13</v>
      </c>
      <c r="F734" t="s">
        <v>50</v>
      </c>
      <c r="G734">
        <v>2</v>
      </c>
      <c r="H734">
        <v>0.2</v>
      </c>
      <c r="I734">
        <v>1360</v>
      </c>
      <c r="J734">
        <v>179.78</v>
      </c>
      <c r="K734" t="str">
        <f t="shared" si="33"/>
        <v>Technology</v>
      </c>
      <c r="L734" t="str">
        <f t="shared" si="34"/>
        <v>Jun-2025</v>
      </c>
      <c r="M734" s="14">
        <f t="shared" si="35"/>
        <v>45809</v>
      </c>
    </row>
    <row r="735" spans="1:13" x14ac:dyDescent="0.35">
      <c r="A735" t="s">
        <v>864</v>
      </c>
      <c r="B735" s="2">
        <v>45952</v>
      </c>
      <c r="C735" t="s">
        <v>122</v>
      </c>
      <c r="D735" t="s">
        <v>67</v>
      </c>
      <c r="E735" t="s">
        <v>13</v>
      </c>
      <c r="F735" t="s">
        <v>14</v>
      </c>
      <c r="G735">
        <v>3</v>
      </c>
      <c r="H735">
        <v>0.05</v>
      </c>
      <c r="I735">
        <v>3420</v>
      </c>
      <c r="J735">
        <v>1079.51</v>
      </c>
      <c r="K735" t="str">
        <f t="shared" si="33"/>
        <v>Technology</v>
      </c>
      <c r="L735" t="str">
        <f t="shared" si="34"/>
        <v>Oct-2025</v>
      </c>
      <c r="M735" s="14">
        <f t="shared" si="35"/>
        <v>45931</v>
      </c>
    </row>
    <row r="736" spans="1:13" x14ac:dyDescent="0.35">
      <c r="A736" t="s">
        <v>865</v>
      </c>
      <c r="B736" s="2">
        <v>45915</v>
      </c>
      <c r="C736" t="s">
        <v>210</v>
      </c>
      <c r="D736" t="s">
        <v>35</v>
      </c>
      <c r="E736" t="s">
        <v>13</v>
      </c>
      <c r="F736" t="s">
        <v>25</v>
      </c>
      <c r="G736">
        <v>3</v>
      </c>
      <c r="H736">
        <v>0</v>
      </c>
      <c r="I736">
        <v>2550</v>
      </c>
      <c r="J736">
        <v>471.82</v>
      </c>
      <c r="K736" t="str">
        <f t="shared" si="33"/>
        <v>Technology</v>
      </c>
      <c r="L736" t="str">
        <f t="shared" si="34"/>
        <v>Sept-2025</v>
      </c>
      <c r="M736" s="14">
        <f t="shared" si="35"/>
        <v>45901</v>
      </c>
    </row>
    <row r="737" spans="1:13" x14ac:dyDescent="0.35">
      <c r="A737" t="s">
        <v>866</v>
      </c>
      <c r="B737" s="2">
        <v>46013</v>
      </c>
      <c r="C737" t="s">
        <v>163</v>
      </c>
      <c r="D737" t="s">
        <v>45</v>
      </c>
      <c r="E737" t="s">
        <v>46</v>
      </c>
      <c r="F737" t="s">
        <v>25</v>
      </c>
      <c r="G737">
        <v>4</v>
      </c>
      <c r="H737">
        <v>0.2</v>
      </c>
      <c r="I737">
        <v>57.6</v>
      </c>
      <c r="J737">
        <v>16.73</v>
      </c>
      <c r="K737" t="str">
        <f t="shared" si="33"/>
        <v>Office Supplies</v>
      </c>
      <c r="L737" t="str">
        <f t="shared" si="34"/>
        <v>Dec-2025</v>
      </c>
      <c r="M737" s="14">
        <f t="shared" si="35"/>
        <v>45992</v>
      </c>
    </row>
    <row r="738" spans="1:13" x14ac:dyDescent="0.35">
      <c r="A738" t="s">
        <v>867</v>
      </c>
      <c r="B738" s="2">
        <v>45892</v>
      </c>
      <c r="C738" t="s">
        <v>641</v>
      </c>
      <c r="D738" t="s">
        <v>38</v>
      </c>
      <c r="E738" t="s">
        <v>13</v>
      </c>
      <c r="F738" t="s">
        <v>14</v>
      </c>
      <c r="G738">
        <v>4</v>
      </c>
      <c r="H738">
        <v>0.2</v>
      </c>
      <c r="I738">
        <v>1024</v>
      </c>
      <c r="J738">
        <v>169.51</v>
      </c>
      <c r="K738" t="str">
        <f t="shared" si="33"/>
        <v>Technology</v>
      </c>
      <c r="L738" t="str">
        <f t="shared" si="34"/>
        <v>Aug-2025</v>
      </c>
      <c r="M738" s="14">
        <f t="shared" si="35"/>
        <v>45870</v>
      </c>
    </row>
    <row r="739" spans="1:13" x14ac:dyDescent="0.35">
      <c r="A739" t="s">
        <v>868</v>
      </c>
      <c r="B739" s="2">
        <v>45790</v>
      </c>
      <c r="C739" t="s">
        <v>37</v>
      </c>
      <c r="D739" t="s">
        <v>12</v>
      </c>
      <c r="E739" t="s">
        <v>13</v>
      </c>
      <c r="F739" t="s">
        <v>25</v>
      </c>
      <c r="G739">
        <v>4</v>
      </c>
      <c r="H739">
        <v>0.05</v>
      </c>
      <c r="I739">
        <v>133</v>
      </c>
      <c r="J739">
        <v>30.14</v>
      </c>
      <c r="K739" t="str">
        <f t="shared" si="33"/>
        <v>Technology</v>
      </c>
      <c r="L739" t="str">
        <f t="shared" si="34"/>
        <v>May-2025</v>
      </c>
      <c r="M739" s="14">
        <f t="shared" si="35"/>
        <v>45778</v>
      </c>
    </row>
    <row r="740" spans="1:13" x14ac:dyDescent="0.35">
      <c r="A740" t="s">
        <v>869</v>
      </c>
      <c r="B740" s="2">
        <v>45869</v>
      </c>
      <c r="C740" t="s">
        <v>113</v>
      </c>
      <c r="D740" t="s">
        <v>49</v>
      </c>
      <c r="E740" t="s">
        <v>13</v>
      </c>
      <c r="F740" t="s">
        <v>22</v>
      </c>
      <c r="G740">
        <v>5</v>
      </c>
      <c r="H740">
        <v>0.2</v>
      </c>
      <c r="I740">
        <v>280</v>
      </c>
      <c r="J740">
        <v>125.1</v>
      </c>
      <c r="K740" t="str">
        <f t="shared" si="33"/>
        <v>Technology</v>
      </c>
      <c r="L740" t="str">
        <f t="shared" si="34"/>
        <v>Jul-2025</v>
      </c>
      <c r="M740" s="14">
        <f t="shared" si="35"/>
        <v>45839</v>
      </c>
    </row>
    <row r="741" spans="1:13" x14ac:dyDescent="0.35">
      <c r="A741" t="s">
        <v>870</v>
      </c>
      <c r="B741" s="2">
        <v>45805</v>
      </c>
      <c r="C741" t="s">
        <v>238</v>
      </c>
      <c r="D741" t="s">
        <v>12</v>
      </c>
      <c r="E741" t="s">
        <v>13</v>
      </c>
      <c r="F741" t="s">
        <v>50</v>
      </c>
      <c r="G741">
        <v>4</v>
      </c>
      <c r="H741">
        <v>0.1</v>
      </c>
      <c r="I741">
        <v>126</v>
      </c>
      <c r="J741">
        <v>53.54</v>
      </c>
      <c r="K741" t="str">
        <f t="shared" si="33"/>
        <v>Technology</v>
      </c>
      <c r="L741" t="str">
        <f t="shared" si="34"/>
        <v>May-2025</v>
      </c>
      <c r="M741" s="14">
        <f t="shared" si="35"/>
        <v>45778</v>
      </c>
    </row>
    <row r="742" spans="1:13" x14ac:dyDescent="0.35">
      <c r="A742" t="s">
        <v>871</v>
      </c>
      <c r="B742" s="2">
        <v>45818</v>
      </c>
      <c r="C742" t="s">
        <v>288</v>
      </c>
      <c r="D742" t="s">
        <v>49</v>
      </c>
      <c r="E742" t="s">
        <v>13</v>
      </c>
      <c r="F742" t="s">
        <v>22</v>
      </c>
      <c r="G742">
        <v>2</v>
      </c>
      <c r="H742">
        <v>0.2</v>
      </c>
      <c r="I742">
        <v>112</v>
      </c>
      <c r="J742">
        <v>40.450000000000003</v>
      </c>
      <c r="K742" t="str">
        <f t="shared" si="33"/>
        <v>Technology</v>
      </c>
      <c r="L742" t="str">
        <f t="shared" si="34"/>
        <v>Jun-2025</v>
      </c>
      <c r="M742" s="14">
        <f t="shared" si="35"/>
        <v>45809</v>
      </c>
    </row>
    <row r="743" spans="1:13" x14ac:dyDescent="0.35">
      <c r="A743" t="s">
        <v>872</v>
      </c>
      <c r="B743" s="2">
        <v>45913</v>
      </c>
      <c r="C743" t="s">
        <v>113</v>
      </c>
      <c r="D743" t="s">
        <v>17</v>
      </c>
      <c r="E743" t="s">
        <v>18</v>
      </c>
      <c r="F743" t="s">
        <v>22</v>
      </c>
      <c r="G743">
        <v>2</v>
      </c>
      <c r="H743">
        <v>0.05</v>
      </c>
      <c r="I743">
        <v>399</v>
      </c>
      <c r="J743">
        <v>82.72</v>
      </c>
      <c r="K743" t="str">
        <f t="shared" si="33"/>
        <v>Furniture</v>
      </c>
      <c r="L743" t="str">
        <f t="shared" si="34"/>
        <v>Sept-2025</v>
      </c>
      <c r="M743" s="14">
        <f t="shared" si="35"/>
        <v>45901</v>
      </c>
    </row>
    <row r="744" spans="1:13" x14ac:dyDescent="0.35">
      <c r="A744" t="s">
        <v>873</v>
      </c>
      <c r="B744" s="2">
        <v>45775</v>
      </c>
      <c r="C744" t="s">
        <v>387</v>
      </c>
      <c r="D744" t="s">
        <v>21</v>
      </c>
      <c r="E744" t="s">
        <v>18</v>
      </c>
      <c r="F744" t="s">
        <v>14</v>
      </c>
      <c r="G744">
        <v>2</v>
      </c>
      <c r="H744">
        <v>0.2</v>
      </c>
      <c r="I744">
        <v>88</v>
      </c>
      <c r="J744">
        <v>29.26</v>
      </c>
      <c r="K744" t="str">
        <f t="shared" si="33"/>
        <v>Furniture</v>
      </c>
      <c r="L744" t="str">
        <f t="shared" si="34"/>
        <v>Apr-2025</v>
      </c>
      <c r="M744" s="14">
        <f t="shared" si="35"/>
        <v>45748</v>
      </c>
    </row>
    <row r="745" spans="1:13" x14ac:dyDescent="0.35">
      <c r="A745" t="s">
        <v>874</v>
      </c>
      <c r="B745" s="2">
        <v>45719</v>
      </c>
      <c r="C745" t="s">
        <v>119</v>
      </c>
      <c r="D745" t="s">
        <v>12</v>
      </c>
      <c r="E745" t="s">
        <v>13</v>
      </c>
      <c r="F745" t="s">
        <v>14</v>
      </c>
      <c r="G745">
        <v>4</v>
      </c>
      <c r="H745">
        <v>0.2</v>
      </c>
      <c r="I745">
        <v>112</v>
      </c>
      <c r="J745">
        <v>50.16</v>
      </c>
      <c r="K745" t="str">
        <f t="shared" si="33"/>
        <v>Technology</v>
      </c>
      <c r="L745" t="str">
        <f t="shared" si="34"/>
        <v>Mar-2025</v>
      </c>
      <c r="M745" s="14">
        <f t="shared" si="35"/>
        <v>45717</v>
      </c>
    </row>
    <row r="746" spans="1:13" x14ac:dyDescent="0.35">
      <c r="A746" t="s">
        <v>875</v>
      </c>
      <c r="B746" s="2">
        <v>45904</v>
      </c>
      <c r="C746" t="s">
        <v>219</v>
      </c>
      <c r="D746" t="s">
        <v>49</v>
      </c>
      <c r="E746" t="s">
        <v>13</v>
      </c>
      <c r="F746" t="s">
        <v>25</v>
      </c>
      <c r="G746">
        <v>5</v>
      </c>
      <c r="H746">
        <v>0.1</v>
      </c>
      <c r="I746">
        <v>315</v>
      </c>
      <c r="J746">
        <v>90.57</v>
      </c>
      <c r="K746" t="str">
        <f t="shared" si="33"/>
        <v>Technology</v>
      </c>
      <c r="L746" t="str">
        <f t="shared" si="34"/>
        <v>Sept-2025</v>
      </c>
      <c r="M746" s="14">
        <f t="shared" si="35"/>
        <v>45901</v>
      </c>
    </row>
    <row r="747" spans="1:13" x14ac:dyDescent="0.35">
      <c r="A747" t="s">
        <v>876</v>
      </c>
      <c r="B747" s="2">
        <v>45909</v>
      </c>
      <c r="C747" t="s">
        <v>57</v>
      </c>
      <c r="D747" t="s">
        <v>28</v>
      </c>
      <c r="E747" t="s">
        <v>18</v>
      </c>
      <c r="F747" t="s">
        <v>22</v>
      </c>
      <c r="G747">
        <v>5</v>
      </c>
      <c r="H747">
        <v>0.1</v>
      </c>
      <c r="I747">
        <v>1260</v>
      </c>
      <c r="J747">
        <v>401.56</v>
      </c>
      <c r="K747" t="str">
        <f t="shared" si="33"/>
        <v>Furniture</v>
      </c>
      <c r="L747" t="str">
        <f t="shared" si="34"/>
        <v>Sept-2025</v>
      </c>
      <c r="M747" s="14">
        <f t="shared" si="35"/>
        <v>45901</v>
      </c>
    </row>
    <row r="748" spans="1:13" x14ac:dyDescent="0.35">
      <c r="A748" t="s">
        <v>877</v>
      </c>
      <c r="B748" s="2">
        <v>45685</v>
      </c>
      <c r="C748" t="s">
        <v>16</v>
      </c>
      <c r="D748" t="s">
        <v>55</v>
      </c>
      <c r="E748" t="s">
        <v>46</v>
      </c>
      <c r="F748" t="s">
        <v>25</v>
      </c>
      <c r="G748">
        <v>4</v>
      </c>
      <c r="H748">
        <v>0.15</v>
      </c>
      <c r="I748">
        <v>816</v>
      </c>
      <c r="J748">
        <v>114.17</v>
      </c>
      <c r="K748" t="str">
        <f t="shared" si="33"/>
        <v>Office Supplies</v>
      </c>
      <c r="L748" t="str">
        <f t="shared" si="34"/>
        <v>Jan-2025</v>
      </c>
      <c r="M748" s="14">
        <f t="shared" si="35"/>
        <v>45658</v>
      </c>
    </row>
    <row r="749" spans="1:13" x14ac:dyDescent="0.35">
      <c r="A749" t="s">
        <v>878</v>
      </c>
      <c r="B749" s="2">
        <v>45859</v>
      </c>
      <c r="C749" t="s">
        <v>135</v>
      </c>
      <c r="D749" t="s">
        <v>38</v>
      </c>
      <c r="E749" t="s">
        <v>13</v>
      </c>
      <c r="F749" t="s">
        <v>50</v>
      </c>
      <c r="G749">
        <v>2</v>
      </c>
      <c r="H749">
        <v>0.15</v>
      </c>
      <c r="I749">
        <v>544</v>
      </c>
      <c r="J749">
        <v>69.5</v>
      </c>
      <c r="K749" t="str">
        <f t="shared" si="33"/>
        <v>Technology</v>
      </c>
      <c r="L749" t="str">
        <f t="shared" si="34"/>
        <v>Jul-2025</v>
      </c>
      <c r="M749" s="14">
        <f t="shared" si="35"/>
        <v>45839</v>
      </c>
    </row>
    <row r="750" spans="1:13" x14ac:dyDescent="0.35">
      <c r="A750" t="s">
        <v>879</v>
      </c>
      <c r="B750" s="2">
        <v>45819</v>
      </c>
      <c r="C750" t="s">
        <v>32</v>
      </c>
      <c r="D750" t="s">
        <v>17</v>
      </c>
      <c r="E750" t="s">
        <v>18</v>
      </c>
      <c r="F750" t="s">
        <v>14</v>
      </c>
      <c r="G750">
        <v>1</v>
      </c>
      <c r="H750">
        <v>0</v>
      </c>
      <c r="I750">
        <v>210</v>
      </c>
      <c r="J750">
        <v>47.78</v>
      </c>
      <c r="K750" t="str">
        <f t="shared" si="33"/>
        <v>Furniture</v>
      </c>
      <c r="L750" t="str">
        <f t="shared" si="34"/>
        <v>Jun-2025</v>
      </c>
      <c r="M750" s="14">
        <f t="shared" si="35"/>
        <v>45809</v>
      </c>
    </row>
    <row r="751" spans="1:13" x14ac:dyDescent="0.35">
      <c r="A751" t="s">
        <v>880</v>
      </c>
      <c r="B751" s="2">
        <v>45824</v>
      </c>
      <c r="C751" t="s">
        <v>113</v>
      </c>
      <c r="D751" t="s">
        <v>49</v>
      </c>
      <c r="E751" t="s">
        <v>13</v>
      </c>
      <c r="F751" t="s">
        <v>22</v>
      </c>
      <c r="G751">
        <v>5</v>
      </c>
      <c r="H751">
        <v>0.1</v>
      </c>
      <c r="I751">
        <v>315</v>
      </c>
      <c r="J751">
        <v>122.3</v>
      </c>
      <c r="K751" t="str">
        <f t="shared" si="33"/>
        <v>Technology</v>
      </c>
      <c r="L751" t="str">
        <f t="shared" si="34"/>
        <v>Jun-2025</v>
      </c>
      <c r="M751" s="14">
        <f t="shared" si="35"/>
        <v>45809</v>
      </c>
    </row>
    <row r="752" spans="1:13" x14ac:dyDescent="0.35">
      <c r="A752" t="s">
        <v>881</v>
      </c>
      <c r="B752" s="2">
        <v>45795</v>
      </c>
      <c r="C752" t="s">
        <v>243</v>
      </c>
      <c r="D752" t="s">
        <v>45</v>
      </c>
      <c r="E752" t="s">
        <v>46</v>
      </c>
      <c r="F752" t="s">
        <v>50</v>
      </c>
      <c r="G752">
        <v>5</v>
      </c>
      <c r="H752">
        <v>0.1</v>
      </c>
      <c r="I752">
        <v>81</v>
      </c>
      <c r="J752">
        <v>26.67</v>
      </c>
      <c r="K752" t="str">
        <f t="shared" si="33"/>
        <v>Office Supplies</v>
      </c>
      <c r="L752" t="str">
        <f t="shared" si="34"/>
        <v>May-2025</v>
      </c>
      <c r="M752" s="14">
        <f t="shared" si="35"/>
        <v>45778</v>
      </c>
    </row>
    <row r="753" spans="1:13" x14ac:dyDescent="0.35">
      <c r="A753" t="s">
        <v>882</v>
      </c>
      <c r="B753" s="2">
        <v>45765</v>
      </c>
      <c r="C753" t="s">
        <v>295</v>
      </c>
      <c r="D753" t="s">
        <v>99</v>
      </c>
      <c r="E753" t="s">
        <v>18</v>
      </c>
      <c r="F753" t="s">
        <v>50</v>
      </c>
      <c r="G753">
        <v>3</v>
      </c>
      <c r="H753">
        <v>0.1</v>
      </c>
      <c r="I753">
        <v>513</v>
      </c>
      <c r="J753">
        <v>86.22</v>
      </c>
      <c r="K753" t="str">
        <f t="shared" si="33"/>
        <v>Furniture</v>
      </c>
      <c r="L753" t="str">
        <f t="shared" si="34"/>
        <v>Apr-2025</v>
      </c>
      <c r="M753" s="14">
        <f t="shared" si="35"/>
        <v>45748</v>
      </c>
    </row>
    <row r="754" spans="1:13" x14ac:dyDescent="0.35">
      <c r="A754" t="s">
        <v>883</v>
      </c>
      <c r="B754" s="2">
        <v>45750</v>
      </c>
      <c r="C754" t="s">
        <v>733</v>
      </c>
      <c r="D754" t="s">
        <v>83</v>
      </c>
      <c r="E754" t="s">
        <v>46</v>
      </c>
      <c r="F754" t="s">
        <v>25</v>
      </c>
      <c r="G754">
        <v>2</v>
      </c>
      <c r="H754">
        <v>0.2</v>
      </c>
      <c r="I754">
        <v>40</v>
      </c>
      <c r="J754">
        <v>8.94</v>
      </c>
      <c r="K754" t="str">
        <f t="shared" si="33"/>
        <v>Office Supplies</v>
      </c>
      <c r="L754" t="str">
        <f t="shared" si="34"/>
        <v>Apr-2025</v>
      </c>
      <c r="M754" s="14">
        <f t="shared" si="35"/>
        <v>45748</v>
      </c>
    </row>
    <row r="755" spans="1:13" x14ac:dyDescent="0.35">
      <c r="A755" t="s">
        <v>884</v>
      </c>
      <c r="B755" s="2">
        <v>45778</v>
      </c>
      <c r="C755" t="s">
        <v>133</v>
      </c>
      <c r="D755" t="s">
        <v>55</v>
      </c>
      <c r="E755" t="s">
        <v>46</v>
      </c>
      <c r="F755" t="s">
        <v>22</v>
      </c>
      <c r="G755">
        <v>4</v>
      </c>
      <c r="H755">
        <v>0.15</v>
      </c>
      <c r="I755">
        <v>816</v>
      </c>
      <c r="J755">
        <v>314.39999999999998</v>
      </c>
      <c r="K755" t="str">
        <f t="shared" si="33"/>
        <v>Office Supplies</v>
      </c>
      <c r="L755" t="str">
        <f t="shared" si="34"/>
        <v>May-2025</v>
      </c>
      <c r="M755" s="14">
        <f t="shared" si="35"/>
        <v>45778</v>
      </c>
    </row>
    <row r="756" spans="1:13" x14ac:dyDescent="0.35">
      <c r="A756" t="s">
        <v>885</v>
      </c>
      <c r="B756" s="2">
        <v>45900</v>
      </c>
      <c r="C756" t="s">
        <v>189</v>
      </c>
      <c r="D756" t="s">
        <v>67</v>
      </c>
      <c r="E756" t="s">
        <v>13</v>
      </c>
      <c r="F756" t="s">
        <v>25</v>
      </c>
      <c r="G756">
        <v>2</v>
      </c>
      <c r="H756">
        <v>0.15</v>
      </c>
      <c r="I756">
        <v>2040</v>
      </c>
      <c r="J756">
        <v>581.66999999999996</v>
      </c>
      <c r="K756" t="str">
        <f t="shared" si="33"/>
        <v>Technology</v>
      </c>
      <c r="L756" t="str">
        <f t="shared" si="34"/>
        <v>Aug-2025</v>
      </c>
      <c r="M756" s="14">
        <f t="shared" si="35"/>
        <v>45870</v>
      </c>
    </row>
    <row r="757" spans="1:13" x14ac:dyDescent="0.35">
      <c r="A757" t="s">
        <v>886</v>
      </c>
      <c r="B757" s="2">
        <v>45907</v>
      </c>
      <c r="C757" t="s">
        <v>217</v>
      </c>
      <c r="D757" t="s">
        <v>35</v>
      </c>
      <c r="E757" t="s">
        <v>13</v>
      </c>
      <c r="F757" t="s">
        <v>50</v>
      </c>
      <c r="G757">
        <v>3</v>
      </c>
      <c r="H757">
        <v>0.2</v>
      </c>
      <c r="I757">
        <v>2040</v>
      </c>
      <c r="J757">
        <v>340.06</v>
      </c>
      <c r="K757" t="str">
        <f t="shared" si="33"/>
        <v>Technology</v>
      </c>
      <c r="L757" t="str">
        <f t="shared" si="34"/>
        <v>Sept-2025</v>
      </c>
      <c r="M757" s="14">
        <f t="shared" si="35"/>
        <v>45901</v>
      </c>
    </row>
    <row r="758" spans="1:13" x14ac:dyDescent="0.35">
      <c r="A758" t="s">
        <v>887</v>
      </c>
      <c r="B758" s="2">
        <v>45708</v>
      </c>
      <c r="C758" t="s">
        <v>210</v>
      </c>
      <c r="D758" t="s">
        <v>17</v>
      </c>
      <c r="E758" t="s">
        <v>18</v>
      </c>
      <c r="F758" t="s">
        <v>50</v>
      </c>
      <c r="G758">
        <v>2</v>
      </c>
      <c r="H758">
        <v>0</v>
      </c>
      <c r="I758">
        <v>420</v>
      </c>
      <c r="J758">
        <v>159.13999999999999</v>
      </c>
      <c r="K758" t="str">
        <f t="shared" si="33"/>
        <v>Furniture</v>
      </c>
      <c r="L758" t="str">
        <f t="shared" si="34"/>
        <v>Feb-2025</v>
      </c>
      <c r="M758" s="14">
        <f t="shared" si="35"/>
        <v>45689</v>
      </c>
    </row>
    <row r="759" spans="1:13" x14ac:dyDescent="0.35">
      <c r="A759" t="s">
        <v>888</v>
      </c>
      <c r="B759" s="2">
        <v>45980</v>
      </c>
      <c r="C759" t="s">
        <v>194</v>
      </c>
      <c r="D759" t="s">
        <v>12</v>
      </c>
      <c r="E759" t="s">
        <v>13</v>
      </c>
      <c r="F759" t="s">
        <v>25</v>
      </c>
      <c r="G759">
        <v>4</v>
      </c>
      <c r="H759">
        <v>0.1</v>
      </c>
      <c r="I759">
        <v>126</v>
      </c>
      <c r="J759">
        <v>45.9</v>
      </c>
      <c r="K759" t="str">
        <f t="shared" si="33"/>
        <v>Technology</v>
      </c>
      <c r="L759" t="str">
        <f t="shared" si="34"/>
        <v>Nov-2025</v>
      </c>
      <c r="M759" s="14">
        <f t="shared" si="35"/>
        <v>45962</v>
      </c>
    </row>
    <row r="760" spans="1:13" x14ac:dyDescent="0.35">
      <c r="A760" t="s">
        <v>889</v>
      </c>
      <c r="B760" s="2">
        <v>45834</v>
      </c>
      <c r="C760" t="s">
        <v>236</v>
      </c>
      <c r="D760" t="s">
        <v>67</v>
      </c>
      <c r="E760" t="s">
        <v>13</v>
      </c>
      <c r="F760" t="s">
        <v>22</v>
      </c>
      <c r="G760">
        <v>4</v>
      </c>
      <c r="H760">
        <v>0</v>
      </c>
      <c r="I760">
        <v>4800</v>
      </c>
      <c r="J760">
        <v>1603.87</v>
      </c>
      <c r="K760" t="str">
        <f t="shared" si="33"/>
        <v>Technology</v>
      </c>
      <c r="L760" t="str">
        <f t="shared" si="34"/>
        <v>Jun-2025</v>
      </c>
      <c r="M760" s="14">
        <f t="shared" si="35"/>
        <v>45809</v>
      </c>
    </row>
    <row r="761" spans="1:13" x14ac:dyDescent="0.35">
      <c r="A761" t="s">
        <v>890</v>
      </c>
      <c r="B761" s="2">
        <v>45953</v>
      </c>
      <c r="C761" t="s">
        <v>364</v>
      </c>
      <c r="D761" t="s">
        <v>83</v>
      </c>
      <c r="E761" t="s">
        <v>46</v>
      </c>
      <c r="F761" t="s">
        <v>25</v>
      </c>
      <c r="G761">
        <v>5</v>
      </c>
      <c r="H761">
        <v>0.05</v>
      </c>
      <c r="I761">
        <v>118.75</v>
      </c>
      <c r="J761">
        <v>15.06</v>
      </c>
      <c r="K761" t="str">
        <f t="shared" si="33"/>
        <v>Office Supplies</v>
      </c>
      <c r="L761" t="str">
        <f t="shared" si="34"/>
        <v>Oct-2025</v>
      </c>
      <c r="M761" s="14">
        <f t="shared" si="35"/>
        <v>45931</v>
      </c>
    </row>
    <row r="762" spans="1:13" x14ac:dyDescent="0.35">
      <c r="A762" t="s">
        <v>891</v>
      </c>
      <c r="B762" s="2">
        <v>45824</v>
      </c>
      <c r="C762" t="s">
        <v>483</v>
      </c>
      <c r="D762" t="s">
        <v>38</v>
      </c>
      <c r="E762" t="s">
        <v>13</v>
      </c>
      <c r="F762" t="s">
        <v>14</v>
      </c>
      <c r="G762">
        <v>5</v>
      </c>
      <c r="H762">
        <v>0.15</v>
      </c>
      <c r="I762">
        <v>1360</v>
      </c>
      <c r="J762">
        <v>264.29000000000002</v>
      </c>
      <c r="K762" t="str">
        <f t="shared" si="33"/>
        <v>Technology</v>
      </c>
      <c r="L762" t="str">
        <f t="shared" si="34"/>
        <v>Jun-2025</v>
      </c>
      <c r="M762" s="14">
        <f t="shared" si="35"/>
        <v>45809</v>
      </c>
    </row>
    <row r="763" spans="1:13" x14ac:dyDescent="0.35">
      <c r="A763" t="s">
        <v>892</v>
      </c>
      <c r="B763" s="2">
        <v>45853</v>
      </c>
      <c r="C763" t="s">
        <v>154</v>
      </c>
      <c r="D763" t="s">
        <v>83</v>
      </c>
      <c r="E763" t="s">
        <v>46</v>
      </c>
      <c r="F763" t="s">
        <v>22</v>
      </c>
      <c r="G763">
        <v>3</v>
      </c>
      <c r="H763">
        <v>0.15</v>
      </c>
      <c r="I763">
        <v>63.75</v>
      </c>
      <c r="J763">
        <v>15.4</v>
      </c>
      <c r="K763" t="str">
        <f t="shared" si="33"/>
        <v>Office Supplies</v>
      </c>
      <c r="L763" t="str">
        <f t="shared" si="34"/>
        <v>Jul-2025</v>
      </c>
      <c r="M763" s="14">
        <f t="shared" si="35"/>
        <v>45839</v>
      </c>
    </row>
    <row r="764" spans="1:13" x14ac:dyDescent="0.35">
      <c r="A764" t="s">
        <v>893</v>
      </c>
      <c r="B764" s="2">
        <v>45985</v>
      </c>
      <c r="C764" t="s">
        <v>128</v>
      </c>
      <c r="D764" t="s">
        <v>49</v>
      </c>
      <c r="E764" t="s">
        <v>13</v>
      </c>
      <c r="F764" t="s">
        <v>14</v>
      </c>
      <c r="G764">
        <v>4</v>
      </c>
      <c r="H764">
        <v>0.2</v>
      </c>
      <c r="I764">
        <v>224</v>
      </c>
      <c r="J764">
        <v>58.54</v>
      </c>
      <c r="K764" t="str">
        <f t="shared" si="33"/>
        <v>Technology</v>
      </c>
      <c r="L764" t="str">
        <f t="shared" si="34"/>
        <v>Nov-2025</v>
      </c>
      <c r="M764" s="14">
        <f t="shared" si="35"/>
        <v>45962</v>
      </c>
    </row>
    <row r="765" spans="1:13" x14ac:dyDescent="0.35">
      <c r="A765" t="s">
        <v>894</v>
      </c>
      <c r="B765" s="2">
        <v>45740</v>
      </c>
      <c r="C765" t="s">
        <v>103</v>
      </c>
      <c r="D765" t="s">
        <v>49</v>
      </c>
      <c r="E765" t="s">
        <v>13</v>
      </c>
      <c r="F765" t="s">
        <v>25</v>
      </c>
      <c r="G765">
        <v>2</v>
      </c>
      <c r="H765">
        <v>0.1</v>
      </c>
      <c r="I765">
        <v>126</v>
      </c>
      <c r="J765">
        <v>43.52</v>
      </c>
      <c r="K765" t="str">
        <f t="shared" si="33"/>
        <v>Technology</v>
      </c>
      <c r="L765" t="str">
        <f t="shared" si="34"/>
        <v>Mar-2025</v>
      </c>
      <c r="M765" s="14">
        <f t="shared" si="35"/>
        <v>45717</v>
      </c>
    </row>
    <row r="766" spans="1:13" x14ac:dyDescent="0.35">
      <c r="A766" t="s">
        <v>895</v>
      </c>
      <c r="B766" s="2">
        <v>45967</v>
      </c>
      <c r="C766" t="s">
        <v>387</v>
      </c>
      <c r="D766" t="s">
        <v>38</v>
      </c>
      <c r="E766" t="s">
        <v>13</v>
      </c>
      <c r="F766" t="s">
        <v>25</v>
      </c>
      <c r="G766">
        <v>4</v>
      </c>
      <c r="H766">
        <v>0.1</v>
      </c>
      <c r="I766">
        <v>1152</v>
      </c>
      <c r="J766">
        <v>180.94</v>
      </c>
      <c r="K766" t="str">
        <f t="shared" si="33"/>
        <v>Technology</v>
      </c>
      <c r="L766" t="str">
        <f t="shared" si="34"/>
        <v>Nov-2025</v>
      </c>
      <c r="M766" s="14">
        <f t="shared" si="35"/>
        <v>45962</v>
      </c>
    </row>
    <row r="767" spans="1:13" x14ac:dyDescent="0.35">
      <c r="A767" t="s">
        <v>896</v>
      </c>
      <c r="B767" s="2">
        <v>45958</v>
      </c>
      <c r="C767" t="s">
        <v>71</v>
      </c>
      <c r="D767" t="s">
        <v>55</v>
      </c>
      <c r="E767" t="s">
        <v>46</v>
      </c>
      <c r="F767" t="s">
        <v>22</v>
      </c>
      <c r="G767">
        <v>4</v>
      </c>
      <c r="H767">
        <v>0.15</v>
      </c>
      <c r="I767">
        <v>816</v>
      </c>
      <c r="J767">
        <v>322.14</v>
      </c>
      <c r="K767" t="str">
        <f t="shared" si="33"/>
        <v>Office Supplies</v>
      </c>
      <c r="L767" t="str">
        <f t="shared" si="34"/>
        <v>Oct-2025</v>
      </c>
      <c r="M767" s="14">
        <f t="shared" si="35"/>
        <v>45931</v>
      </c>
    </row>
    <row r="768" spans="1:13" x14ac:dyDescent="0.35">
      <c r="A768" t="s">
        <v>897</v>
      </c>
      <c r="B768" s="2">
        <v>45778</v>
      </c>
      <c r="C768" t="s">
        <v>286</v>
      </c>
      <c r="D768" t="s">
        <v>38</v>
      </c>
      <c r="E768" t="s">
        <v>13</v>
      </c>
      <c r="F768" t="s">
        <v>14</v>
      </c>
      <c r="G768">
        <v>3</v>
      </c>
      <c r="H768">
        <v>0</v>
      </c>
      <c r="I768">
        <v>960</v>
      </c>
      <c r="J768">
        <v>365.29</v>
      </c>
      <c r="K768" t="str">
        <f t="shared" si="33"/>
        <v>Technology</v>
      </c>
      <c r="L768" t="str">
        <f t="shared" si="34"/>
        <v>May-2025</v>
      </c>
      <c r="M768" s="14">
        <f t="shared" si="35"/>
        <v>45778</v>
      </c>
    </row>
    <row r="769" spans="1:13" x14ac:dyDescent="0.35">
      <c r="A769" t="s">
        <v>898</v>
      </c>
      <c r="B769" s="2">
        <v>45706</v>
      </c>
      <c r="C769" t="s">
        <v>158</v>
      </c>
      <c r="D769" t="s">
        <v>12</v>
      </c>
      <c r="E769" t="s">
        <v>13</v>
      </c>
      <c r="F769" t="s">
        <v>50</v>
      </c>
      <c r="G769">
        <v>4</v>
      </c>
      <c r="H769">
        <v>0.2</v>
      </c>
      <c r="I769">
        <v>112</v>
      </c>
      <c r="J769">
        <v>48.41</v>
      </c>
      <c r="K769" t="str">
        <f t="shared" si="33"/>
        <v>Technology</v>
      </c>
      <c r="L769" t="str">
        <f t="shared" si="34"/>
        <v>Feb-2025</v>
      </c>
      <c r="M769" s="14">
        <f t="shared" si="35"/>
        <v>45689</v>
      </c>
    </row>
    <row r="770" spans="1:13" x14ac:dyDescent="0.35">
      <c r="A770" t="s">
        <v>899</v>
      </c>
      <c r="B770" s="2">
        <v>45926</v>
      </c>
      <c r="C770" t="s">
        <v>167</v>
      </c>
      <c r="D770" t="s">
        <v>12</v>
      </c>
      <c r="E770" t="s">
        <v>13</v>
      </c>
      <c r="F770" t="s">
        <v>50</v>
      </c>
      <c r="G770">
        <v>1</v>
      </c>
      <c r="H770">
        <v>0.1</v>
      </c>
      <c r="I770">
        <v>31.5</v>
      </c>
      <c r="J770">
        <v>7.75</v>
      </c>
      <c r="K770" t="str">
        <f t="shared" ref="K770:K833" si="36">TRIM(E770)</f>
        <v>Technology</v>
      </c>
      <c r="L770" t="str">
        <f t="shared" si="34"/>
        <v>Sept-2025</v>
      </c>
      <c r="M770" s="14">
        <f t="shared" si="35"/>
        <v>45901</v>
      </c>
    </row>
    <row r="771" spans="1:13" x14ac:dyDescent="0.35">
      <c r="A771" t="s">
        <v>900</v>
      </c>
      <c r="B771" s="2">
        <v>45816</v>
      </c>
      <c r="C771" t="s">
        <v>115</v>
      </c>
      <c r="D771" t="s">
        <v>21</v>
      </c>
      <c r="E771" t="s">
        <v>18</v>
      </c>
      <c r="F771" t="s">
        <v>22</v>
      </c>
      <c r="G771">
        <v>2</v>
      </c>
      <c r="H771">
        <v>0.1</v>
      </c>
      <c r="I771">
        <v>99</v>
      </c>
      <c r="J771">
        <v>30.07</v>
      </c>
      <c r="K771" t="str">
        <f t="shared" si="36"/>
        <v>Furniture</v>
      </c>
      <c r="L771" t="str">
        <f t="shared" ref="L771:L834" si="37">TEXT(B771,"mmm-yyyy")</f>
        <v>Jun-2025</v>
      </c>
      <c r="M771" s="14">
        <f t="shared" ref="M771:M834" si="38">DATE(YEAR(B771),MONTH(B771),1)</f>
        <v>45809</v>
      </c>
    </row>
    <row r="772" spans="1:13" x14ac:dyDescent="0.35">
      <c r="A772" t="s">
        <v>901</v>
      </c>
      <c r="B772" s="2">
        <v>45927</v>
      </c>
      <c r="C772" t="s">
        <v>150</v>
      </c>
      <c r="D772" t="s">
        <v>28</v>
      </c>
      <c r="E772" t="s">
        <v>18</v>
      </c>
      <c r="F772" t="s">
        <v>50</v>
      </c>
      <c r="G772">
        <v>1</v>
      </c>
      <c r="H772">
        <v>0</v>
      </c>
      <c r="I772">
        <v>280</v>
      </c>
      <c r="J772">
        <v>64.69</v>
      </c>
      <c r="K772" t="str">
        <f t="shared" si="36"/>
        <v>Furniture</v>
      </c>
      <c r="L772" t="str">
        <f t="shared" si="37"/>
        <v>Sept-2025</v>
      </c>
      <c r="M772" s="14">
        <f t="shared" si="38"/>
        <v>45901</v>
      </c>
    </row>
    <row r="773" spans="1:13" x14ac:dyDescent="0.35">
      <c r="A773" t="s">
        <v>902</v>
      </c>
      <c r="B773" s="2">
        <v>45897</v>
      </c>
      <c r="C773" t="s">
        <v>135</v>
      </c>
      <c r="D773" t="s">
        <v>55</v>
      </c>
      <c r="E773" t="s">
        <v>46</v>
      </c>
      <c r="F773" t="s">
        <v>22</v>
      </c>
      <c r="G773">
        <v>3</v>
      </c>
      <c r="H773">
        <v>0.2</v>
      </c>
      <c r="I773">
        <v>576</v>
      </c>
      <c r="J773">
        <v>174.64</v>
      </c>
      <c r="K773" t="str">
        <f t="shared" si="36"/>
        <v>Office Supplies</v>
      </c>
      <c r="L773" t="str">
        <f t="shared" si="37"/>
        <v>Aug-2025</v>
      </c>
      <c r="M773" s="14">
        <f t="shared" si="38"/>
        <v>45870</v>
      </c>
    </row>
    <row r="774" spans="1:13" x14ac:dyDescent="0.35">
      <c r="A774" t="s">
        <v>903</v>
      </c>
      <c r="B774" s="2">
        <v>45960</v>
      </c>
      <c r="C774" t="s">
        <v>44</v>
      </c>
      <c r="D774" t="s">
        <v>83</v>
      </c>
      <c r="E774" t="s">
        <v>46</v>
      </c>
      <c r="F774" t="s">
        <v>25</v>
      </c>
      <c r="G774">
        <v>4</v>
      </c>
      <c r="H774">
        <v>0.2</v>
      </c>
      <c r="I774">
        <v>80</v>
      </c>
      <c r="J774">
        <v>24.52</v>
      </c>
      <c r="K774" t="str">
        <f t="shared" si="36"/>
        <v>Office Supplies</v>
      </c>
      <c r="L774" t="str">
        <f t="shared" si="37"/>
        <v>Oct-2025</v>
      </c>
      <c r="M774" s="14">
        <f t="shared" si="38"/>
        <v>45931</v>
      </c>
    </row>
    <row r="775" spans="1:13" x14ac:dyDescent="0.35">
      <c r="A775" t="s">
        <v>904</v>
      </c>
      <c r="B775" s="2">
        <v>45835</v>
      </c>
      <c r="C775" t="s">
        <v>342</v>
      </c>
      <c r="D775" t="s">
        <v>45</v>
      </c>
      <c r="E775" t="s">
        <v>46</v>
      </c>
      <c r="F775" t="s">
        <v>25</v>
      </c>
      <c r="G775">
        <v>5</v>
      </c>
      <c r="H775">
        <v>0.05</v>
      </c>
      <c r="I775">
        <v>85.5</v>
      </c>
      <c r="J775">
        <v>15.77</v>
      </c>
      <c r="K775" t="str">
        <f t="shared" si="36"/>
        <v>Office Supplies</v>
      </c>
      <c r="L775" t="str">
        <f t="shared" si="37"/>
        <v>Jun-2025</v>
      </c>
      <c r="M775" s="14">
        <f t="shared" si="38"/>
        <v>45809</v>
      </c>
    </row>
    <row r="776" spans="1:13" x14ac:dyDescent="0.35">
      <c r="A776" t="s">
        <v>905</v>
      </c>
      <c r="B776" s="2">
        <v>45845</v>
      </c>
      <c r="C776" t="s">
        <v>82</v>
      </c>
      <c r="D776" t="s">
        <v>99</v>
      </c>
      <c r="E776" t="s">
        <v>18</v>
      </c>
      <c r="F776" t="s">
        <v>22</v>
      </c>
      <c r="G776">
        <v>3</v>
      </c>
      <c r="H776">
        <v>0.05</v>
      </c>
      <c r="I776">
        <v>541.5</v>
      </c>
      <c r="J776">
        <v>189.43</v>
      </c>
      <c r="K776" t="str">
        <f t="shared" si="36"/>
        <v>Furniture</v>
      </c>
      <c r="L776" t="str">
        <f t="shared" si="37"/>
        <v>Jul-2025</v>
      </c>
      <c r="M776" s="14">
        <f t="shared" si="38"/>
        <v>45839</v>
      </c>
    </row>
    <row r="777" spans="1:13" x14ac:dyDescent="0.35">
      <c r="A777" t="s">
        <v>906</v>
      </c>
      <c r="B777" s="2">
        <v>45834</v>
      </c>
      <c r="C777" t="s">
        <v>206</v>
      </c>
      <c r="D777" t="s">
        <v>35</v>
      </c>
      <c r="E777" t="s">
        <v>13</v>
      </c>
      <c r="F777" t="s">
        <v>50</v>
      </c>
      <c r="G777">
        <v>4</v>
      </c>
      <c r="H777">
        <v>0.2</v>
      </c>
      <c r="I777">
        <v>2720</v>
      </c>
      <c r="J777">
        <v>1216.53</v>
      </c>
      <c r="K777" t="str">
        <f t="shared" si="36"/>
        <v>Technology</v>
      </c>
      <c r="L777" t="str">
        <f t="shared" si="37"/>
        <v>Jun-2025</v>
      </c>
      <c r="M777" s="14">
        <f t="shared" si="38"/>
        <v>45809</v>
      </c>
    </row>
    <row r="778" spans="1:13" x14ac:dyDescent="0.35">
      <c r="A778" t="s">
        <v>907</v>
      </c>
      <c r="B778" s="2">
        <v>45811</v>
      </c>
      <c r="C778" t="s">
        <v>82</v>
      </c>
      <c r="D778" t="s">
        <v>67</v>
      </c>
      <c r="E778" t="s">
        <v>13</v>
      </c>
      <c r="F778" t="s">
        <v>25</v>
      </c>
      <c r="G778">
        <v>4</v>
      </c>
      <c r="H778">
        <v>0.1</v>
      </c>
      <c r="I778">
        <v>4320</v>
      </c>
      <c r="J778">
        <v>1092.9100000000001</v>
      </c>
      <c r="K778" t="str">
        <f t="shared" si="36"/>
        <v>Technology</v>
      </c>
      <c r="L778" t="str">
        <f t="shared" si="37"/>
        <v>Jun-2025</v>
      </c>
      <c r="M778" s="14">
        <f t="shared" si="38"/>
        <v>45809</v>
      </c>
    </row>
    <row r="779" spans="1:13" x14ac:dyDescent="0.35">
      <c r="A779" t="s">
        <v>908</v>
      </c>
      <c r="B779" s="2">
        <v>45754</v>
      </c>
      <c r="C779" t="s">
        <v>273</v>
      </c>
      <c r="D779" t="s">
        <v>99</v>
      </c>
      <c r="E779" t="s">
        <v>18</v>
      </c>
      <c r="F779" t="s">
        <v>50</v>
      </c>
      <c r="G779">
        <v>5</v>
      </c>
      <c r="H779">
        <v>0.15</v>
      </c>
      <c r="I779">
        <v>807.5</v>
      </c>
      <c r="J779">
        <v>258.18</v>
      </c>
      <c r="K779" t="str">
        <f t="shared" si="36"/>
        <v>Furniture</v>
      </c>
      <c r="L779" t="str">
        <f t="shared" si="37"/>
        <v>Apr-2025</v>
      </c>
      <c r="M779" s="14">
        <f t="shared" si="38"/>
        <v>45748</v>
      </c>
    </row>
    <row r="780" spans="1:13" x14ac:dyDescent="0.35">
      <c r="A780" t="s">
        <v>909</v>
      </c>
      <c r="B780" s="2">
        <v>45851</v>
      </c>
      <c r="C780" t="s">
        <v>109</v>
      </c>
      <c r="D780" t="s">
        <v>21</v>
      </c>
      <c r="E780" t="s">
        <v>18</v>
      </c>
      <c r="F780" t="s">
        <v>25</v>
      </c>
      <c r="G780">
        <v>3</v>
      </c>
      <c r="H780">
        <v>0</v>
      </c>
      <c r="I780">
        <v>165</v>
      </c>
      <c r="J780">
        <v>51.26</v>
      </c>
      <c r="K780" t="str">
        <f t="shared" si="36"/>
        <v>Furniture</v>
      </c>
      <c r="L780" t="str">
        <f t="shared" si="37"/>
        <v>Jul-2025</v>
      </c>
      <c r="M780" s="14">
        <f t="shared" si="38"/>
        <v>45839</v>
      </c>
    </row>
    <row r="781" spans="1:13" x14ac:dyDescent="0.35">
      <c r="A781" t="s">
        <v>910</v>
      </c>
      <c r="B781" s="2">
        <v>45803</v>
      </c>
      <c r="C781" t="s">
        <v>80</v>
      </c>
      <c r="D781" t="s">
        <v>38</v>
      </c>
      <c r="E781" t="s">
        <v>13</v>
      </c>
      <c r="F781" t="s">
        <v>22</v>
      </c>
      <c r="G781">
        <v>5</v>
      </c>
      <c r="H781">
        <v>0.1</v>
      </c>
      <c r="I781">
        <v>1440</v>
      </c>
      <c r="J781">
        <v>451.79</v>
      </c>
      <c r="K781" t="str">
        <f t="shared" si="36"/>
        <v>Technology</v>
      </c>
      <c r="L781" t="str">
        <f t="shared" si="37"/>
        <v>May-2025</v>
      </c>
      <c r="M781" s="14">
        <f t="shared" si="38"/>
        <v>45778</v>
      </c>
    </row>
    <row r="782" spans="1:13" x14ac:dyDescent="0.35">
      <c r="A782" t="s">
        <v>911</v>
      </c>
      <c r="B782" s="2">
        <v>45727</v>
      </c>
      <c r="C782" t="s">
        <v>231</v>
      </c>
      <c r="D782" t="s">
        <v>35</v>
      </c>
      <c r="E782" t="s">
        <v>13</v>
      </c>
      <c r="F782" t="s">
        <v>50</v>
      </c>
      <c r="G782">
        <v>1</v>
      </c>
      <c r="H782">
        <v>0.15</v>
      </c>
      <c r="I782">
        <v>722.5</v>
      </c>
      <c r="J782">
        <v>177.84</v>
      </c>
      <c r="K782" t="str">
        <f t="shared" si="36"/>
        <v>Technology</v>
      </c>
      <c r="L782" t="str">
        <f t="shared" si="37"/>
        <v>Mar-2025</v>
      </c>
      <c r="M782" s="14">
        <f t="shared" si="38"/>
        <v>45717</v>
      </c>
    </row>
    <row r="783" spans="1:13" x14ac:dyDescent="0.35">
      <c r="A783" t="s">
        <v>912</v>
      </c>
      <c r="B783" s="2">
        <v>45754</v>
      </c>
      <c r="C783" t="s">
        <v>42</v>
      </c>
      <c r="D783" t="s">
        <v>49</v>
      </c>
      <c r="E783" t="s">
        <v>13</v>
      </c>
      <c r="F783" t="s">
        <v>14</v>
      </c>
      <c r="G783">
        <v>1</v>
      </c>
      <c r="H783">
        <v>0.05</v>
      </c>
      <c r="I783">
        <v>66.5</v>
      </c>
      <c r="J783">
        <v>28.84</v>
      </c>
      <c r="K783" t="str">
        <f t="shared" si="36"/>
        <v>Technology</v>
      </c>
      <c r="L783" t="str">
        <f t="shared" si="37"/>
        <v>Apr-2025</v>
      </c>
      <c r="M783" s="14">
        <f t="shared" si="38"/>
        <v>45748</v>
      </c>
    </row>
    <row r="784" spans="1:13" x14ac:dyDescent="0.35">
      <c r="A784" t="s">
        <v>913</v>
      </c>
      <c r="B784" s="2">
        <v>45753</v>
      </c>
      <c r="C784" t="s">
        <v>342</v>
      </c>
      <c r="D784" t="s">
        <v>12</v>
      </c>
      <c r="E784" t="s">
        <v>13</v>
      </c>
      <c r="F784" t="s">
        <v>14</v>
      </c>
      <c r="G784">
        <v>3</v>
      </c>
      <c r="H784">
        <v>0.1</v>
      </c>
      <c r="I784">
        <v>94.5</v>
      </c>
      <c r="J784">
        <v>38.630000000000003</v>
      </c>
      <c r="K784" t="str">
        <f t="shared" si="36"/>
        <v>Technology</v>
      </c>
      <c r="L784" t="str">
        <f t="shared" si="37"/>
        <v>Apr-2025</v>
      </c>
      <c r="M784" s="14">
        <f t="shared" si="38"/>
        <v>45748</v>
      </c>
    </row>
    <row r="785" spans="1:13" x14ac:dyDescent="0.35">
      <c r="A785" t="s">
        <v>914</v>
      </c>
      <c r="B785" s="2">
        <v>45777</v>
      </c>
      <c r="C785" t="s">
        <v>91</v>
      </c>
      <c r="D785" t="s">
        <v>12</v>
      </c>
      <c r="E785" t="s">
        <v>13</v>
      </c>
      <c r="F785" t="s">
        <v>50</v>
      </c>
      <c r="G785">
        <v>2</v>
      </c>
      <c r="H785">
        <v>0</v>
      </c>
      <c r="I785">
        <v>70</v>
      </c>
      <c r="J785">
        <v>20.100000000000001</v>
      </c>
      <c r="K785" t="str">
        <f t="shared" si="36"/>
        <v>Technology</v>
      </c>
      <c r="L785" t="str">
        <f t="shared" si="37"/>
        <v>Apr-2025</v>
      </c>
      <c r="M785" s="14">
        <f t="shared" si="38"/>
        <v>45748</v>
      </c>
    </row>
    <row r="786" spans="1:13" x14ac:dyDescent="0.35">
      <c r="A786" t="s">
        <v>915</v>
      </c>
      <c r="B786" s="2">
        <v>45817</v>
      </c>
      <c r="C786" t="s">
        <v>16</v>
      </c>
      <c r="D786" t="s">
        <v>45</v>
      </c>
      <c r="E786" t="s">
        <v>46</v>
      </c>
      <c r="F786" t="s">
        <v>25</v>
      </c>
      <c r="G786">
        <v>3</v>
      </c>
      <c r="H786">
        <v>0.15</v>
      </c>
      <c r="I786">
        <v>45.9</v>
      </c>
      <c r="J786">
        <v>10.1</v>
      </c>
      <c r="K786" t="str">
        <f t="shared" si="36"/>
        <v>Office Supplies</v>
      </c>
      <c r="L786" t="str">
        <f t="shared" si="37"/>
        <v>Jun-2025</v>
      </c>
      <c r="M786" s="14">
        <f t="shared" si="38"/>
        <v>45809</v>
      </c>
    </row>
    <row r="787" spans="1:13" x14ac:dyDescent="0.35">
      <c r="A787" t="s">
        <v>916</v>
      </c>
      <c r="B787" s="2">
        <v>45699</v>
      </c>
      <c r="C787" t="s">
        <v>128</v>
      </c>
      <c r="D787" t="s">
        <v>28</v>
      </c>
      <c r="E787" t="s">
        <v>18</v>
      </c>
      <c r="F787" t="s">
        <v>50</v>
      </c>
      <c r="G787">
        <v>1</v>
      </c>
      <c r="H787">
        <v>0.1</v>
      </c>
      <c r="I787">
        <v>252</v>
      </c>
      <c r="J787">
        <v>48.9</v>
      </c>
      <c r="K787" t="str">
        <f t="shared" si="36"/>
        <v>Furniture</v>
      </c>
      <c r="L787" t="str">
        <f t="shared" si="37"/>
        <v>Feb-2025</v>
      </c>
      <c r="M787" s="14">
        <f t="shared" si="38"/>
        <v>45689</v>
      </c>
    </row>
    <row r="788" spans="1:13" x14ac:dyDescent="0.35">
      <c r="A788" t="s">
        <v>917</v>
      </c>
      <c r="B788" s="2">
        <v>45750</v>
      </c>
      <c r="C788" t="s">
        <v>404</v>
      </c>
      <c r="D788" t="s">
        <v>21</v>
      </c>
      <c r="E788" t="s">
        <v>18</v>
      </c>
      <c r="F788" t="s">
        <v>22</v>
      </c>
      <c r="G788">
        <v>3</v>
      </c>
      <c r="H788">
        <v>0.15</v>
      </c>
      <c r="I788">
        <v>140.25</v>
      </c>
      <c r="J788">
        <v>24.78</v>
      </c>
      <c r="K788" t="str">
        <f t="shared" si="36"/>
        <v>Furniture</v>
      </c>
      <c r="L788" t="str">
        <f t="shared" si="37"/>
        <v>Apr-2025</v>
      </c>
      <c r="M788" s="14">
        <f t="shared" si="38"/>
        <v>45748</v>
      </c>
    </row>
    <row r="789" spans="1:13" x14ac:dyDescent="0.35">
      <c r="A789" t="s">
        <v>918</v>
      </c>
      <c r="B789" s="2">
        <v>45855</v>
      </c>
      <c r="C789" t="s">
        <v>133</v>
      </c>
      <c r="D789" t="s">
        <v>45</v>
      </c>
      <c r="E789" t="s">
        <v>46</v>
      </c>
      <c r="F789" t="s">
        <v>14</v>
      </c>
      <c r="G789">
        <v>2</v>
      </c>
      <c r="H789">
        <v>0</v>
      </c>
      <c r="I789">
        <v>36</v>
      </c>
      <c r="J789">
        <v>13.83</v>
      </c>
      <c r="K789" t="str">
        <f t="shared" si="36"/>
        <v>Office Supplies</v>
      </c>
      <c r="L789" t="str">
        <f t="shared" si="37"/>
        <v>Jul-2025</v>
      </c>
      <c r="M789" s="14">
        <f t="shared" si="38"/>
        <v>45839</v>
      </c>
    </row>
    <row r="790" spans="1:13" x14ac:dyDescent="0.35">
      <c r="A790" t="s">
        <v>919</v>
      </c>
      <c r="B790" s="2">
        <v>45924</v>
      </c>
      <c r="C790" t="s">
        <v>187</v>
      </c>
      <c r="D790" t="s">
        <v>38</v>
      </c>
      <c r="E790" t="s">
        <v>13</v>
      </c>
      <c r="F790" t="s">
        <v>25</v>
      </c>
      <c r="G790">
        <v>2</v>
      </c>
      <c r="H790">
        <v>0.15</v>
      </c>
      <c r="I790">
        <v>544</v>
      </c>
      <c r="J790">
        <v>174.94</v>
      </c>
      <c r="K790" t="str">
        <f t="shared" si="36"/>
        <v>Technology</v>
      </c>
      <c r="L790" t="str">
        <f t="shared" si="37"/>
        <v>Sept-2025</v>
      </c>
      <c r="M790" s="14">
        <f t="shared" si="38"/>
        <v>45901</v>
      </c>
    </row>
    <row r="791" spans="1:13" x14ac:dyDescent="0.35">
      <c r="A791" t="s">
        <v>920</v>
      </c>
      <c r="B791" s="2">
        <v>45739</v>
      </c>
      <c r="C791" t="s">
        <v>210</v>
      </c>
      <c r="D791" t="s">
        <v>38</v>
      </c>
      <c r="E791" t="s">
        <v>13</v>
      </c>
      <c r="F791" t="s">
        <v>50</v>
      </c>
      <c r="G791">
        <v>1</v>
      </c>
      <c r="H791">
        <v>0.2</v>
      </c>
      <c r="I791">
        <v>256</v>
      </c>
      <c r="J791">
        <v>71.19</v>
      </c>
      <c r="K791" t="str">
        <f t="shared" si="36"/>
        <v>Technology</v>
      </c>
      <c r="L791" t="str">
        <f t="shared" si="37"/>
        <v>Mar-2025</v>
      </c>
      <c r="M791" s="14">
        <f t="shared" si="38"/>
        <v>45717</v>
      </c>
    </row>
    <row r="792" spans="1:13" x14ac:dyDescent="0.35">
      <c r="A792" t="s">
        <v>921</v>
      </c>
      <c r="B792" s="2">
        <v>45984</v>
      </c>
      <c r="C792" t="s">
        <v>78</v>
      </c>
      <c r="D792" t="s">
        <v>35</v>
      </c>
      <c r="E792" t="s">
        <v>13</v>
      </c>
      <c r="F792" t="s">
        <v>22</v>
      </c>
      <c r="G792">
        <v>2</v>
      </c>
      <c r="H792">
        <v>0.1</v>
      </c>
      <c r="I792">
        <v>1530</v>
      </c>
      <c r="J792">
        <v>240.39</v>
      </c>
      <c r="K792" t="str">
        <f t="shared" si="36"/>
        <v>Technology</v>
      </c>
      <c r="L792" t="str">
        <f t="shared" si="37"/>
        <v>Nov-2025</v>
      </c>
      <c r="M792" s="14">
        <f t="shared" si="38"/>
        <v>45962</v>
      </c>
    </row>
    <row r="793" spans="1:13" x14ac:dyDescent="0.35">
      <c r="A793" t="s">
        <v>922</v>
      </c>
      <c r="B793" s="2">
        <v>45715</v>
      </c>
      <c r="C793" t="s">
        <v>295</v>
      </c>
      <c r="D793" t="s">
        <v>21</v>
      </c>
      <c r="E793" t="s">
        <v>18</v>
      </c>
      <c r="F793" t="s">
        <v>14</v>
      </c>
      <c r="G793">
        <v>4</v>
      </c>
      <c r="H793">
        <v>0.1</v>
      </c>
      <c r="I793">
        <v>198</v>
      </c>
      <c r="J793">
        <v>88.12</v>
      </c>
      <c r="K793" t="str">
        <f t="shared" si="36"/>
        <v>Furniture</v>
      </c>
      <c r="L793" t="str">
        <f t="shared" si="37"/>
        <v>Feb-2025</v>
      </c>
      <c r="M793" s="14">
        <f t="shared" si="38"/>
        <v>45689</v>
      </c>
    </row>
    <row r="794" spans="1:13" x14ac:dyDescent="0.35">
      <c r="A794" t="s">
        <v>923</v>
      </c>
      <c r="B794" s="2">
        <v>45860</v>
      </c>
      <c r="C794" t="s">
        <v>515</v>
      </c>
      <c r="D794" t="s">
        <v>21</v>
      </c>
      <c r="E794" t="s">
        <v>18</v>
      </c>
      <c r="F794" t="s">
        <v>50</v>
      </c>
      <c r="G794">
        <v>1</v>
      </c>
      <c r="H794">
        <v>0</v>
      </c>
      <c r="I794">
        <v>55</v>
      </c>
      <c r="J794">
        <v>14.2</v>
      </c>
      <c r="K794" t="str">
        <f t="shared" si="36"/>
        <v>Furniture</v>
      </c>
      <c r="L794" t="str">
        <f t="shared" si="37"/>
        <v>Jul-2025</v>
      </c>
      <c r="M794" s="14">
        <f t="shared" si="38"/>
        <v>45839</v>
      </c>
    </row>
    <row r="795" spans="1:13" x14ac:dyDescent="0.35">
      <c r="A795" t="s">
        <v>924</v>
      </c>
      <c r="B795" s="2">
        <v>46010</v>
      </c>
      <c r="C795" t="s">
        <v>163</v>
      </c>
      <c r="D795" t="s">
        <v>83</v>
      </c>
      <c r="E795" t="s">
        <v>46</v>
      </c>
      <c r="F795" t="s">
        <v>22</v>
      </c>
      <c r="G795">
        <v>2</v>
      </c>
      <c r="H795">
        <v>0.1</v>
      </c>
      <c r="I795">
        <v>45</v>
      </c>
      <c r="J795">
        <v>8.8000000000000007</v>
      </c>
      <c r="K795" t="str">
        <f t="shared" si="36"/>
        <v>Office Supplies</v>
      </c>
      <c r="L795" t="str">
        <f t="shared" si="37"/>
        <v>Dec-2025</v>
      </c>
      <c r="M795" s="14">
        <f t="shared" si="38"/>
        <v>45992</v>
      </c>
    </row>
    <row r="796" spans="1:13" x14ac:dyDescent="0.35">
      <c r="A796" t="s">
        <v>925</v>
      </c>
      <c r="B796" s="2">
        <v>45913</v>
      </c>
      <c r="C796" t="s">
        <v>213</v>
      </c>
      <c r="D796" t="s">
        <v>12</v>
      </c>
      <c r="E796" t="s">
        <v>13</v>
      </c>
      <c r="F796" t="s">
        <v>14</v>
      </c>
      <c r="G796">
        <v>5</v>
      </c>
      <c r="H796">
        <v>0.1</v>
      </c>
      <c r="I796">
        <v>157.5</v>
      </c>
      <c r="J796">
        <v>22.49</v>
      </c>
      <c r="K796" t="str">
        <f t="shared" si="36"/>
        <v>Technology</v>
      </c>
      <c r="L796" t="str">
        <f t="shared" si="37"/>
        <v>Sept-2025</v>
      </c>
      <c r="M796" s="14">
        <f t="shared" si="38"/>
        <v>45901</v>
      </c>
    </row>
    <row r="797" spans="1:13" x14ac:dyDescent="0.35">
      <c r="A797" t="s">
        <v>926</v>
      </c>
      <c r="B797" s="2">
        <v>45688</v>
      </c>
      <c r="C797" t="s">
        <v>115</v>
      </c>
      <c r="D797" t="s">
        <v>49</v>
      </c>
      <c r="E797" t="s">
        <v>13</v>
      </c>
      <c r="F797" t="s">
        <v>50</v>
      </c>
      <c r="G797">
        <v>2</v>
      </c>
      <c r="H797">
        <v>0.2</v>
      </c>
      <c r="I797">
        <v>112</v>
      </c>
      <c r="J797">
        <v>21.15</v>
      </c>
      <c r="K797" t="str">
        <f t="shared" si="36"/>
        <v>Technology</v>
      </c>
      <c r="L797" t="str">
        <f t="shared" si="37"/>
        <v>Jan-2025</v>
      </c>
      <c r="M797" s="14">
        <f t="shared" si="38"/>
        <v>45658</v>
      </c>
    </row>
    <row r="798" spans="1:13" x14ac:dyDescent="0.35">
      <c r="A798" t="s">
        <v>927</v>
      </c>
      <c r="B798" s="2">
        <v>45777</v>
      </c>
      <c r="C798" t="s">
        <v>342</v>
      </c>
      <c r="D798" t="s">
        <v>49</v>
      </c>
      <c r="E798" t="s">
        <v>13</v>
      </c>
      <c r="F798" t="s">
        <v>22</v>
      </c>
      <c r="G798">
        <v>5</v>
      </c>
      <c r="H798">
        <v>0.1</v>
      </c>
      <c r="I798">
        <v>315</v>
      </c>
      <c r="J798">
        <v>58.02</v>
      </c>
      <c r="K798" t="str">
        <f t="shared" si="36"/>
        <v>Technology</v>
      </c>
      <c r="L798" t="str">
        <f t="shared" si="37"/>
        <v>Apr-2025</v>
      </c>
      <c r="M798" s="14">
        <f t="shared" si="38"/>
        <v>45748</v>
      </c>
    </row>
    <row r="799" spans="1:13" x14ac:dyDescent="0.35">
      <c r="A799" t="s">
        <v>928</v>
      </c>
      <c r="B799" s="2">
        <v>45668</v>
      </c>
      <c r="C799" t="s">
        <v>210</v>
      </c>
      <c r="D799" t="s">
        <v>17</v>
      </c>
      <c r="E799" t="s">
        <v>18</v>
      </c>
      <c r="F799" t="s">
        <v>14</v>
      </c>
      <c r="G799">
        <v>4</v>
      </c>
      <c r="H799">
        <v>0.1</v>
      </c>
      <c r="I799">
        <v>756</v>
      </c>
      <c r="J799">
        <v>159.47999999999999</v>
      </c>
      <c r="K799" t="str">
        <f t="shared" si="36"/>
        <v>Furniture</v>
      </c>
      <c r="L799" t="str">
        <f t="shared" si="37"/>
        <v>Jan-2025</v>
      </c>
      <c r="M799" s="14">
        <f t="shared" si="38"/>
        <v>45658</v>
      </c>
    </row>
    <row r="800" spans="1:13" x14ac:dyDescent="0.35">
      <c r="A800" t="s">
        <v>929</v>
      </c>
      <c r="B800" s="2">
        <v>45906</v>
      </c>
      <c r="C800" t="s">
        <v>135</v>
      </c>
      <c r="D800" t="s">
        <v>17</v>
      </c>
      <c r="E800" t="s">
        <v>18</v>
      </c>
      <c r="F800" t="s">
        <v>50</v>
      </c>
      <c r="G800">
        <v>4</v>
      </c>
      <c r="H800">
        <v>0.2</v>
      </c>
      <c r="I800">
        <v>672</v>
      </c>
      <c r="J800">
        <v>237.04</v>
      </c>
      <c r="K800" t="str">
        <f t="shared" si="36"/>
        <v>Furniture</v>
      </c>
      <c r="L800" t="str">
        <f t="shared" si="37"/>
        <v>Sept-2025</v>
      </c>
      <c r="M800" s="14">
        <f t="shared" si="38"/>
        <v>45901</v>
      </c>
    </row>
    <row r="801" spans="1:13" x14ac:dyDescent="0.35">
      <c r="A801" t="s">
        <v>930</v>
      </c>
      <c r="B801" s="2">
        <v>45755</v>
      </c>
      <c r="C801" t="s">
        <v>198</v>
      </c>
      <c r="D801" t="s">
        <v>83</v>
      </c>
      <c r="E801" t="s">
        <v>46</v>
      </c>
      <c r="F801" t="s">
        <v>50</v>
      </c>
      <c r="G801">
        <v>2</v>
      </c>
      <c r="H801">
        <v>0.2</v>
      </c>
      <c r="I801">
        <v>40</v>
      </c>
      <c r="J801">
        <v>13.41</v>
      </c>
      <c r="K801" t="str">
        <f t="shared" si="36"/>
        <v>Office Supplies</v>
      </c>
      <c r="L801" t="str">
        <f t="shared" si="37"/>
        <v>Apr-2025</v>
      </c>
      <c r="M801" s="14">
        <f t="shared" si="38"/>
        <v>45748</v>
      </c>
    </row>
    <row r="802" spans="1:13" x14ac:dyDescent="0.35">
      <c r="A802" t="s">
        <v>931</v>
      </c>
      <c r="B802" s="2">
        <v>45798</v>
      </c>
      <c r="C802" t="s">
        <v>251</v>
      </c>
      <c r="D802" t="s">
        <v>83</v>
      </c>
      <c r="E802" t="s">
        <v>46</v>
      </c>
      <c r="F802" t="s">
        <v>50</v>
      </c>
      <c r="G802">
        <v>5</v>
      </c>
      <c r="H802">
        <v>0.05</v>
      </c>
      <c r="I802">
        <v>118.75</v>
      </c>
      <c r="J802">
        <v>50.74</v>
      </c>
      <c r="K802" t="str">
        <f t="shared" si="36"/>
        <v>Office Supplies</v>
      </c>
      <c r="L802" t="str">
        <f t="shared" si="37"/>
        <v>May-2025</v>
      </c>
      <c r="M802" s="14">
        <f t="shared" si="38"/>
        <v>45778</v>
      </c>
    </row>
    <row r="803" spans="1:13" x14ac:dyDescent="0.35">
      <c r="A803" t="s">
        <v>932</v>
      </c>
      <c r="B803" s="2">
        <v>45809</v>
      </c>
      <c r="C803" t="s">
        <v>387</v>
      </c>
      <c r="D803" t="s">
        <v>35</v>
      </c>
      <c r="E803" t="s">
        <v>13</v>
      </c>
      <c r="F803" t="s">
        <v>50</v>
      </c>
      <c r="G803">
        <v>5</v>
      </c>
      <c r="H803">
        <v>0.1</v>
      </c>
      <c r="I803">
        <v>3825</v>
      </c>
      <c r="J803">
        <v>1148.0899999999999</v>
      </c>
      <c r="K803" t="str">
        <f t="shared" si="36"/>
        <v>Technology</v>
      </c>
      <c r="L803" t="str">
        <f t="shared" si="37"/>
        <v>Jun-2025</v>
      </c>
      <c r="M803" s="14">
        <f t="shared" si="38"/>
        <v>45809</v>
      </c>
    </row>
    <row r="804" spans="1:13" x14ac:dyDescent="0.35">
      <c r="A804" t="s">
        <v>933</v>
      </c>
      <c r="B804" s="2">
        <v>45752</v>
      </c>
      <c r="C804" t="s">
        <v>109</v>
      </c>
      <c r="D804" t="s">
        <v>67</v>
      </c>
      <c r="E804" t="s">
        <v>13</v>
      </c>
      <c r="F804" t="s">
        <v>25</v>
      </c>
      <c r="G804">
        <v>5</v>
      </c>
      <c r="H804">
        <v>0.1</v>
      </c>
      <c r="I804">
        <v>5400</v>
      </c>
      <c r="J804">
        <v>1047.1400000000001</v>
      </c>
      <c r="K804" t="str">
        <f t="shared" si="36"/>
        <v>Technology</v>
      </c>
      <c r="L804" t="str">
        <f t="shared" si="37"/>
        <v>Apr-2025</v>
      </c>
      <c r="M804" s="14">
        <f t="shared" si="38"/>
        <v>45748</v>
      </c>
    </row>
    <row r="805" spans="1:13" x14ac:dyDescent="0.35">
      <c r="A805" t="s">
        <v>934</v>
      </c>
      <c r="B805" s="2">
        <v>45690</v>
      </c>
      <c r="C805" t="s">
        <v>278</v>
      </c>
      <c r="D805" t="s">
        <v>38</v>
      </c>
      <c r="E805" t="s">
        <v>13</v>
      </c>
      <c r="F805" t="s">
        <v>50</v>
      </c>
      <c r="G805">
        <v>5</v>
      </c>
      <c r="H805">
        <v>0.15</v>
      </c>
      <c r="I805">
        <v>1360</v>
      </c>
      <c r="J805">
        <v>526.79</v>
      </c>
      <c r="K805" t="str">
        <f t="shared" si="36"/>
        <v>Technology</v>
      </c>
      <c r="L805" t="str">
        <f t="shared" si="37"/>
        <v>Feb-2025</v>
      </c>
      <c r="M805" s="14">
        <f t="shared" si="38"/>
        <v>45689</v>
      </c>
    </row>
    <row r="806" spans="1:13" x14ac:dyDescent="0.35">
      <c r="A806" t="s">
        <v>935</v>
      </c>
      <c r="B806" s="2">
        <v>45940</v>
      </c>
      <c r="C806" t="s">
        <v>192</v>
      </c>
      <c r="D806" t="s">
        <v>28</v>
      </c>
      <c r="E806" t="s">
        <v>18</v>
      </c>
      <c r="F806" t="s">
        <v>25</v>
      </c>
      <c r="G806">
        <v>5</v>
      </c>
      <c r="H806">
        <v>0.1</v>
      </c>
      <c r="I806">
        <v>1260</v>
      </c>
      <c r="J806">
        <v>432.86</v>
      </c>
      <c r="K806" t="str">
        <f t="shared" si="36"/>
        <v>Furniture</v>
      </c>
      <c r="L806" t="str">
        <f t="shared" si="37"/>
        <v>Oct-2025</v>
      </c>
      <c r="M806" s="14">
        <f t="shared" si="38"/>
        <v>45931</v>
      </c>
    </row>
    <row r="807" spans="1:13" x14ac:dyDescent="0.35">
      <c r="A807" t="s">
        <v>936</v>
      </c>
      <c r="B807" s="2">
        <v>45714</v>
      </c>
      <c r="C807" t="s">
        <v>115</v>
      </c>
      <c r="D807" t="s">
        <v>12</v>
      </c>
      <c r="E807" t="s">
        <v>13</v>
      </c>
      <c r="F807" t="s">
        <v>22</v>
      </c>
      <c r="G807">
        <v>5</v>
      </c>
      <c r="H807">
        <v>0</v>
      </c>
      <c r="I807">
        <v>175</v>
      </c>
      <c r="J807">
        <v>76.22</v>
      </c>
      <c r="K807" t="str">
        <f t="shared" si="36"/>
        <v>Technology</v>
      </c>
      <c r="L807" t="str">
        <f t="shared" si="37"/>
        <v>Feb-2025</v>
      </c>
      <c r="M807" s="14">
        <f t="shared" si="38"/>
        <v>45689</v>
      </c>
    </row>
    <row r="808" spans="1:13" x14ac:dyDescent="0.35">
      <c r="A808" t="s">
        <v>937</v>
      </c>
      <c r="B808" s="2">
        <v>45674</v>
      </c>
      <c r="C808" t="s">
        <v>16</v>
      </c>
      <c r="D808" t="s">
        <v>21</v>
      </c>
      <c r="E808" t="s">
        <v>18</v>
      </c>
      <c r="F808" t="s">
        <v>50</v>
      </c>
      <c r="G808">
        <v>1</v>
      </c>
      <c r="H808">
        <v>0.15</v>
      </c>
      <c r="I808">
        <v>46.75</v>
      </c>
      <c r="J808">
        <v>18.079999999999998</v>
      </c>
      <c r="K808" t="str">
        <f t="shared" si="36"/>
        <v>Furniture</v>
      </c>
      <c r="L808" t="str">
        <f t="shared" si="37"/>
        <v>Jan-2025</v>
      </c>
      <c r="M808" s="14">
        <f t="shared" si="38"/>
        <v>45658</v>
      </c>
    </row>
    <row r="809" spans="1:13" x14ac:dyDescent="0.35">
      <c r="A809" t="s">
        <v>938</v>
      </c>
      <c r="B809" s="2">
        <v>45994</v>
      </c>
      <c r="C809" t="s">
        <v>210</v>
      </c>
      <c r="D809" t="s">
        <v>45</v>
      </c>
      <c r="E809" t="s">
        <v>46</v>
      </c>
      <c r="F809" t="s">
        <v>14</v>
      </c>
      <c r="G809">
        <v>5</v>
      </c>
      <c r="H809">
        <v>0.2</v>
      </c>
      <c r="I809">
        <v>72</v>
      </c>
      <c r="J809">
        <v>15.74</v>
      </c>
      <c r="K809" t="str">
        <f t="shared" si="36"/>
        <v>Office Supplies</v>
      </c>
      <c r="L809" t="str">
        <f t="shared" si="37"/>
        <v>Dec-2025</v>
      </c>
      <c r="M809" s="14">
        <f t="shared" si="38"/>
        <v>45992</v>
      </c>
    </row>
    <row r="810" spans="1:13" x14ac:dyDescent="0.35">
      <c r="A810" t="s">
        <v>939</v>
      </c>
      <c r="B810" s="2">
        <v>45845</v>
      </c>
      <c r="C810" t="s">
        <v>124</v>
      </c>
      <c r="D810" t="s">
        <v>21</v>
      </c>
      <c r="E810" t="s">
        <v>18</v>
      </c>
      <c r="F810" t="s">
        <v>50</v>
      </c>
      <c r="G810">
        <v>5</v>
      </c>
      <c r="H810">
        <v>0</v>
      </c>
      <c r="I810">
        <v>275</v>
      </c>
      <c r="J810">
        <v>122.56</v>
      </c>
      <c r="K810" t="str">
        <f t="shared" si="36"/>
        <v>Furniture</v>
      </c>
      <c r="L810" t="str">
        <f t="shared" si="37"/>
        <v>Jul-2025</v>
      </c>
      <c r="M810" s="14">
        <f t="shared" si="38"/>
        <v>45839</v>
      </c>
    </row>
    <row r="811" spans="1:13" x14ac:dyDescent="0.35">
      <c r="A811" t="s">
        <v>940</v>
      </c>
      <c r="B811" s="2">
        <v>45698</v>
      </c>
      <c r="C811" t="s">
        <v>178</v>
      </c>
      <c r="D811" t="s">
        <v>45</v>
      </c>
      <c r="E811" t="s">
        <v>46</v>
      </c>
      <c r="F811" t="s">
        <v>25</v>
      </c>
      <c r="G811">
        <v>1</v>
      </c>
      <c r="H811">
        <v>0.1</v>
      </c>
      <c r="I811">
        <v>16.2</v>
      </c>
      <c r="J811">
        <v>4.3099999999999996</v>
      </c>
      <c r="K811" t="str">
        <f t="shared" si="36"/>
        <v>Office Supplies</v>
      </c>
      <c r="L811" t="str">
        <f t="shared" si="37"/>
        <v>Feb-2025</v>
      </c>
      <c r="M811" s="14">
        <f t="shared" si="38"/>
        <v>45689</v>
      </c>
    </row>
    <row r="812" spans="1:13" x14ac:dyDescent="0.35">
      <c r="A812" t="s">
        <v>941</v>
      </c>
      <c r="B812" s="2">
        <v>46020</v>
      </c>
      <c r="C812" t="s">
        <v>198</v>
      </c>
      <c r="D812" t="s">
        <v>67</v>
      </c>
      <c r="E812" t="s">
        <v>13</v>
      </c>
      <c r="F812" t="s">
        <v>14</v>
      </c>
      <c r="G812">
        <v>5</v>
      </c>
      <c r="H812">
        <v>0.1</v>
      </c>
      <c r="I812">
        <v>5400</v>
      </c>
      <c r="J812">
        <v>1487.28</v>
      </c>
      <c r="K812" t="str">
        <f t="shared" si="36"/>
        <v>Technology</v>
      </c>
      <c r="L812" t="str">
        <f t="shared" si="37"/>
        <v>Dec-2025</v>
      </c>
      <c r="M812" s="14">
        <f t="shared" si="38"/>
        <v>45992</v>
      </c>
    </row>
    <row r="813" spans="1:13" x14ac:dyDescent="0.35">
      <c r="A813" t="s">
        <v>942</v>
      </c>
      <c r="B813" s="2">
        <v>45813</v>
      </c>
      <c r="C813" t="s">
        <v>204</v>
      </c>
      <c r="D813" t="s">
        <v>12</v>
      </c>
      <c r="E813" t="s">
        <v>13</v>
      </c>
      <c r="F813" t="s">
        <v>22</v>
      </c>
      <c r="G813">
        <v>2</v>
      </c>
      <c r="H813">
        <v>0.2</v>
      </c>
      <c r="I813">
        <v>56</v>
      </c>
      <c r="J813">
        <v>23.41</v>
      </c>
      <c r="K813" t="str">
        <f t="shared" si="36"/>
        <v>Technology</v>
      </c>
      <c r="L813" t="str">
        <f t="shared" si="37"/>
        <v>Jun-2025</v>
      </c>
      <c r="M813" s="14">
        <f t="shared" si="38"/>
        <v>45809</v>
      </c>
    </row>
    <row r="814" spans="1:13" x14ac:dyDescent="0.35">
      <c r="A814" t="s">
        <v>943</v>
      </c>
      <c r="B814" s="2">
        <v>45930</v>
      </c>
      <c r="C814" t="s">
        <v>163</v>
      </c>
      <c r="D814" t="s">
        <v>99</v>
      </c>
      <c r="E814" t="s">
        <v>18</v>
      </c>
      <c r="F814" t="s">
        <v>22</v>
      </c>
      <c r="G814">
        <v>2</v>
      </c>
      <c r="H814">
        <v>0.05</v>
      </c>
      <c r="I814">
        <v>361</v>
      </c>
      <c r="J814">
        <v>99.76</v>
      </c>
      <c r="K814" t="str">
        <f t="shared" si="36"/>
        <v>Furniture</v>
      </c>
      <c r="L814" t="str">
        <f t="shared" si="37"/>
        <v>Sept-2025</v>
      </c>
      <c r="M814" s="14">
        <f t="shared" si="38"/>
        <v>45901</v>
      </c>
    </row>
    <row r="815" spans="1:13" x14ac:dyDescent="0.35">
      <c r="A815" t="s">
        <v>944</v>
      </c>
      <c r="B815" s="2">
        <v>45943</v>
      </c>
      <c r="C815" t="s">
        <v>158</v>
      </c>
      <c r="D815" t="s">
        <v>17</v>
      </c>
      <c r="E815" t="s">
        <v>18</v>
      </c>
      <c r="F815" t="s">
        <v>25</v>
      </c>
      <c r="G815">
        <v>5</v>
      </c>
      <c r="H815">
        <v>0.15</v>
      </c>
      <c r="I815">
        <v>892.5</v>
      </c>
      <c r="J815">
        <v>181.88</v>
      </c>
      <c r="K815" t="str">
        <f t="shared" si="36"/>
        <v>Furniture</v>
      </c>
      <c r="L815" t="str">
        <f t="shared" si="37"/>
        <v>Oct-2025</v>
      </c>
      <c r="M815" s="14">
        <f t="shared" si="38"/>
        <v>45931</v>
      </c>
    </row>
    <row r="816" spans="1:13" x14ac:dyDescent="0.35">
      <c r="A816" t="s">
        <v>945</v>
      </c>
      <c r="B816" s="2">
        <v>46003</v>
      </c>
      <c r="C816" t="s">
        <v>269</v>
      </c>
      <c r="D816" t="s">
        <v>45</v>
      </c>
      <c r="E816" t="s">
        <v>46</v>
      </c>
      <c r="F816" t="s">
        <v>50</v>
      </c>
      <c r="G816">
        <v>4</v>
      </c>
      <c r="H816">
        <v>0</v>
      </c>
      <c r="I816">
        <v>72</v>
      </c>
      <c r="J816">
        <v>28.44</v>
      </c>
      <c r="K816" t="str">
        <f t="shared" si="36"/>
        <v>Office Supplies</v>
      </c>
      <c r="L816" t="str">
        <f t="shared" si="37"/>
        <v>Dec-2025</v>
      </c>
      <c r="M816" s="14">
        <f t="shared" si="38"/>
        <v>45992</v>
      </c>
    </row>
    <row r="817" spans="1:13" x14ac:dyDescent="0.35">
      <c r="A817" t="s">
        <v>946</v>
      </c>
      <c r="B817" s="2">
        <v>45916</v>
      </c>
      <c r="C817" t="s">
        <v>342</v>
      </c>
      <c r="D817" t="s">
        <v>49</v>
      </c>
      <c r="E817" t="s">
        <v>13</v>
      </c>
      <c r="F817" t="s">
        <v>25</v>
      </c>
      <c r="G817">
        <v>2</v>
      </c>
      <c r="H817">
        <v>0.2</v>
      </c>
      <c r="I817">
        <v>112</v>
      </c>
      <c r="J817">
        <v>13.5</v>
      </c>
      <c r="K817" t="str">
        <f t="shared" si="36"/>
        <v>Technology</v>
      </c>
      <c r="L817" t="str">
        <f t="shared" si="37"/>
        <v>Sept-2025</v>
      </c>
      <c r="M817" s="14">
        <f t="shared" si="38"/>
        <v>45901</v>
      </c>
    </row>
    <row r="818" spans="1:13" x14ac:dyDescent="0.35">
      <c r="A818" t="s">
        <v>947</v>
      </c>
      <c r="B818" s="2">
        <v>45819</v>
      </c>
      <c r="C818" t="s">
        <v>44</v>
      </c>
      <c r="D818" t="s">
        <v>55</v>
      </c>
      <c r="E818" t="s">
        <v>46</v>
      </c>
      <c r="F818" t="s">
        <v>50</v>
      </c>
      <c r="G818">
        <v>3</v>
      </c>
      <c r="H818">
        <v>0.1</v>
      </c>
      <c r="I818">
        <v>648</v>
      </c>
      <c r="J818">
        <v>203.42</v>
      </c>
      <c r="K818" t="str">
        <f t="shared" si="36"/>
        <v>Office Supplies</v>
      </c>
      <c r="L818" t="str">
        <f t="shared" si="37"/>
        <v>Jun-2025</v>
      </c>
      <c r="M818" s="14">
        <f t="shared" si="38"/>
        <v>45809</v>
      </c>
    </row>
    <row r="819" spans="1:13" x14ac:dyDescent="0.35">
      <c r="A819" t="s">
        <v>948</v>
      </c>
      <c r="B819" s="2">
        <v>45823</v>
      </c>
      <c r="C819" t="s">
        <v>32</v>
      </c>
      <c r="D819" t="s">
        <v>83</v>
      </c>
      <c r="E819" t="s">
        <v>46</v>
      </c>
      <c r="F819" t="s">
        <v>25</v>
      </c>
      <c r="G819">
        <v>2</v>
      </c>
      <c r="H819">
        <v>0.2</v>
      </c>
      <c r="I819">
        <v>40</v>
      </c>
      <c r="J819">
        <v>10.8</v>
      </c>
      <c r="K819" t="str">
        <f t="shared" si="36"/>
        <v>Office Supplies</v>
      </c>
      <c r="L819" t="str">
        <f t="shared" si="37"/>
        <v>Jun-2025</v>
      </c>
      <c r="M819" s="14">
        <f t="shared" si="38"/>
        <v>45809</v>
      </c>
    </row>
    <row r="820" spans="1:13" x14ac:dyDescent="0.35">
      <c r="A820" t="s">
        <v>949</v>
      </c>
      <c r="B820" s="2">
        <v>45842</v>
      </c>
      <c r="C820" t="s">
        <v>16</v>
      </c>
      <c r="D820" t="s">
        <v>45</v>
      </c>
      <c r="E820" t="s">
        <v>46</v>
      </c>
      <c r="F820" t="s">
        <v>25</v>
      </c>
      <c r="G820">
        <v>4</v>
      </c>
      <c r="H820">
        <v>0.15</v>
      </c>
      <c r="I820">
        <v>61.2</v>
      </c>
      <c r="J820">
        <v>27.54</v>
      </c>
      <c r="K820" t="str">
        <f t="shared" si="36"/>
        <v>Office Supplies</v>
      </c>
      <c r="L820" t="str">
        <f t="shared" si="37"/>
        <v>Jul-2025</v>
      </c>
      <c r="M820" s="14">
        <f t="shared" si="38"/>
        <v>45839</v>
      </c>
    </row>
    <row r="821" spans="1:13" x14ac:dyDescent="0.35">
      <c r="A821" t="s">
        <v>950</v>
      </c>
      <c r="B821" s="2">
        <v>45963</v>
      </c>
      <c r="C821" t="s">
        <v>215</v>
      </c>
      <c r="D821" t="s">
        <v>67</v>
      </c>
      <c r="E821" t="s">
        <v>13</v>
      </c>
      <c r="F821" t="s">
        <v>14</v>
      </c>
      <c r="G821">
        <v>5</v>
      </c>
      <c r="H821">
        <v>0.05</v>
      </c>
      <c r="I821">
        <v>5700</v>
      </c>
      <c r="J821">
        <v>696.39</v>
      </c>
      <c r="K821" t="str">
        <f t="shared" si="36"/>
        <v>Technology</v>
      </c>
      <c r="L821" t="str">
        <f t="shared" si="37"/>
        <v>Nov-2025</v>
      </c>
      <c r="M821" s="14">
        <f t="shared" si="38"/>
        <v>45962</v>
      </c>
    </row>
    <row r="822" spans="1:13" x14ac:dyDescent="0.35">
      <c r="A822" t="s">
        <v>951</v>
      </c>
      <c r="B822" s="2">
        <v>45811</v>
      </c>
      <c r="C822" t="s">
        <v>515</v>
      </c>
      <c r="D822" t="s">
        <v>21</v>
      </c>
      <c r="E822" t="s">
        <v>18</v>
      </c>
      <c r="F822" t="s">
        <v>25</v>
      </c>
      <c r="G822">
        <v>2</v>
      </c>
      <c r="H822">
        <v>0.1</v>
      </c>
      <c r="I822">
        <v>99</v>
      </c>
      <c r="J822">
        <v>43.84</v>
      </c>
      <c r="K822" t="str">
        <f t="shared" si="36"/>
        <v>Furniture</v>
      </c>
      <c r="L822" t="str">
        <f t="shared" si="37"/>
        <v>Jun-2025</v>
      </c>
      <c r="M822" s="14">
        <f t="shared" si="38"/>
        <v>45809</v>
      </c>
    </row>
    <row r="823" spans="1:13" x14ac:dyDescent="0.35">
      <c r="A823" t="s">
        <v>952</v>
      </c>
      <c r="B823" s="2">
        <v>45941</v>
      </c>
      <c r="C823" t="s">
        <v>251</v>
      </c>
      <c r="D823" t="s">
        <v>55</v>
      </c>
      <c r="E823" t="s">
        <v>46</v>
      </c>
      <c r="F823" t="s">
        <v>14</v>
      </c>
      <c r="G823">
        <v>5</v>
      </c>
      <c r="H823">
        <v>0.2</v>
      </c>
      <c r="I823">
        <v>960</v>
      </c>
      <c r="J823">
        <v>138.66999999999999</v>
      </c>
      <c r="K823" t="str">
        <f t="shared" si="36"/>
        <v>Office Supplies</v>
      </c>
      <c r="L823" t="str">
        <f t="shared" si="37"/>
        <v>Oct-2025</v>
      </c>
      <c r="M823" s="14">
        <f t="shared" si="38"/>
        <v>45931</v>
      </c>
    </row>
    <row r="824" spans="1:13" x14ac:dyDescent="0.35">
      <c r="A824" t="s">
        <v>953</v>
      </c>
      <c r="B824" s="2">
        <v>45677</v>
      </c>
      <c r="C824" t="s">
        <v>194</v>
      </c>
      <c r="D824" t="s">
        <v>45</v>
      </c>
      <c r="E824" t="s">
        <v>46</v>
      </c>
      <c r="F824" t="s">
        <v>22</v>
      </c>
      <c r="G824">
        <v>3</v>
      </c>
      <c r="H824">
        <v>0.05</v>
      </c>
      <c r="I824">
        <v>51.3</v>
      </c>
      <c r="J824">
        <v>20.74</v>
      </c>
      <c r="K824" t="str">
        <f t="shared" si="36"/>
        <v>Office Supplies</v>
      </c>
      <c r="L824" t="str">
        <f t="shared" si="37"/>
        <v>Jan-2025</v>
      </c>
      <c r="M824" s="14">
        <f t="shared" si="38"/>
        <v>45658</v>
      </c>
    </row>
    <row r="825" spans="1:13" x14ac:dyDescent="0.35">
      <c r="A825" t="s">
        <v>954</v>
      </c>
      <c r="B825" s="2">
        <v>45777</v>
      </c>
      <c r="C825" t="s">
        <v>73</v>
      </c>
      <c r="D825" t="s">
        <v>35</v>
      </c>
      <c r="E825" t="s">
        <v>13</v>
      </c>
      <c r="F825" t="s">
        <v>22</v>
      </c>
      <c r="G825">
        <v>3</v>
      </c>
      <c r="H825">
        <v>0</v>
      </c>
      <c r="I825">
        <v>2550</v>
      </c>
      <c r="J825">
        <v>667.44</v>
      </c>
      <c r="K825" t="str">
        <f t="shared" si="36"/>
        <v>Technology</v>
      </c>
      <c r="L825" t="str">
        <f t="shared" si="37"/>
        <v>Apr-2025</v>
      </c>
      <c r="M825" s="14">
        <f t="shared" si="38"/>
        <v>45748</v>
      </c>
    </row>
    <row r="826" spans="1:13" x14ac:dyDescent="0.35">
      <c r="A826" t="s">
        <v>955</v>
      </c>
      <c r="B826" s="2">
        <v>45697</v>
      </c>
      <c r="C826" t="s">
        <v>515</v>
      </c>
      <c r="D826" t="s">
        <v>17</v>
      </c>
      <c r="E826" t="s">
        <v>18</v>
      </c>
      <c r="F826" t="s">
        <v>14</v>
      </c>
      <c r="G826">
        <v>3</v>
      </c>
      <c r="H826">
        <v>0.15</v>
      </c>
      <c r="I826">
        <v>535.5</v>
      </c>
      <c r="J826">
        <v>210.42</v>
      </c>
      <c r="K826" t="str">
        <f t="shared" si="36"/>
        <v>Furniture</v>
      </c>
      <c r="L826" t="str">
        <f t="shared" si="37"/>
        <v>Feb-2025</v>
      </c>
      <c r="M826" s="14">
        <f t="shared" si="38"/>
        <v>45689</v>
      </c>
    </row>
    <row r="827" spans="1:13" x14ac:dyDescent="0.35">
      <c r="A827" t="s">
        <v>956</v>
      </c>
      <c r="B827" s="2">
        <v>45962</v>
      </c>
      <c r="C827" t="s">
        <v>219</v>
      </c>
      <c r="D827" t="s">
        <v>38</v>
      </c>
      <c r="E827" t="s">
        <v>13</v>
      </c>
      <c r="F827" t="s">
        <v>50</v>
      </c>
      <c r="G827">
        <v>3</v>
      </c>
      <c r="H827">
        <v>0</v>
      </c>
      <c r="I827">
        <v>960</v>
      </c>
      <c r="J827">
        <v>200.49</v>
      </c>
      <c r="K827" t="str">
        <f t="shared" si="36"/>
        <v>Technology</v>
      </c>
      <c r="L827" t="str">
        <f t="shared" si="37"/>
        <v>Nov-2025</v>
      </c>
      <c r="M827" s="14">
        <f t="shared" si="38"/>
        <v>45962</v>
      </c>
    </row>
    <row r="828" spans="1:13" x14ac:dyDescent="0.35">
      <c r="A828" t="s">
        <v>957</v>
      </c>
      <c r="B828" s="2">
        <v>45698</v>
      </c>
      <c r="C828" t="s">
        <v>64</v>
      </c>
      <c r="D828" t="s">
        <v>67</v>
      </c>
      <c r="E828" t="s">
        <v>13</v>
      </c>
      <c r="F828" t="s">
        <v>50</v>
      </c>
      <c r="G828">
        <v>3</v>
      </c>
      <c r="H828">
        <v>0.1</v>
      </c>
      <c r="I828">
        <v>3240</v>
      </c>
      <c r="J828">
        <v>517.33000000000004</v>
      </c>
      <c r="K828" t="str">
        <f t="shared" si="36"/>
        <v>Technology</v>
      </c>
      <c r="L828" t="str">
        <f t="shared" si="37"/>
        <v>Feb-2025</v>
      </c>
      <c r="M828" s="14">
        <f t="shared" si="38"/>
        <v>45689</v>
      </c>
    </row>
    <row r="829" spans="1:13" x14ac:dyDescent="0.35">
      <c r="A829" t="s">
        <v>958</v>
      </c>
      <c r="B829" s="2">
        <v>45719</v>
      </c>
      <c r="C829" t="s">
        <v>189</v>
      </c>
      <c r="D829" t="s">
        <v>21</v>
      </c>
      <c r="E829" t="s">
        <v>18</v>
      </c>
      <c r="F829" t="s">
        <v>50</v>
      </c>
      <c r="G829">
        <v>5</v>
      </c>
      <c r="H829">
        <v>0</v>
      </c>
      <c r="I829">
        <v>275</v>
      </c>
      <c r="J829">
        <v>66.22</v>
      </c>
      <c r="K829" t="str">
        <f t="shared" si="36"/>
        <v>Furniture</v>
      </c>
      <c r="L829" t="str">
        <f t="shared" si="37"/>
        <v>Mar-2025</v>
      </c>
      <c r="M829" s="14">
        <f t="shared" si="38"/>
        <v>45717</v>
      </c>
    </row>
    <row r="830" spans="1:13" x14ac:dyDescent="0.35">
      <c r="A830" t="s">
        <v>959</v>
      </c>
      <c r="B830" s="2">
        <v>45685</v>
      </c>
      <c r="C830" t="s">
        <v>73</v>
      </c>
      <c r="D830" t="s">
        <v>35</v>
      </c>
      <c r="E830" t="s">
        <v>13</v>
      </c>
      <c r="F830" t="s">
        <v>22</v>
      </c>
      <c r="G830">
        <v>5</v>
      </c>
      <c r="H830">
        <v>0</v>
      </c>
      <c r="I830">
        <v>4250</v>
      </c>
      <c r="J830">
        <v>1464.66</v>
      </c>
      <c r="K830" t="str">
        <f t="shared" si="36"/>
        <v>Technology</v>
      </c>
      <c r="L830" t="str">
        <f t="shared" si="37"/>
        <v>Jan-2025</v>
      </c>
      <c r="M830" s="14">
        <f t="shared" si="38"/>
        <v>45658</v>
      </c>
    </row>
    <row r="831" spans="1:13" x14ac:dyDescent="0.35">
      <c r="A831" t="s">
        <v>960</v>
      </c>
      <c r="B831" s="2">
        <v>45825</v>
      </c>
      <c r="C831" t="s">
        <v>198</v>
      </c>
      <c r="D831" t="s">
        <v>55</v>
      </c>
      <c r="E831" t="s">
        <v>46</v>
      </c>
      <c r="F831" t="s">
        <v>50</v>
      </c>
      <c r="G831">
        <v>2</v>
      </c>
      <c r="H831">
        <v>0.05</v>
      </c>
      <c r="I831">
        <v>456</v>
      </c>
      <c r="J831">
        <v>197.6</v>
      </c>
      <c r="K831" t="str">
        <f t="shared" si="36"/>
        <v>Office Supplies</v>
      </c>
      <c r="L831" t="str">
        <f t="shared" si="37"/>
        <v>Jun-2025</v>
      </c>
      <c r="M831" s="14">
        <f t="shared" si="38"/>
        <v>45809</v>
      </c>
    </row>
    <row r="832" spans="1:13" x14ac:dyDescent="0.35">
      <c r="A832" t="s">
        <v>961</v>
      </c>
      <c r="B832" s="2">
        <v>45886</v>
      </c>
      <c r="C832" t="s">
        <v>64</v>
      </c>
      <c r="D832" t="s">
        <v>83</v>
      </c>
      <c r="E832" t="s">
        <v>46</v>
      </c>
      <c r="F832" t="s">
        <v>25</v>
      </c>
      <c r="G832">
        <v>5</v>
      </c>
      <c r="H832">
        <v>0.2</v>
      </c>
      <c r="I832">
        <v>100</v>
      </c>
      <c r="J832">
        <v>42.03</v>
      </c>
      <c r="K832" t="str">
        <f t="shared" si="36"/>
        <v>Office Supplies</v>
      </c>
      <c r="L832" t="str">
        <f t="shared" si="37"/>
        <v>Aug-2025</v>
      </c>
      <c r="M832" s="14">
        <f t="shared" si="38"/>
        <v>45870</v>
      </c>
    </row>
    <row r="833" spans="1:13" x14ac:dyDescent="0.35">
      <c r="A833" t="s">
        <v>962</v>
      </c>
      <c r="B833" s="2">
        <v>45859</v>
      </c>
      <c r="C833" t="s">
        <v>219</v>
      </c>
      <c r="D833" t="s">
        <v>28</v>
      </c>
      <c r="E833" t="s">
        <v>18</v>
      </c>
      <c r="F833" t="s">
        <v>14</v>
      </c>
      <c r="G833">
        <v>2</v>
      </c>
      <c r="H833">
        <v>0.1</v>
      </c>
      <c r="I833">
        <v>504</v>
      </c>
      <c r="J833">
        <v>213.07</v>
      </c>
      <c r="K833" t="str">
        <f t="shared" si="36"/>
        <v>Furniture</v>
      </c>
      <c r="L833" t="str">
        <f t="shared" si="37"/>
        <v>Jul-2025</v>
      </c>
      <c r="M833" s="14">
        <f t="shared" si="38"/>
        <v>45839</v>
      </c>
    </row>
    <row r="834" spans="1:13" x14ac:dyDescent="0.35">
      <c r="A834" t="s">
        <v>963</v>
      </c>
      <c r="B834" s="2">
        <v>45938</v>
      </c>
      <c r="C834" t="s">
        <v>64</v>
      </c>
      <c r="D834" t="s">
        <v>99</v>
      </c>
      <c r="E834" t="s">
        <v>18</v>
      </c>
      <c r="F834" t="s">
        <v>22</v>
      </c>
      <c r="G834">
        <v>3</v>
      </c>
      <c r="H834">
        <v>0</v>
      </c>
      <c r="I834">
        <v>570</v>
      </c>
      <c r="J834">
        <v>181.54</v>
      </c>
      <c r="K834" t="str">
        <f t="shared" ref="K834:K897" si="39">TRIM(E834)</f>
        <v>Furniture</v>
      </c>
      <c r="L834" t="str">
        <f t="shared" si="37"/>
        <v>Oct-2025</v>
      </c>
      <c r="M834" s="14">
        <f t="shared" si="38"/>
        <v>45931</v>
      </c>
    </row>
    <row r="835" spans="1:13" x14ac:dyDescent="0.35">
      <c r="A835" t="s">
        <v>964</v>
      </c>
      <c r="B835" s="2">
        <v>45727</v>
      </c>
      <c r="C835" t="s">
        <v>196</v>
      </c>
      <c r="D835" t="s">
        <v>45</v>
      </c>
      <c r="E835" t="s">
        <v>46</v>
      </c>
      <c r="F835" t="s">
        <v>22</v>
      </c>
      <c r="G835">
        <v>5</v>
      </c>
      <c r="H835">
        <v>0.05</v>
      </c>
      <c r="I835">
        <v>85.5</v>
      </c>
      <c r="J835">
        <v>24.71</v>
      </c>
      <c r="K835" t="str">
        <f t="shared" si="39"/>
        <v>Office Supplies</v>
      </c>
      <c r="L835" t="str">
        <f t="shared" ref="L835:L898" si="40">TEXT(B835,"mmm-yyyy")</f>
        <v>Mar-2025</v>
      </c>
      <c r="M835" s="14">
        <f t="shared" ref="M835:M898" si="41">DATE(YEAR(B835),MONTH(B835),1)</f>
        <v>45717</v>
      </c>
    </row>
    <row r="836" spans="1:13" x14ac:dyDescent="0.35">
      <c r="A836" t="s">
        <v>965</v>
      </c>
      <c r="B836" s="2">
        <v>45945</v>
      </c>
      <c r="C836" t="s">
        <v>231</v>
      </c>
      <c r="D836" t="s">
        <v>83</v>
      </c>
      <c r="E836" t="s">
        <v>46</v>
      </c>
      <c r="F836" t="s">
        <v>50</v>
      </c>
      <c r="G836">
        <v>5</v>
      </c>
      <c r="H836">
        <v>0.05</v>
      </c>
      <c r="I836">
        <v>118.75</v>
      </c>
      <c r="J836">
        <v>43.94</v>
      </c>
      <c r="K836" t="str">
        <f t="shared" si="39"/>
        <v>Office Supplies</v>
      </c>
      <c r="L836" t="str">
        <f t="shared" si="40"/>
        <v>Oct-2025</v>
      </c>
      <c r="M836" s="14">
        <f t="shared" si="41"/>
        <v>45931</v>
      </c>
    </row>
    <row r="837" spans="1:13" x14ac:dyDescent="0.35">
      <c r="A837" t="s">
        <v>966</v>
      </c>
      <c r="B837" s="2">
        <v>45823</v>
      </c>
      <c r="C837" t="s">
        <v>87</v>
      </c>
      <c r="D837" t="s">
        <v>38</v>
      </c>
      <c r="E837" t="s">
        <v>13</v>
      </c>
      <c r="F837" t="s">
        <v>50</v>
      </c>
      <c r="G837">
        <v>5</v>
      </c>
      <c r="H837">
        <v>0</v>
      </c>
      <c r="I837">
        <v>1600</v>
      </c>
      <c r="J837">
        <v>660.58</v>
      </c>
      <c r="K837" t="str">
        <f t="shared" si="39"/>
        <v>Technology</v>
      </c>
      <c r="L837" t="str">
        <f t="shared" si="40"/>
        <v>Jun-2025</v>
      </c>
      <c r="M837" s="14">
        <f t="shared" si="41"/>
        <v>45809</v>
      </c>
    </row>
    <row r="838" spans="1:13" x14ac:dyDescent="0.35">
      <c r="A838" t="s">
        <v>967</v>
      </c>
      <c r="B838" s="2">
        <v>45845</v>
      </c>
      <c r="C838" t="s">
        <v>196</v>
      </c>
      <c r="D838" t="s">
        <v>49</v>
      </c>
      <c r="E838" t="s">
        <v>13</v>
      </c>
      <c r="F838" t="s">
        <v>14</v>
      </c>
      <c r="G838">
        <v>2</v>
      </c>
      <c r="H838">
        <v>0.1</v>
      </c>
      <c r="I838">
        <v>126</v>
      </c>
      <c r="J838">
        <v>42.37</v>
      </c>
      <c r="K838" t="str">
        <f t="shared" si="39"/>
        <v>Technology</v>
      </c>
      <c r="L838" t="str">
        <f t="shared" si="40"/>
        <v>Jul-2025</v>
      </c>
      <c r="M838" s="14">
        <f t="shared" si="41"/>
        <v>45839</v>
      </c>
    </row>
    <row r="839" spans="1:13" x14ac:dyDescent="0.35">
      <c r="A839" t="s">
        <v>968</v>
      </c>
      <c r="B839" s="2">
        <v>45814</v>
      </c>
      <c r="C839" t="s">
        <v>342</v>
      </c>
      <c r="D839" t="s">
        <v>28</v>
      </c>
      <c r="E839" t="s">
        <v>18</v>
      </c>
      <c r="F839" t="s">
        <v>22</v>
      </c>
      <c r="G839">
        <v>3</v>
      </c>
      <c r="H839">
        <v>0.2</v>
      </c>
      <c r="I839">
        <v>672</v>
      </c>
      <c r="J839">
        <v>120.21</v>
      </c>
      <c r="K839" t="str">
        <f t="shared" si="39"/>
        <v>Furniture</v>
      </c>
      <c r="L839" t="str">
        <f t="shared" si="40"/>
        <v>Jun-2025</v>
      </c>
      <c r="M839" s="14">
        <f t="shared" si="41"/>
        <v>45809</v>
      </c>
    </row>
    <row r="840" spans="1:13" x14ac:dyDescent="0.35">
      <c r="A840" t="s">
        <v>969</v>
      </c>
      <c r="B840" s="2">
        <v>45883</v>
      </c>
      <c r="C840" t="s">
        <v>251</v>
      </c>
      <c r="D840" t="s">
        <v>67</v>
      </c>
      <c r="E840" t="s">
        <v>13</v>
      </c>
      <c r="F840" t="s">
        <v>14</v>
      </c>
      <c r="G840">
        <v>2</v>
      </c>
      <c r="H840">
        <v>0.05</v>
      </c>
      <c r="I840">
        <v>2280</v>
      </c>
      <c r="J840">
        <v>510.34</v>
      </c>
      <c r="K840" t="str">
        <f t="shared" si="39"/>
        <v>Technology</v>
      </c>
      <c r="L840" t="str">
        <f t="shared" si="40"/>
        <v>Aug-2025</v>
      </c>
      <c r="M840" s="14">
        <f t="shared" si="41"/>
        <v>45870</v>
      </c>
    </row>
    <row r="841" spans="1:13" x14ac:dyDescent="0.35">
      <c r="A841" t="s">
        <v>970</v>
      </c>
      <c r="B841" s="2">
        <v>45715</v>
      </c>
      <c r="C841" t="s">
        <v>154</v>
      </c>
      <c r="D841" t="s">
        <v>17</v>
      </c>
      <c r="E841" t="s">
        <v>18</v>
      </c>
      <c r="F841" t="s">
        <v>25</v>
      </c>
      <c r="G841">
        <v>1</v>
      </c>
      <c r="H841">
        <v>0.05</v>
      </c>
      <c r="I841">
        <v>199.5</v>
      </c>
      <c r="J841">
        <v>27.3</v>
      </c>
      <c r="K841" t="str">
        <f t="shared" si="39"/>
        <v>Furniture</v>
      </c>
      <c r="L841" t="str">
        <f t="shared" si="40"/>
        <v>Feb-2025</v>
      </c>
      <c r="M841" s="14">
        <f t="shared" si="41"/>
        <v>45689</v>
      </c>
    </row>
    <row r="842" spans="1:13" x14ac:dyDescent="0.35">
      <c r="A842" t="s">
        <v>971</v>
      </c>
      <c r="B842" s="2">
        <v>45665</v>
      </c>
      <c r="C842" t="s">
        <v>71</v>
      </c>
      <c r="D842" t="s">
        <v>49</v>
      </c>
      <c r="E842" t="s">
        <v>13</v>
      </c>
      <c r="F842" t="s">
        <v>25</v>
      </c>
      <c r="G842">
        <v>1</v>
      </c>
      <c r="H842">
        <v>0.1</v>
      </c>
      <c r="I842">
        <v>63</v>
      </c>
      <c r="J842">
        <v>18.989999999999998</v>
      </c>
      <c r="K842" t="str">
        <f t="shared" si="39"/>
        <v>Technology</v>
      </c>
      <c r="L842" t="str">
        <f t="shared" si="40"/>
        <v>Jan-2025</v>
      </c>
      <c r="M842" s="14">
        <f t="shared" si="41"/>
        <v>45658</v>
      </c>
    </row>
    <row r="843" spans="1:13" x14ac:dyDescent="0.35">
      <c r="A843" t="s">
        <v>972</v>
      </c>
      <c r="B843" s="2">
        <v>45765</v>
      </c>
      <c r="C843" t="s">
        <v>409</v>
      </c>
      <c r="D843" t="s">
        <v>17</v>
      </c>
      <c r="E843" t="s">
        <v>18</v>
      </c>
      <c r="F843" t="s">
        <v>25</v>
      </c>
      <c r="G843">
        <v>5</v>
      </c>
      <c r="H843">
        <v>0.05</v>
      </c>
      <c r="I843">
        <v>997.5</v>
      </c>
      <c r="J843">
        <v>381.79</v>
      </c>
      <c r="K843" t="str">
        <f t="shared" si="39"/>
        <v>Furniture</v>
      </c>
      <c r="L843" t="str">
        <f t="shared" si="40"/>
        <v>Apr-2025</v>
      </c>
      <c r="M843" s="14">
        <f t="shared" si="41"/>
        <v>45748</v>
      </c>
    </row>
    <row r="844" spans="1:13" x14ac:dyDescent="0.35">
      <c r="A844" t="s">
        <v>973</v>
      </c>
      <c r="B844" s="2">
        <v>45938</v>
      </c>
      <c r="C844" t="s">
        <v>78</v>
      </c>
      <c r="D844" t="s">
        <v>45</v>
      </c>
      <c r="E844" t="s">
        <v>46</v>
      </c>
      <c r="F844" t="s">
        <v>14</v>
      </c>
      <c r="G844">
        <v>5</v>
      </c>
      <c r="H844">
        <v>0.05</v>
      </c>
      <c r="I844">
        <v>85.5</v>
      </c>
      <c r="J844">
        <v>18.86</v>
      </c>
      <c r="K844" t="str">
        <f t="shared" si="39"/>
        <v>Office Supplies</v>
      </c>
      <c r="L844" t="str">
        <f t="shared" si="40"/>
        <v>Oct-2025</v>
      </c>
      <c r="M844" s="14">
        <f t="shared" si="41"/>
        <v>45931</v>
      </c>
    </row>
    <row r="845" spans="1:13" x14ac:dyDescent="0.35">
      <c r="A845" t="s">
        <v>974</v>
      </c>
      <c r="B845" s="2">
        <v>45850</v>
      </c>
      <c r="C845" t="s">
        <v>105</v>
      </c>
      <c r="D845" t="s">
        <v>83</v>
      </c>
      <c r="E845" t="s">
        <v>46</v>
      </c>
      <c r="F845" t="s">
        <v>25</v>
      </c>
      <c r="G845">
        <v>5</v>
      </c>
      <c r="H845">
        <v>0</v>
      </c>
      <c r="I845">
        <v>125</v>
      </c>
      <c r="J845">
        <v>45.71</v>
      </c>
      <c r="K845" t="str">
        <f t="shared" si="39"/>
        <v>Office Supplies</v>
      </c>
      <c r="L845" t="str">
        <f t="shared" si="40"/>
        <v>Jul-2025</v>
      </c>
      <c r="M845" s="14">
        <f t="shared" si="41"/>
        <v>45839</v>
      </c>
    </row>
    <row r="846" spans="1:13" x14ac:dyDescent="0.35">
      <c r="A846" t="s">
        <v>975</v>
      </c>
      <c r="B846" s="2">
        <v>45760</v>
      </c>
      <c r="C846" t="s">
        <v>196</v>
      </c>
      <c r="D846" t="s">
        <v>17</v>
      </c>
      <c r="E846" t="s">
        <v>18</v>
      </c>
      <c r="F846" t="s">
        <v>14</v>
      </c>
      <c r="G846">
        <v>5</v>
      </c>
      <c r="H846">
        <v>0.1</v>
      </c>
      <c r="I846">
        <v>945</v>
      </c>
      <c r="J846">
        <v>408.7</v>
      </c>
      <c r="K846" t="str">
        <f t="shared" si="39"/>
        <v>Furniture</v>
      </c>
      <c r="L846" t="str">
        <f t="shared" si="40"/>
        <v>Apr-2025</v>
      </c>
      <c r="M846" s="14">
        <f t="shared" si="41"/>
        <v>45748</v>
      </c>
    </row>
    <row r="847" spans="1:13" x14ac:dyDescent="0.35">
      <c r="A847" t="s">
        <v>976</v>
      </c>
      <c r="B847" s="2">
        <v>45692</v>
      </c>
      <c r="C847" t="s">
        <v>71</v>
      </c>
      <c r="D847" t="s">
        <v>99</v>
      </c>
      <c r="E847" t="s">
        <v>18</v>
      </c>
      <c r="F847" t="s">
        <v>25</v>
      </c>
      <c r="G847">
        <v>3</v>
      </c>
      <c r="H847">
        <v>0.1</v>
      </c>
      <c r="I847">
        <v>513</v>
      </c>
      <c r="J847">
        <v>84.54</v>
      </c>
      <c r="K847" t="str">
        <f t="shared" si="39"/>
        <v>Furniture</v>
      </c>
      <c r="L847" t="str">
        <f t="shared" si="40"/>
        <v>Feb-2025</v>
      </c>
      <c r="M847" s="14">
        <f t="shared" si="41"/>
        <v>45689</v>
      </c>
    </row>
    <row r="848" spans="1:13" x14ac:dyDescent="0.35">
      <c r="A848" t="s">
        <v>977</v>
      </c>
      <c r="B848" s="2">
        <v>45990</v>
      </c>
      <c r="C848" t="s">
        <v>34</v>
      </c>
      <c r="D848" t="s">
        <v>99</v>
      </c>
      <c r="E848" t="s">
        <v>18</v>
      </c>
      <c r="F848" t="s">
        <v>14</v>
      </c>
      <c r="G848">
        <v>2</v>
      </c>
      <c r="H848">
        <v>0.15</v>
      </c>
      <c r="I848">
        <v>323</v>
      </c>
      <c r="J848">
        <v>91.14</v>
      </c>
      <c r="K848" t="str">
        <f t="shared" si="39"/>
        <v>Furniture</v>
      </c>
      <c r="L848" t="str">
        <f t="shared" si="40"/>
        <v>Nov-2025</v>
      </c>
      <c r="M848" s="14">
        <f t="shared" si="41"/>
        <v>45962</v>
      </c>
    </row>
    <row r="849" spans="1:13" x14ac:dyDescent="0.35">
      <c r="A849" t="s">
        <v>978</v>
      </c>
      <c r="B849" s="2">
        <v>45819</v>
      </c>
      <c r="C849" t="s">
        <v>181</v>
      </c>
      <c r="D849" t="s">
        <v>45</v>
      </c>
      <c r="E849" t="s">
        <v>46</v>
      </c>
      <c r="F849" t="s">
        <v>50</v>
      </c>
      <c r="G849">
        <v>5</v>
      </c>
      <c r="H849">
        <v>0.2</v>
      </c>
      <c r="I849">
        <v>72</v>
      </c>
      <c r="J849">
        <v>30.31</v>
      </c>
      <c r="K849" t="str">
        <f t="shared" si="39"/>
        <v>Office Supplies</v>
      </c>
      <c r="L849" t="str">
        <f t="shared" si="40"/>
        <v>Jun-2025</v>
      </c>
      <c r="M849" s="14">
        <f t="shared" si="41"/>
        <v>45809</v>
      </c>
    </row>
    <row r="850" spans="1:13" x14ac:dyDescent="0.35">
      <c r="A850" t="s">
        <v>979</v>
      </c>
      <c r="B850" s="2">
        <v>45945</v>
      </c>
      <c r="C850" t="s">
        <v>76</v>
      </c>
      <c r="D850" t="s">
        <v>17</v>
      </c>
      <c r="E850" t="s">
        <v>18</v>
      </c>
      <c r="F850" t="s">
        <v>25</v>
      </c>
      <c r="G850">
        <v>1</v>
      </c>
      <c r="H850">
        <v>0</v>
      </c>
      <c r="I850">
        <v>210</v>
      </c>
      <c r="J850">
        <v>77.36</v>
      </c>
      <c r="K850" t="str">
        <f t="shared" si="39"/>
        <v>Furniture</v>
      </c>
      <c r="L850" t="str">
        <f t="shared" si="40"/>
        <v>Oct-2025</v>
      </c>
      <c r="M850" s="14">
        <f t="shared" si="41"/>
        <v>45931</v>
      </c>
    </row>
    <row r="851" spans="1:13" x14ac:dyDescent="0.35">
      <c r="A851" t="s">
        <v>980</v>
      </c>
      <c r="B851" s="2">
        <v>45828</v>
      </c>
      <c r="C851" t="s">
        <v>278</v>
      </c>
      <c r="D851" t="s">
        <v>45</v>
      </c>
      <c r="E851" t="s">
        <v>46</v>
      </c>
      <c r="F851" t="s">
        <v>25</v>
      </c>
      <c r="G851">
        <v>4</v>
      </c>
      <c r="H851">
        <v>0.05</v>
      </c>
      <c r="I851">
        <v>68.400000000000006</v>
      </c>
      <c r="J851">
        <v>30.37</v>
      </c>
      <c r="K851" t="str">
        <f t="shared" si="39"/>
        <v>Office Supplies</v>
      </c>
      <c r="L851" t="str">
        <f t="shared" si="40"/>
        <v>Jun-2025</v>
      </c>
      <c r="M851" s="14">
        <f t="shared" si="41"/>
        <v>45809</v>
      </c>
    </row>
    <row r="852" spans="1:13" x14ac:dyDescent="0.35">
      <c r="A852" t="s">
        <v>981</v>
      </c>
      <c r="B852" s="2">
        <v>45839</v>
      </c>
      <c r="C852" t="s">
        <v>66</v>
      </c>
      <c r="D852" t="s">
        <v>38</v>
      </c>
      <c r="E852" t="s">
        <v>13</v>
      </c>
      <c r="F852" t="s">
        <v>25</v>
      </c>
      <c r="G852">
        <v>3</v>
      </c>
      <c r="H852">
        <v>0.05</v>
      </c>
      <c r="I852">
        <v>912</v>
      </c>
      <c r="J852">
        <v>110.65</v>
      </c>
      <c r="K852" t="str">
        <f t="shared" si="39"/>
        <v>Technology</v>
      </c>
      <c r="L852" t="str">
        <f t="shared" si="40"/>
        <v>Jul-2025</v>
      </c>
      <c r="M852" s="14">
        <f t="shared" si="41"/>
        <v>45839</v>
      </c>
    </row>
    <row r="853" spans="1:13" x14ac:dyDescent="0.35">
      <c r="A853" t="s">
        <v>982</v>
      </c>
      <c r="B853" s="2">
        <v>45689</v>
      </c>
      <c r="C853" t="s">
        <v>369</v>
      </c>
      <c r="D853" t="s">
        <v>38</v>
      </c>
      <c r="E853" t="s">
        <v>13</v>
      </c>
      <c r="F853" t="s">
        <v>25</v>
      </c>
      <c r="G853">
        <v>3</v>
      </c>
      <c r="H853">
        <v>0.15</v>
      </c>
      <c r="I853">
        <v>816</v>
      </c>
      <c r="J853">
        <v>127.43</v>
      </c>
      <c r="K853" t="str">
        <f t="shared" si="39"/>
        <v>Technology</v>
      </c>
      <c r="L853" t="str">
        <f t="shared" si="40"/>
        <v>Feb-2025</v>
      </c>
      <c r="M853" s="14">
        <f t="shared" si="41"/>
        <v>45689</v>
      </c>
    </row>
    <row r="854" spans="1:13" x14ac:dyDescent="0.35">
      <c r="A854" t="s">
        <v>983</v>
      </c>
      <c r="B854" s="2">
        <v>45773</v>
      </c>
      <c r="C854" t="s">
        <v>315</v>
      </c>
      <c r="D854" t="s">
        <v>28</v>
      </c>
      <c r="E854" t="s">
        <v>18</v>
      </c>
      <c r="F854" t="s">
        <v>50</v>
      </c>
      <c r="G854">
        <v>3</v>
      </c>
      <c r="H854">
        <v>0.15</v>
      </c>
      <c r="I854">
        <v>714</v>
      </c>
      <c r="J854">
        <v>166.51</v>
      </c>
      <c r="K854" t="str">
        <f t="shared" si="39"/>
        <v>Furniture</v>
      </c>
      <c r="L854" t="str">
        <f t="shared" si="40"/>
        <v>Apr-2025</v>
      </c>
      <c r="M854" s="14">
        <f t="shared" si="41"/>
        <v>45748</v>
      </c>
    </row>
    <row r="855" spans="1:13" x14ac:dyDescent="0.35">
      <c r="A855" t="s">
        <v>984</v>
      </c>
      <c r="B855" s="2">
        <v>45924</v>
      </c>
      <c r="C855" t="s">
        <v>219</v>
      </c>
      <c r="D855" t="s">
        <v>38</v>
      </c>
      <c r="E855" t="s">
        <v>13</v>
      </c>
      <c r="F855" t="s">
        <v>22</v>
      </c>
      <c r="G855">
        <v>5</v>
      </c>
      <c r="H855">
        <v>0.05</v>
      </c>
      <c r="I855">
        <v>1520</v>
      </c>
      <c r="J855">
        <v>474.67</v>
      </c>
      <c r="K855" t="str">
        <f t="shared" si="39"/>
        <v>Technology</v>
      </c>
      <c r="L855" t="str">
        <f t="shared" si="40"/>
        <v>Sept-2025</v>
      </c>
      <c r="M855" s="14">
        <f t="shared" si="41"/>
        <v>45901</v>
      </c>
    </row>
    <row r="856" spans="1:13" x14ac:dyDescent="0.35">
      <c r="A856" t="s">
        <v>985</v>
      </c>
      <c r="B856" s="2">
        <v>45876</v>
      </c>
      <c r="C856" t="s">
        <v>115</v>
      </c>
      <c r="D856" t="s">
        <v>35</v>
      </c>
      <c r="E856" t="s">
        <v>13</v>
      </c>
      <c r="F856" t="s">
        <v>22</v>
      </c>
      <c r="G856">
        <v>5</v>
      </c>
      <c r="H856">
        <v>0.1</v>
      </c>
      <c r="I856">
        <v>3825</v>
      </c>
      <c r="J856">
        <v>1154.29</v>
      </c>
      <c r="K856" t="str">
        <f t="shared" si="39"/>
        <v>Technology</v>
      </c>
      <c r="L856" t="str">
        <f t="shared" si="40"/>
        <v>Aug-2025</v>
      </c>
      <c r="M856" s="14">
        <f t="shared" si="41"/>
        <v>45870</v>
      </c>
    </row>
    <row r="857" spans="1:13" x14ac:dyDescent="0.35">
      <c r="A857" t="s">
        <v>986</v>
      </c>
      <c r="B857" s="2">
        <v>45992</v>
      </c>
      <c r="C857" t="s">
        <v>181</v>
      </c>
      <c r="D857" t="s">
        <v>28</v>
      </c>
      <c r="E857" t="s">
        <v>18</v>
      </c>
      <c r="F857" t="s">
        <v>22</v>
      </c>
      <c r="G857">
        <v>5</v>
      </c>
      <c r="H857">
        <v>0.2</v>
      </c>
      <c r="I857">
        <v>1120</v>
      </c>
      <c r="J857">
        <v>251.18</v>
      </c>
      <c r="K857" t="str">
        <f t="shared" si="39"/>
        <v>Furniture</v>
      </c>
      <c r="L857" t="str">
        <f t="shared" si="40"/>
        <v>Dec-2025</v>
      </c>
      <c r="M857" s="14">
        <f t="shared" si="41"/>
        <v>45992</v>
      </c>
    </row>
    <row r="858" spans="1:13" x14ac:dyDescent="0.35">
      <c r="A858" t="s">
        <v>987</v>
      </c>
      <c r="B858" s="2">
        <v>45816</v>
      </c>
      <c r="C858" t="s">
        <v>158</v>
      </c>
      <c r="D858" t="s">
        <v>17</v>
      </c>
      <c r="E858" t="s">
        <v>18</v>
      </c>
      <c r="F858" t="s">
        <v>22</v>
      </c>
      <c r="G858">
        <v>5</v>
      </c>
      <c r="H858">
        <v>0.05</v>
      </c>
      <c r="I858">
        <v>997.5</v>
      </c>
      <c r="J858">
        <v>307.31</v>
      </c>
      <c r="K858" t="str">
        <f t="shared" si="39"/>
        <v>Furniture</v>
      </c>
      <c r="L858" t="str">
        <f t="shared" si="40"/>
        <v>Jun-2025</v>
      </c>
      <c r="M858" s="14">
        <f t="shared" si="41"/>
        <v>45809</v>
      </c>
    </row>
    <row r="859" spans="1:13" x14ac:dyDescent="0.35">
      <c r="A859" t="s">
        <v>988</v>
      </c>
      <c r="B859" s="2">
        <v>45993</v>
      </c>
      <c r="C859" t="s">
        <v>42</v>
      </c>
      <c r="D859" t="s">
        <v>83</v>
      </c>
      <c r="E859" t="s">
        <v>46</v>
      </c>
      <c r="F859" t="s">
        <v>14</v>
      </c>
      <c r="G859">
        <v>2</v>
      </c>
      <c r="H859">
        <v>0.1</v>
      </c>
      <c r="I859">
        <v>45</v>
      </c>
      <c r="J859">
        <v>19.239999999999998</v>
      </c>
      <c r="K859" t="str">
        <f t="shared" si="39"/>
        <v>Office Supplies</v>
      </c>
      <c r="L859" t="str">
        <f t="shared" si="40"/>
        <v>Dec-2025</v>
      </c>
      <c r="M859" s="14">
        <f t="shared" si="41"/>
        <v>45992</v>
      </c>
    </row>
    <row r="860" spans="1:13" x14ac:dyDescent="0.35">
      <c r="A860" t="s">
        <v>989</v>
      </c>
      <c r="B860" s="2">
        <v>45752</v>
      </c>
      <c r="C860" t="s">
        <v>87</v>
      </c>
      <c r="D860" t="s">
        <v>49</v>
      </c>
      <c r="E860" t="s">
        <v>13</v>
      </c>
      <c r="F860" t="s">
        <v>50</v>
      </c>
      <c r="G860">
        <v>2</v>
      </c>
      <c r="H860">
        <v>0</v>
      </c>
      <c r="I860">
        <v>140</v>
      </c>
      <c r="J860">
        <v>27.64</v>
      </c>
      <c r="K860" t="str">
        <f t="shared" si="39"/>
        <v>Technology</v>
      </c>
      <c r="L860" t="str">
        <f t="shared" si="40"/>
        <v>Apr-2025</v>
      </c>
      <c r="M860" s="14">
        <f t="shared" si="41"/>
        <v>45748</v>
      </c>
    </row>
    <row r="861" spans="1:13" x14ac:dyDescent="0.35">
      <c r="A861" t="s">
        <v>990</v>
      </c>
      <c r="B861" s="2">
        <v>45813</v>
      </c>
      <c r="C861" t="s">
        <v>122</v>
      </c>
      <c r="D861" t="s">
        <v>45</v>
      </c>
      <c r="E861" t="s">
        <v>46</v>
      </c>
      <c r="F861" t="s">
        <v>22</v>
      </c>
      <c r="G861">
        <v>3</v>
      </c>
      <c r="H861">
        <v>0.05</v>
      </c>
      <c r="I861">
        <v>51.3</v>
      </c>
      <c r="J861">
        <v>9.9</v>
      </c>
      <c r="K861" t="str">
        <f t="shared" si="39"/>
        <v>Office Supplies</v>
      </c>
      <c r="L861" t="str">
        <f t="shared" si="40"/>
        <v>Jun-2025</v>
      </c>
      <c r="M861" s="14">
        <f t="shared" si="41"/>
        <v>45809</v>
      </c>
    </row>
    <row r="862" spans="1:13" x14ac:dyDescent="0.35">
      <c r="A862" t="s">
        <v>991</v>
      </c>
      <c r="B862" s="2">
        <v>45752</v>
      </c>
      <c r="C862" t="s">
        <v>73</v>
      </c>
      <c r="D862" t="s">
        <v>67</v>
      </c>
      <c r="E862" t="s">
        <v>13</v>
      </c>
      <c r="F862" t="s">
        <v>22</v>
      </c>
      <c r="G862">
        <v>5</v>
      </c>
      <c r="H862">
        <v>0.2</v>
      </c>
      <c r="I862">
        <v>4800</v>
      </c>
      <c r="J862">
        <v>1737.29</v>
      </c>
      <c r="K862" t="str">
        <f t="shared" si="39"/>
        <v>Technology</v>
      </c>
      <c r="L862" t="str">
        <f t="shared" si="40"/>
        <v>Apr-2025</v>
      </c>
      <c r="M862" s="14">
        <f t="shared" si="41"/>
        <v>45748</v>
      </c>
    </row>
    <row r="863" spans="1:13" x14ac:dyDescent="0.35">
      <c r="A863" t="s">
        <v>992</v>
      </c>
      <c r="B863" s="2">
        <v>45963</v>
      </c>
      <c r="C863" t="s">
        <v>515</v>
      </c>
      <c r="D863" t="s">
        <v>21</v>
      </c>
      <c r="E863" t="s">
        <v>18</v>
      </c>
      <c r="F863" t="s">
        <v>50</v>
      </c>
      <c r="G863">
        <v>2</v>
      </c>
      <c r="H863">
        <v>0</v>
      </c>
      <c r="I863">
        <v>110</v>
      </c>
      <c r="J863">
        <v>36.46</v>
      </c>
      <c r="K863" t="str">
        <f t="shared" si="39"/>
        <v>Furniture</v>
      </c>
      <c r="L863" t="str">
        <f t="shared" si="40"/>
        <v>Nov-2025</v>
      </c>
      <c r="M863" s="14">
        <f t="shared" si="41"/>
        <v>45962</v>
      </c>
    </row>
    <row r="864" spans="1:13" x14ac:dyDescent="0.35">
      <c r="A864" t="s">
        <v>993</v>
      </c>
      <c r="B864" s="2">
        <v>45726</v>
      </c>
      <c r="C864" t="s">
        <v>69</v>
      </c>
      <c r="D864" t="s">
        <v>55</v>
      </c>
      <c r="E864" t="s">
        <v>46</v>
      </c>
      <c r="F864" t="s">
        <v>22</v>
      </c>
      <c r="G864">
        <v>5</v>
      </c>
      <c r="H864">
        <v>0.15</v>
      </c>
      <c r="I864">
        <v>1020</v>
      </c>
      <c r="J864">
        <v>219.33</v>
      </c>
      <c r="K864" t="str">
        <f t="shared" si="39"/>
        <v>Office Supplies</v>
      </c>
      <c r="L864" t="str">
        <f t="shared" si="40"/>
        <v>Mar-2025</v>
      </c>
      <c r="M864" s="14">
        <f t="shared" si="41"/>
        <v>45717</v>
      </c>
    </row>
    <row r="865" spans="1:13" x14ac:dyDescent="0.35">
      <c r="A865" t="s">
        <v>994</v>
      </c>
      <c r="B865" s="2">
        <v>45856</v>
      </c>
      <c r="C865" t="s">
        <v>224</v>
      </c>
      <c r="D865" t="s">
        <v>45</v>
      </c>
      <c r="E865" t="s">
        <v>46</v>
      </c>
      <c r="F865" t="s">
        <v>14</v>
      </c>
      <c r="G865">
        <v>4</v>
      </c>
      <c r="H865">
        <v>0.05</v>
      </c>
      <c r="I865">
        <v>68.400000000000006</v>
      </c>
      <c r="J865">
        <v>27.08</v>
      </c>
      <c r="K865" t="str">
        <f t="shared" si="39"/>
        <v>Office Supplies</v>
      </c>
      <c r="L865" t="str">
        <f t="shared" si="40"/>
        <v>Jul-2025</v>
      </c>
      <c r="M865" s="14">
        <f t="shared" si="41"/>
        <v>45839</v>
      </c>
    </row>
    <row r="866" spans="1:13" x14ac:dyDescent="0.35">
      <c r="A866" t="s">
        <v>995</v>
      </c>
      <c r="B866" s="2">
        <v>45867</v>
      </c>
      <c r="C866" t="s">
        <v>78</v>
      </c>
      <c r="D866" t="s">
        <v>67</v>
      </c>
      <c r="E866" t="s">
        <v>13</v>
      </c>
      <c r="F866" t="s">
        <v>22</v>
      </c>
      <c r="G866">
        <v>3</v>
      </c>
      <c r="H866">
        <v>0.15</v>
      </c>
      <c r="I866">
        <v>3060</v>
      </c>
      <c r="J866">
        <v>1152.26</v>
      </c>
      <c r="K866" t="str">
        <f t="shared" si="39"/>
        <v>Technology</v>
      </c>
      <c r="L866" t="str">
        <f t="shared" si="40"/>
        <v>Jul-2025</v>
      </c>
      <c r="M866" s="14">
        <f t="shared" si="41"/>
        <v>45839</v>
      </c>
    </row>
    <row r="867" spans="1:13" x14ac:dyDescent="0.35">
      <c r="A867" t="s">
        <v>996</v>
      </c>
      <c r="B867" s="2">
        <v>45762</v>
      </c>
      <c r="C867" t="s">
        <v>206</v>
      </c>
      <c r="D867" t="s">
        <v>12</v>
      </c>
      <c r="E867" t="s">
        <v>13</v>
      </c>
      <c r="F867" t="s">
        <v>25</v>
      </c>
      <c r="G867">
        <v>2</v>
      </c>
      <c r="H867">
        <v>0.15</v>
      </c>
      <c r="I867">
        <v>59.5</v>
      </c>
      <c r="J867">
        <v>9.75</v>
      </c>
      <c r="K867" t="str">
        <f t="shared" si="39"/>
        <v>Technology</v>
      </c>
      <c r="L867" t="str">
        <f t="shared" si="40"/>
        <v>Apr-2025</v>
      </c>
      <c r="M867" s="14">
        <f t="shared" si="41"/>
        <v>45748</v>
      </c>
    </row>
    <row r="868" spans="1:13" x14ac:dyDescent="0.35">
      <c r="A868" t="s">
        <v>997</v>
      </c>
      <c r="B868" s="2">
        <v>45892</v>
      </c>
      <c r="C868" t="s">
        <v>185</v>
      </c>
      <c r="D868" t="s">
        <v>21</v>
      </c>
      <c r="E868" t="s">
        <v>18</v>
      </c>
      <c r="F868" t="s">
        <v>50</v>
      </c>
      <c r="G868">
        <v>4</v>
      </c>
      <c r="H868">
        <v>0.15</v>
      </c>
      <c r="I868">
        <v>187</v>
      </c>
      <c r="J868">
        <v>36.25</v>
      </c>
      <c r="K868" t="str">
        <f t="shared" si="39"/>
        <v>Furniture</v>
      </c>
      <c r="L868" t="str">
        <f t="shared" si="40"/>
        <v>Aug-2025</v>
      </c>
      <c r="M868" s="14">
        <f t="shared" si="41"/>
        <v>45870</v>
      </c>
    </row>
    <row r="869" spans="1:13" x14ac:dyDescent="0.35">
      <c r="A869" t="s">
        <v>998</v>
      </c>
      <c r="B869" s="2">
        <v>45818</v>
      </c>
      <c r="C869" t="s">
        <v>76</v>
      </c>
      <c r="D869" t="s">
        <v>99</v>
      </c>
      <c r="E869" t="s">
        <v>18</v>
      </c>
      <c r="F869" t="s">
        <v>14</v>
      </c>
      <c r="G869">
        <v>5</v>
      </c>
      <c r="H869">
        <v>0.2</v>
      </c>
      <c r="I869">
        <v>760</v>
      </c>
      <c r="J869">
        <v>193.07</v>
      </c>
      <c r="K869" t="str">
        <f t="shared" si="39"/>
        <v>Furniture</v>
      </c>
      <c r="L869" t="str">
        <f t="shared" si="40"/>
        <v>Jun-2025</v>
      </c>
      <c r="M869" s="14">
        <f t="shared" si="41"/>
        <v>45809</v>
      </c>
    </row>
    <row r="870" spans="1:13" x14ac:dyDescent="0.35">
      <c r="A870" t="s">
        <v>999</v>
      </c>
      <c r="B870" s="2">
        <v>45924</v>
      </c>
      <c r="C870" t="s">
        <v>360</v>
      </c>
      <c r="D870" t="s">
        <v>12</v>
      </c>
      <c r="E870" t="s">
        <v>13</v>
      </c>
      <c r="F870" t="s">
        <v>22</v>
      </c>
      <c r="G870">
        <v>4</v>
      </c>
      <c r="H870">
        <v>0.15</v>
      </c>
      <c r="I870">
        <v>119</v>
      </c>
      <c r="J870">
        <v>21.07</v>
      </c>
      <c r="K870" t="str">
        <f t="shared" si="39"/>
        <v>Technology</v>
      </c>
      <c r="L870" t="str">
        <f t="shared" si="40"/>
        <v>Sept-2025</v>
      </c>
      <c r="M870" s="14">
        <f t="shared" si="41"/>
        <v>45901</v>
      </c>
    </row>
    <row r="871" spans="1:13" x14ac:dyDescent="0.35">
      <c r="A871" t="s">
        <v>1000</v>
      </c>
      <c r="B871" s="2">
        <v>45923</v>
      </c>
      <c r="C871" t="s">
        <v>409</v>
      </c>
      <c r="D871" t="s">
        <v>55</v>
      </c>
      <c r="E871" t="s">
        <v>46</v>
      </c>
      <c r="F871" t="s">
        <v>14</v>
      </c>
      <c r="G871">
        <v>4</v>
      </c>
      <c r="H871">
        <v>0</v>
      </c>
      <c r="I871">
        <v>960</v>
      </c>
      <c r="J871">
        <v>255.32</v>
      </c>
      <c r="K871" t="str">
        <f t="shared" si="39"/>
        <v>Office Supplies</v>
      </c>
      <c r="L871" t="str">
        <f t="shared" si="40"/>
        <v>Sept-2025</v>
      </c>
      <c r="M871" s="14">
        <f t="shared" si="41"/>
        <v>45901</v>
      </c>
    </row>
    <row r="872" spans="1:13" x14ac:dyDescent="0.35">
      <c r="A872" t="s">
        <v>1001</v>
      </c>
      <c r="B872" s="2">
        <v>45755</v>
      </c>
      <c r="C872" t="s">
        <v>387</v>
      </c>
      <c r="D872" t="s">
        <v>35</v>
      </c>
      <c r="E872" t="s">
        <v>13</v>
      </c>
      <c r="F872" t="s">
        <v>25</v>
      </c>
      <c r="G872">
        <v>4</v>
      </c>
      <c r="H872">
        <v>0.15</v>
      </c>
      <c r="I872">
        <v>2890</v>
      </c>
      <c r="J872">
        <v>457.05</v>
      </c>
      <c r="K872" t="str">
        <f t="shared" si="39"/>
        <v>Technology</v>
      </c>
      <c r="L872" t="str">
        <f t="shared" si="40"/>
        <v>Apr-2025</v>
      </c>
      <c r="M872" s="14">
        <f t="shared" si="41"/>
        <v>45748</v>
      </c>
    </row>
    <row r="873" spans="1:13" x14ac:dyDescent="0.35">
      <c r="A873" t="s">
        <v>1002</v>
      </c>
      <c r="B873" s="2">
        <v>45894</v>
      </c>
      <c r="C873" t="s">
        <v>217</v>
      </c>
      <c r="D873" t="s">
        <v>28</v>
      </c>
      <c r="E873" t="s">
        <v>18</v>
      </c>
      <c r="F873" t="s">
        <v>22</v>
      </c>
      <c r="G873">
        <v>4</v>
      </c>
      <c r="H873">
        <v>0.1</v>
      </c>
      <c r="I873">
        <v>1008</v>
      </c>
      <c r="J873">
        <v>249.65</v>
      </c>
      <c r="K873" t="str">
        <f t="shared" si="39"/>
        <v>Furniture</v>
      </c>
      <c r="L873" t="str">
        <f t="shared" si="40"/>
        <v>Aug-2025</v>
      </c>
      <c r="M873" s="14">
        <f t="shared" si="41"/>
        <v>45870</v>
      </c>
    </row>
    <row r="874" spans="1:13" x14ac:dyDescent="0.35">
      <c r="A874" t="s">
        <v>1003</v>
      </c>
      <c r="B874" s="2">
        <v>45895</v>
      </c>
      <c r="C874" t="s">
        <v>183</v>
      </c>
      <c r="D874" t="s">
        <v>38</v>
      </c>
      <c r="E874" t="s">
        <v>13</v>
      </c>
      <c r="F874" t="s">
        <v>22</v>
      </c>
      <c r="G874">
        <v>4</v>
      </c>
      <c r="H874">
        <v>0</v>
      </c>
      <c r="I874">
        <v>1280</v>
      </c>
      <c r="J874">
        <v>270.75</v>
      </c>
      <c r="K874" t="str">
        <f t="shared" si="39"/>
        <v>Technology</v>
      </c>
      <c r="L874" t="str">
        <f t="shared" si="40"/>
        <v>Aug-2025</v>
      </c>
      <c r="M874" s="14">
        <f t="shared" si="41"/>
        <v>45870</v>
      </c>
    </row>
    <row r="875" spans="1:13" x14ac:dyDescent="0.35">
      <c r="A875" t="s">
        <v>1004</v>
      </c>
      <c r="B875" s="2">
        <v>45957</v>
      </c>
      <c r="C875" t="s">
        <v>150</v>
      </c>
      <c r="D875" t="s">
        <v>17</v>
      </c>
      <c r="E875" t="s">
        <v>18</v>
      </c>
      <c r="F875" t="s">
        <v>50</v>
      </c>
      <c r="G875">
        <v>5</v>
      </c>
      <c r="H875">
        <v>0.05</v>
      </c>
      <c r="I875">
        <v>997.5</v>
      </c>
      <c r="J875">
        <v>319.49</v>
      </c>
      <c r="K875" t="str">
        <f t="shared" si="39"/>
        <v>Furniture</v>
      </c>
      <c r="L875" t="str">
        <f t="shared" si="40"/>
        <v>Oct-2025</v>
      </c>
      <c r="M875" s="14">
        <f t="shared" si="41"/>
        <v>45931</v>
      </c>
    </row>
    <row r="876" spans="1:13" x14ac:dyDescent="0.35">
      <c r="A876" t="s">
        <v>1005</v>
      </c>
      <c r="B876" s="2">
        <v>45670</v>
      </c>
      <c r="C876" t="s">
        <v>181</v>
      </c>
      <c r="D876" t="s">
        <v>28</v>
      </c>
      <c r="E876" t="s">
        <v>18</v>
      </c>
      <c r="F876" t="s">
        <v>50</v>
      </c>
      <c r="G876">
        <v>4</v>
      </c>
      <c r="H876">
        <v>0.2</v>
      </c>
      <c r="I876">
        <v>896</v>
      </c>
      <c r="J876">
        <v>138.09</v>
      </c>
      <c r="K876" t="str">
        <f t="shared" si="39"/>
        <v>Furniture</v>
      </c>
      <c r="L876" t="str">
        <f t="shared" si="40"/>
        <v>Jan-2025</v>
      </c>
      <c r="M876" s="14">
        <f t="shared" si="41"/>
        <v>45658</v>
      </c>
    </row>
    <row r="877" spans="1:13" x14ac:dyDescent="0.35">
      <c r="A877" t="s">
        <v>1006</v>
      </c>
      <c r="B877" s="2">
        <v>45704</v>
      </c>
      <c r="C877" t="s">
        <v>404</v>
      </c>
      <c r="D877" t="s">
        <v>35</v>
      </c>
      <c r="E877" t="s">
        <v>13</v>
      </c>
      <c r="F877" t="s">
        <v>14</v>
      </c>
      <c r="G877">
        <v>3</v>
      </c>
      <c r="H877">
        <v>0.05</v>
      </c>
      <c r="I877">
        <v>2422.5</v>
      </c>
      <c r="J877">
        <v>515.84</v>
      </c>
      <c r="K877" t="str">
        <f t="shared" si="39"/>
        <v>Technology</v>
      </c>
      <c r="L877" t="str">
        <f t="shared" si="40"/>
        <v>Feb-2025</v>
      </c>
      <c r="M877" s="14">
        <f t="shared" si="41"/>
        <v>45689</v>
      </c>
    </row>
    <row r="878" spans="1:13" x14ac:dyDescent="0.35">
      <c r="A878" t="s">
        <v>1007</v>
      </c>
      <c r="B878" s="2">
        <v>45716</v>
      </c>
      <c r="C878" t="s">
        <v>34</v>
      </c>
      <c r="D878" t="s">
        <v>17</v>
      </c>
      <c r="E878" t="s">
        <v>18</v>
      </c>
      <c r="F878" t="s">
        <v>50</v>
      </c>
      <c r="G878">
        <v>4</v>
      </c>
      <c r="H878">
        <v>0.1</v>
      </c>
      <c r="I878">
        <v>756</v>
      </c>
      <c r="J878">
        <v>318.92</v>
      </c>
      <c r="K878" t="str">
        <f t="shared" si="39"/>
        <v>Furniture</v>
      </c>
      <c r="L878" t="str">
        <f t="shared" si="40"/>
        <v>Feb-2025</v>
      </c>
      <c r="M878" s="14">
        <f t="shared" si="41"/>
        <v>45689</v>
      </c>
    </row>
    <row r="879" spans="1:13" x14ac:dyDescent="0.35">
      <c r="A879" t="s">
        <v>1008</v>
      </c>
      <c r="B879" s="2">
        <v>45919</v>
      </c>
      <c r="C879" t="s">
        <v>360</v>
      </c>
      <c r="D879" t="s">
        <v>83</v>
      </c>
      <c r="E879" t="s">
        <v>46</v>
      </c>
      <c r="F879" t="s">
        <v>22</v>
      </c>
      <c r="G879">
        <v>2</v>
      </c>
      <c r="H879">
        <v>0.15</v>
      </c>
      <c r="I879">
        <v>42.5</v>
      </c>
      <c r="J879">
        <v>11.41</v>
      </c>
      <c r="K879" t="str">
        <f t="shared" si="39"/>
        <v>Office Supplies</v>
      </c>
      <c r="L879" t="str">
        <f t="shared" si="40"/>
        <v>Sept-2025</v>
      </c>
      <c r="M879" s="14">
        <f t="shared" si="41"/>
        <v>45901</v>
      </c>
    </row>
    <row r="880" spans="1:13" x14ac:dyDescent="0.35">
      <c r="A880" t="s">
        <v>1009</v>
      </c>
      <c r="B880" s="2">
        <v>45829</v>
      </c>
      <c r="C880" t="s">
        <v>238</v>
      </c>
      <c r="D880" t="s">
        <v>83</v>
      </c>
      <c r="E880" t="s">
        <v>46</v>
      </c>
      <c r="F880" t="s">
        <v>14</v>
      </c>
      <c r="G880">
        <v>2</v>
      </c>
      <c r="H880">
        <v>0.05</v>
      </c>
      <c r="I880">
        <v>47.5</v>
      </c>
      <c r="J880">
        <v>7.76</v>
      </c>
      <c r="K880" t="str">
        <f t="shared" si="39"/>
        <v>Office Supplies</v>
      </c>
      <c r="L880" t="str">
        <f t="shared" si="40"/>
        <v>Jun-2025</v>
      </c>
      <c r="M880" s="14">
        <f t="shared" si="41"/>
        <v>45809</v>
      </c>
    </row>
    <row r="881" spans="1:13" x14ac:dyDescent="0.35">
      <c r="A881" t="s">
        <v>1010</v>
      </c>
      <c r="B881" s="2">
        <v>45872</v>
      </c>
      <c r="C881" t="s">
        <v>269</v>
      </c>
      <c r="D881" t="s">
        <v>35</v>
      </c>
      <c r="E881" t="s">
        <v>13</v>
      </c>
      <c r="F881" t="s">
        <v>14</v>
      </c>
      <c r="G881">
        <v>3</v>
      </c>
      <c r="H881">
        <v>0.15</v>
      </c>
      <c r="I881">
        <v>2167.5</v>
      </c>
      <c r="J881">
        <v>768.82</v>
      </c>
      <c r="K881" t="str">
        <f t="shared" si="39"/>
        <v>Technology</v>
      </c>
      <c r="L881" t="str">
        <f t="shared" si="40"/>
        <v>Aug-2025</v>
      </c>
      <c r="M881" s="14">
        <f t="shared" si="41"/>
        <v>45870</v>
      </c>
    </row>
    <row r="882" spans="1:13" x14ac:dyDescent="0.35">
      <c r="A882" t="s">
        <v>1011</v>
      </c>
      <c r="B882" s="2">
        <v>45725</v>
      </c>
      <c r="C882" t="s">
        <v>62</v>
      </c>
      <c r="D882" t="s">
        <v>21</v>
      </c>
      <c r="E882" t="s">
        <v>18</v>
      </c>
      <c r="F882" t="s">
        <v>50</v>
      </c>
      <c r="G882">
        <v>1</v>
      </c>
      <c r="H882">
        <v>0.2</v>
      </c>
      <c r="I882">
        <v>44</v>
      </c>
      <c r="J882">
        <v>8.69</v>
      </c>
      <c r="K882" t="str">
        <f t="shared" si="39"/>
        <v>Furniture</v>
      </c>
      <c r="L882" t="str">
        <f t="shared" si="40"/>
        <v>Mar-2025</v>
      </c>
      <c r="M882" s="14">
        <f t="shared" si="41"/>
        <v>45717</v>
      </c>
    </row>
    <row r="883" spans="1:13" x14ac:dyDescent="0.35">
      <c r="A883" t="s">
        <v>1012</v>
      </c>
      <c r="B883" s="2">
        <v>45912</v>
      </c>
      <c r="C883" t="s">
        <v>243</v>
      </c>
      <c r="D883" t="s">
        <v>45</v>
      </c>
      <c r="E883" t="s">
        <v>46</v>
      </c>
      <c r="F883" t="s">
        <v>22</v>
      </c>
      <c r="G883">
        <v>5</v>
      </c>
      <c r="H883">
        <v>0</v>
      </c>
      <c r="I883">
        <v>90</v>
      </c>
      <c r="J883">
        <v>22.44</v>
      </c>
      <c r="K883" t="str">
        <f t="shared" si="39"/>
        <v>Office Supplies</v>
      </c>
      <c r="L883" t="str">
        <f t="shared" si="40"/>
        <v>Sept-2025</v>
      </c>
      <c r="M883" s="14">
        <f t="shared" si="41"/>
        <v>45901</v>
      </c>
    </row>
    <row r="884" spans="1:13" x14ac:dyDescent="0.35">
      <c r="A884" t="s">
        <v>1013</v>
      </c>
      <c r="B884" s="2">
        <v>45769</v>
      </c>
      <c r="C884" t="s">
        <v>167</v>
      </c>
      <c r="D884" t="s">
        <v>83</v>
      </c>
      <c r="E884" t="s">
        <v>46</v>
      </c>
      <c r="F884" t="s">
        <v>14</v>
      </c>
      <c r="G884">
        <v>4</v>
      </c>
      <c r="H884">
        <v>0.15</v>
      </c>
      <c r="I884">
        <v>85</v>
      </c>
      <c r="J884">
        <v>26.75</v>
      </c>
      <c r="K884" t="str">
        <f t="shared" si="39"/>
        <v>Office Supplies</v>
      </c>
      <c r="L884" t="str">
        <f t="shared" si="40"/>
        <v>Apr-2025</v>
      </c>
      <c r="M884" s="14">
        <f t="shared" si="41"/>
        <v>45748</v>
      </c>
    </row>
    <row r="885" spans="1:13" x14ac:dyDescent="0.35">
      <c r="A885" t="s">
        <v>1014</v>
      </c>
      <c r="B885" s="2">
        <v>45783</v>
      </c>
      <c r="C885" t="s">
        <v>124</v>
      </c>
      <c r="D885" t="s">
        <v>55</v>
      </c>
      <c r="E885" t="s">
        <v>46</v>
      </c>
      <c r="F885" t="s">
        <v>14</v>
      </c>
      <c r="G885">
        <v>3</v>
      </c>
      <c r="H885">
        <v>0.2</v>
      </c>
      <c r="I885">
        <v>576</v>
      </c>
      <c r="J885">
        <v>139.71</v>
      </c>
      <c r="K885" t="str">
        <f t="shared" si="39"/>
        <v>Office Supplies</v>
      </c>
      <c r="L885" t="str">
        <f t="shared" si="40"/>
        <v>May-2025</v>
      </c>
      <c r="M885" s="14">
        <f t="shared" si="41"/>
        <v>45778</v>
      </c>
    </row>
    <row r="886" spans="1:13" x14ac:dyDescent="0.35">
      <c r="A886" t="s">
        <v>1015</v>
      </c>
      <c r="B886" s="2">
        <v>45752</v>
      </c>
      <c r="C886" t="s">
        <v>16</v>
      </c>
      <c r="D886" t="s">
        <v>28</v>
      </c>
      <c r="E886" t="s">
        <v>18</v>
      </c>
      <c r="F886" t="s">
        <v>25</v>
      </c>
      <c r="G886">
        <v>1</v>
      </c>
      <c r="H886">
        <v>0.1</v>
      </c>
      <c r="I886">
        <v>252</v>
      </c>
      <c r="J886">
        <v>110.35</v>
      </c>
      <c r="K886" t="str">
        <f t="shared" si="39"/>
        <v>Furniture</v>
      </c>
      <c r="L886" t="str">
        <f t="shared" si="40"/>
        <v>Apr-2025</v>
      </c>
      <c r="M886" s="14">
        <f t="shared" si="41"/>
        <v>45748</v>
      </c>
    </row>
    <row r="887" spans="1:13" x14ac:dyDescent="0.35">
      <c r="A887" t="s">
        <v>1016</v>
      </c>
      <c r="B887" s="2">
        <v>45827</v>
      </c>
      <c r="C887" t="s">
        <v>238</v>
      </c>
      <c r="D887" t="s">
        <v>12</v>
      </c>
      <c r="E887" t="s">
        <v>13</v>
      </c>
      <c r="F887" t="s">
        <v>22</v>
      </c>
      <c r="G887">
        <v>1</v>
      </c>
      <c r="H887">
        <v>0</v>
      </c>
      <c r="I887">
        <v>35</v>
      </c>
      <c r="J887">
        <v>10.93</v>
      </c>
      <c r="K887" t="str">
        <f t="shared" si="39"/>
        <v>Technology</v>
      </c>
      <c r="L887" t="str">
        <f t="shared" si="40"/>
        <v>Jun-2025</v>
      </c>
      <c r="M887" s="14">
        <f t="shared" si="41"/>
        <v>45809</v>
      </c>
    </row>
    <row r="888" spans="1:13" x14ac:dyDescent="0.35">
      <c r="A888" t="s">
        <v>1017</v>
      </c>
      <c r="B888" s="2">
        <v>46002</v>
      </c>
      <c r="C888" t="s">
        <v>20</v>
      </c>
      <c r="D888" t="s">
        <v>35</v>
      </c>
      <c r="E888" t="s">
        <v>13</v>
      </c>
      <c r="F888" t="s">
        <v>22</v>
      </c>
      <c r="G888">
        <v>5</v>
      </c>
      <c r="H888">
        <v>0.2</v>
      </c>
      <c r="I888">
        <v>3400</v>
      </c>
      <c r="J888">
        <v>887.9</v>
      </c>
      <c r="K888" t="str">
        <f t="shared" si="39"/>
        <v>Technology</v>
      </c>
      <c r="L888" t="str">
        <f t="shared" si="40"/>
        <v>Dec-2025</v>
      </c>
      <c r="M888" s="14">
        <f t="shared" si="41"/>
        <v>45992</v>
      </c>
    </row>
    <row r="889" spans="1:13" x14ac:dyDescent="0.35">
      <c r="A889" t="s">
        <v>1018</v>
      </c>
      <c r="B889" s="2">
        <v>45891</v>
      </c>
      <c r="C889" t="s">
        <v>315</v>
      </c>
      <c r="D889" t="s">
        <v>17</v>
      </c>
      <c r="E889" t="s">
        <v>18</v>
      </c>
      <c r="F889" t="s">
        <v>25</v>
      </c>
      <c r="G889">
        <v>5</v>
      </c>
      <c r="H889">
        <v>0.1</v>
      </c>
      <c r="I889">
        <v>945</v>
      </c>
      <c r="J889">
        <v>134.77000000000001</v>
      </c>
      <c r="K889" t="str">
        <f t="shared" si="39"/>
        <v>Furniture</v>
      </c>
      <c r="L889" t="str">
        <f t="shared" si="40"/>
        <v>Aug-2025</v>
      </c>
      <c r="M889" s="14">
        <f t="shared" si="41"/>
        <v>45870</v>
      </c>
    </row>
    <row r="890" spans="1:13" x14ac:dyDescent="0.35">
      <c r="A890" t="s">
        <v>1019</v>
      </c>
      <c r="B890" s="2">
        <v>45823</v>
      </c>
      <c r="C890" t="s">
        <v>95</v>
      </c>
      <c r="D890" t="s">
        <v>49</v>
      </c>
      <c r="E890" t="s">
        <v>13</v>
      </c>
      <c r="F890" t="s">
        <v>14</v>
      </c>
      <c r="G890">
        <v>4</v>
      </c>
      <c r="H890">
        <v>0</v>
      </c>
      <c r="I890">
        <v>280</v>
      </c>
      <c r="J890">
        <v>55.92</v>
      </c>
      <c r="K890" t="str">
        <f t="shared" si="39"/>
        <v>Technology</v>
      </c>
      <c r="L890" t="str">
        <f t="shared" si="40"/>
        <v>Jun-2025</v>
      </c>
      <c r="M890" s="14">
        <f t="shared" si="41"/>
        <v>45809</v>
      </c>
    </row>
    <row r="891" spans="1:13" x14ac:dyDescent="0.35">
      <c r="A891" t="s">
        <v>1020</v>
      </c>
      <c r="B891" s="2">
        <v>45807</v>
      </c>
      <c r="C891" t="s">
        <v>295</v>
      </c>
      <c r="D891" t="s">
        <v>45</v>
      </c>
      <c r="E891" t="s">
        <v>46</v>
      </c>
      <c r="F891" t="s">
        <v>25</v>
      </c>
      <c r="G891">
        <v>2</v>
      </c>
      <c r="H891">
        <v>0</v>
      </c>
      <c r="I891">
        <v>36</v>
      </c>
      <c r="J891">
        <v>7.95</v>
      </c>
      <c r="K891" t="str">
        <f t="shared" si="39"/>
        <v>Office Supplies</v>
      </c>
      <c r="L891" t="str">
        <f t="shared" si="40"/>
        <v>May-2025</v>
      </c>
      <c r="M891" s="14">
        <f t="shared" si="41"/>
        <v>45778</v>
      </c>
    </row>
    <row r="892" spans="1:13" x14ac:dyDescent="0.35">
      <c r="A892" t="s">
        <v>1021</v>
      </c>
      <c r="B892" s="2">
        <v>45927</v>
      </c>
      <c r="C892" t="s">
        <v>349</v>
      </c>
      <c r="D892" t="s">
        <v>99</v>
      </c>
      <c r="E892" t="s">
        <v>18</v>
      </c>
      <c r="F892" t="s">
        <v>14</v>
      </c>
      <c r="G892">
        <v>5</v>
      </c>
      <c r="H892">
        <v>0.05</v>
      </c>
      <c r="I892">
        <v>902.5</v>
      </c>
      <c r="J892">
        <v>198.89</v>
      </c>
      <c r="K892" t="str">
        <f t="shared" si="39"/>
        <v>Furniture</v>
      </c>
      <c r="L892" t="str">
        <f t="shared" si="40"/>
        <v>Sept-2025</v>
      </c>
      <c r="M892" s="14">
        <f t="shared" si="41"/>
        <v>45901</v>
      </c>
    </row>
    <row r="893" spans="1:13" x14ac:dyDescent="0.35">
      <c r="A893" t="s">
        <v>1022</v>
      </c>
      <c r="B893" s="2">
        <v>45713</v>
      </c>
      <c r="C893" t="s">
        <v>515</v>
      </c>
      <c r="D893" t="s">
        <v>83</v>
      </c>
      <c r="E893" t="s">
        <v>46</v>
      </c>
      <c r="F893" t="s">
        <v>25</v>
      </c>
      <c r="G893">
        <v>5</v>
      </c>
      <c r="H893">
        <v>0</v>
      </c>
      <c r="I893">
        <v>125</v>
      </c>
      <c r="J893">
        <v>36.299999999999997</v>
      </c>
      <c r="K893" t="str">
        <f t="shared" si="39"/>
        <v>Office Supplies</v>
      </c>
      <c r="L893" t="str">
        <f t="shared" si="40"/>
        <v>Feb-2025</v>
      </c>
      <c r="M893" s="14">
        <f t="shared" si="41"/>
        <v>45689</v>
      </c>
    </row>
    <row r="894" spans="1:13" x14ac:dyDescent="0.35">
      <c r="A894" t="s">
        <v>1023</v>
      </c>
      <c r="B894" s="2">
        <v>45876</v>
      </c>
      <c r="C894" t="s">
        <v>111</v>
      </c>
      <c r="D894" t="s">
        <v>83</v>
      </c>
      <c r="E894" t="s">
        <v>46</v>
      </c>
      <c r="F894" t="s">
        <v>25</v>
      </c>
      <c r="G894">
        <v>3</v>
      </c>
      <c r="H894">
        <v>0.1</v>
      </c>
      <c r="I894">
        <v>67.5</v>
      </c>
      <c r="J894">
        <v>18.670000000000002</v>
      </c>
      <c r="K894" t="str">
        <f t="shared" si="39"/>
        <v>Office Supplies</v>
      </c>
      <c r="L894" t="str">
        <f t="shared" si="40"/>
        <v>Aug-2025</v>
      </c>
      <c r="M894" s="14">
        <f t="shared" si="41"/>
        <v>45870</v>
      </c>
    </row>
    <row r="895" spans="1:13" x14ac:dyDescent="0.35">
      <c r="A895" t="s">
        <v>1024</v>
      </c>
      <c r="B895" s="2">
        <v>45724</v>
      </c>
      <c r="C895" t="s">
        <v>189</v>
      </c>
      <c r="D895" t="s">
        <v>83</v>
      </c>
      <c r="E895" t="s">
        <v>46</v>
      </c>
      <c r="F895" t="s">
        <v>50</v>
      </c>
      <c r="G895">
        <v>5</v>
      </c>
      <c r="H895">
        <v>0.15</v>
      </c>
      <c r="I895">
        <v>106.25</v>
      </c>
      <c r="J895">
        <v>29.59</v>
      </c>
      <c r="K895" t="str">
        <f t="shared" si="39"/>
        <v>Office Supplies</v>
      </c>
      <c r="L895" t="str">
        <f t="shared" si="40"/>
        <v>Mar-2025</v>
      </c>
      <c r="M895" s="14">
        <f t="shared" si="41"/>
        <v>45717</v>
      </c>
    </row>
    <row r="896" spans="1:13" x14ac:dyDescent="0.35">
      <c r="A896" t="s">
        <v>1025</v>
      </c>
      <c r="B896" s="2">
        <v>45910</v>
      </c>
      <c r="C896" t="s">
        <v>142</v>
      </c>
      <c r="D896" t="s">
        <v>28</v>
      </c>
      <c r="E896" t="s">
        <v>18</v>
      </c>
      <c r="F896" t="s">
        <v>14</v>
      </c>
      <c r="G896">
        <v>5</v>
      </c>
      <c r="H896">
        <v>0.05</v>
      </c>
      <c r="I896">
        <v>1330</v>
      </c>
      <c r="J896">
        <v>287.5</v>
      </c>
      <c r="K896" t="str">
        <f t="shared" si="39"/>
        <v>Furniture</v>
      </c>
      <c r="L896" t="str">
        <f t="shared" si="40"/>
        <v>Sept-2025</v>
      </c>
      <c r="M896" s="14">
        <f t="shared" si="41"/>
        <v>45901</v>
      </c>
    </row>
    <row r="897" spans="1:13" x14ac:dyDescent="0.35">
      <c r="A897" t="s">
        <v>1026</v>
      </c>
      <c r="B897" s="2">
        <v>45718</v>
      </c>
      <c r="C897" t="s">
        <v>124</v>
      </c>
      <c r="D897" t="s">
        <v>67</v>
      </c>
      <c r="E897" t="s">
        <v>13</v>
      </c>
      <c r="F897" t="s">
        <v>50</v>
      </c>
      <c r="G897">
        <v>4</v>
      </c>
      <c r="H897">
        <v>0</v>
      </c>
      <c r="I897">
        <v>4800</v>
      </c>
      <c r="J897">
        <v>991.85</v>
      </c>
      <c r="K897" t="str">
        <f t="shared" si="39"/>
        <v>Technology</v>
      </c>
      <c r="L897" t="str">
        <f t="shared" si="40"/>
        <v>Mar-2025</v>
      </c>
      <c r="M897" s="14">
        <f t="shared" si="41"/>
        <v>45717</v>
      </c>
    </row>
    <row r="898" spans="1:13" x14ac:dyDescent="0.35">
      <c r="A898" t="s">
        <v>1027</v>
      </c>
      <c r="B898" s="2">
        <v>45869</v>
      </c>
      <c r="C898" t="s">
        <v>44</v>
      </c>
      <c r="D898" t="s">
        <v>67</v>
      </c>
      <c r="E898" t="s">
        <v>13</v>
      </c>
      <c r="F898" t="s">
        <v>22</v>
      </c>
      <c r="G898">
        <v>3</v>
      </c>
      <c r="H898">
        <v>0.1</v>
      </c>
      <c r="I898">
        <v>3240</v>
      </c>
      <c r="J898">
        <v>858.8</v>
      </c>
      <c r="K898" t="str">
        <f t="shared" ref="K898:K961" si="42">TRIM(E898)</f>
        <v>Technology</v>
      </c>
      <c r="L898" t="str">
        <f t="shared" si="40"/>
        <v>Jul-2025</v>
      </c>
      <c r="M898" s="14">
        <f t="shared" si="41"/>
        <v>45839</v>
      </c>
    </row>
    <row r="899" spans="1:13" x14ac:dyDescent="0.35">
      <c r="A899" t="s">
        <v>1028</v>
      </c>
      <c r="B899" s="2">
        <v>45663</v>
      </c>
      <c r="C899" t="s">
        <v>80</v>
      </c>
      <c r="D899" t="s">
        <v>38</v>
      </c>
      <c r="E899" t="s">
        <v>13</v>
      </c>
      <c r="F899" t="s">
        <v>25</v>
      </c>
      <c r="G899">
        <v>2</v>
      </c>
      <c r="H899">
        <v>0.1</v>
      </c>
      <c r="I899">
        <v>576</v>
      </c>
      <c r="J899">
        <v>210.84</v>
      </c>
      <c r="K899" t="str">
        <f t="shared" si="42"/>
        <v>Technology</v>
      </c>
      <c r="L899" t="str">
        <f t="shared" ref="L899:L962" si="43">TEXT(B899,"mmm-yyyy")</f>
        <v>Jan-2025</v>
      </c>
      <c r="M899" s="14">
        <f t="shared" ref="M899:M962" si="44">DATE(YEAR(B899),MONTH(B899),1)</f>
        <v>45658</v>
      </c>
    </row>
    <row r="900" spans="1:13" x14ac:dyDescent="0.35">
      <c r="A900" t="s">
        <v>1029</v>
      </c>
      <c r="B900" s="2">
        <v>45811</v>
      </c>
      <c r="C900" t="s">
        <v>183</v>
      </c>
      <c r="D900" t="s">
        <v>55</v>
      </c>
      <c r="E900" t="s">
        <v>46</v>
      </c>
      <c r="F900" t="s">
        <v>25</v>
      </c>
      <c r="G900">
        <v>5</v>
      </c>
      <c r="H900">
        <v>0.1</v>
      </c>
      <c r="I900">
        <v>1080</v>
      </c>
      <c r="J900">
        <v>212.63</v>
      </c>
      <c r="K900" t="str">
        <f t="shared" si="42"/>
        <v>Office Supplies</v>
      </c>
      <c r="L900" t="str">
        <f t="shared" si="43"/>
        <v>Jun-2025</v>
      </c>
      <c r="M900" s="14">
        <f t="shared" si="44"/>
        <v>45809</v>
      </c>
    </row>
    <row r="901" spans="1:13" x14ac:dyDescent="0.35">
      <c r="A901" t="s">
        <v>1030</v>
      </c>
      <c r="B901" s="2">
        <v>45832</v>
      </c>
      <c r="C901" t="s">
        <v>238</v>
      </c>
      <c r="D901" t="s">
        <v>99</v>
      </c>
      <c r="E901" t="s">
        <v>18</v>
      </c>
      <c r="F901" t="s">
        <v>22</v>
      </c>
      <c r="G901">
        <v>5</v>
      </c>
      <c r="H901">
        <v>0.2</v>
      </c>
      <c r="I901">
        <v>760</v>
      </c>
      <c r="J901">
        <v>101.2</v>
      </c>
      <c r="K901" t="str">
        <f t="shared" si="42"/>
        <v>Furniture</v>
      </c>
      <c r="L901" t="str">
        <f t="shared" si="43"/>
        <v>Jun-2025</v>
      </c>
      <c r="M901" s="14">
        <f t="shared" si="44"/>
        <v>45809</v>
      </c>
    </row>
    <row r="902" spans="1:13" x14ac:dyDescent="0.35">
      <c r="A902" t="s">
        <v>1031</v>
      </c>
      <c r="B902" s="2">
        <v>45827</v>
      </c>
      <c r="C902" t="s">
        <v>192</v>
      </c>
      <c r="D902" t="s">
        <v>49</v>
      </c>
      <c r="E902" t="s">
        <v>13</v>
      </c>
      <c r="F902" t="s">
        <v>22</v>
      </c>
      <c r="G902">
        <v>4</v>
      </c>
      <c r="H902">
        <v>0.15</v>
      </c>
      <c r="I902">
        <v>238</v>
      </c>
      <c r="J902">
        <v>44.48</v>
      </c>
      <c r="K902" t="str">
        <f t="shared" si="42"/>
        <v>Technology</v>
      </c>
      <c r="L902" t="str">
        <f t="shared" si="43"/>
        <v>Jun-2025</v>
      </c>
      <c r="M902" s="14">
        <f t="shared" si="44"/>
        <v>45809</v>
      </c>
    </row>
    <row r="903" spans="1:13" x14ac:dyDescent="0.35">
      <c r="A903" t="s">
        <v>1032</v>
      </c>
      <c r="B903" s="2">
        <v>45904</v>
      </c>
      <c r="C903" t="s">
        <v>89</v>
      </c>
      <c r="D903" t="s">
        <v>28</v>
      </c>
      <c r="E903" t="s">
        <v>18</v>
      </c>
      <c r="F903" t="s">
        <v>50</v>
      </c>
      <c r="G903">
        <v>4</v>
      </c>
      <c r="H903">
        <v>0.2</v>
      </c>
      <c r="I903">
        <v>896</v>
      </c>
      <c r="J903">
        <v>138.29</v>
      </c>
      <c r="K903" t="str">
        <f t="shared" si="42"/>
        <v>Furniture</v>
      </c>
      <c r="L903" t="str">
        <f t="shared" si="43"/>
        <v>Sept-2025</v>
      </c>
      <c r="M903" s="14">
        <f t="shared" si="44"/>
        <v>45901</v>
      </c>
    </row>
    <row r="904" spans="1:13" x14ac:dyDescent="0.35">
      <c r="A904" t="s">
        <v>1033</v>
      </c>
      <c r="B904" s="2">
        <v>45686</v>
      </c>
      <c r="C904" t="s">
        <v>48</v>
      </c>
      <c r="D904" t="s">
        <v>55</v>
      </c>
      <c r="E904" t="s">
        <v>46</v>
      </c>
      <c r="F904" t="s">
        <v>14</v>
      </c>
      <c r="G904">
        <v>3</v>
      </c>
      <c r="H904">
        <v>0.2</v>
      </c>
      <c r="I904">
        <v>576</v>
      </c>
      <c r="J904">
        <v>121.4</v>
      </c>
      <c r="K904" t="str">
        <f t="shared" si="42"/>
        <v>Office Supplies</v>
      </c>
      <c r="L904" t="str">
        <f t="shared" si="43"/>
        <v>Jan-2025</v>
      </c>
      <c r="M904" s="14">
        <f t="shared" si="44"/>
        <v>45658</v>
      </c>
    </row>
    <row r="905" spans="1:13" x14ac:dyDescent="0.35">
      <c r="A905" t="s">
        <v>1034</v>
      </c>
      <c r="B905" s="2">
        <v>45764</v>
      </c>
      <c r="C905" t="s">
        <v>251</v>
      </c>
      <c r="D905" t="s">
        <v>83</v>
      </c>
      <c r="E905" t="s">
        <v>46</v>
      </c>
      <c r="F905" t="s">
        <v>25</v>
      </c>
      <c r="G905">
        <v>3</v>
      </c>
      <c r="H905">
        <v>0.1</v>
      </c>
      <c r="I905">
        <v>67.5</v>
      </c>
      <c r="J905">
        <v>28.9</v>
      </c>
      <c r="K905" t="str">
        <f t="shared" si="42"/>
        <v>Office Supplies</v>
      </c>
      <c r="L905" t="str">
        <f t="shared" si="43"/>
        <v>Apr-2025</v>
      </c>
      <c r="M905" s="14">
        <f t="shared" si="44"/>
        <v>45748</v>
      </c>
    </row>
    <row r="906" spans="1:13" x14ac:dyDescent="0.35">
      <c r="A906" t="s">
        <v>1035</v>
      </c>
      <c r="B906" s="2">
        <v>45673</v>
      </c>
      <c r="C906" t="s">
        <v>219</v>
      </c>
      <c r="D906" t="s">
        <v>49</v>
      </c>
      <c r="E906" t="s">
        <v>13</v>
      </c>
      <c r="F906" t="s">
        <v>50</v>
      </c>
      <c r="G906">
        <v>4</v>
      </c>
      <c r="H906">
        <v>0.2</v>
      </c>
      <c r="I906">
        <v>224</v>
      </c>
      <c r="J906">
        <v>38.53</v>
      </c>
      <c r="K906" t="str">
        <f t="shared" si="42"/>
        <v>Technology</v>
      </c>
      <c r="L906" t="str">
        <f t="shared" si="43"/>
        <v>Jan-2025</v>
      </c>
      <c r="M906" s="14">
        <f t="shared" si="44"/>
        <v>45658</v>
      </c>
    </row>
    <row r="907" spans="1:13" x14ac:dyDescent="0.35">
      <c r="A907" t="s">
        <v>1036</v>
      </c>
      <c r="B907" s="2">
        <v>45753</v>
      </c>
      <c r="C907" t="s">
        <v>48</v>
      </c>
      <c r="D907" t="s">
        <v>83</v>
      </c>
      <c r="E907" t="s">
        <v>46</v>
      </c>
      <c r="F907" t="s">
        <v>14</v>
      </c>
      <c r="G907">
        <v>1</v>
      </c>
      <c r="H907">
        <v>0.1</v>
      </c>
      <c r="I907">
        <v>22.5</v>
      </c>
      <c r="J907">
        <v>4.8899999999999997</v>
      </c>
      <c r="K907" t="str">
        <f t="shared" si="42"/>
        <v>Office Supplies</v>
      </c>
      <c r="L907" t="str">
        <f t="shared" si="43"/>
        <v>Apr-2025</v>
      </c>
      <c r="M907" s="14">
        <f t="shared" si="44"/>
        <v>45748</v>
      </c>
    </row>
    <row r="908" spans="1:13" x14ac:dyDescent="0.35">
      <c r="A908" t="s">
        <v>1037</v>
      </c>
      <c r="B908" s="2">
        <v>45797</v>
      </c>
      <c r="C908" t="s">
        <v>69</v>
      </c>
      <c r="D908" t="s">
        <v>99</v>
      </c>
      <c r="E908" t="s">
        <v>18</v>
      </c>
      <c r="F908" t="s">
        <v>50</v>
      </c>
      <c r="G908">
        <v>1</v>
      </c>
      <c r="H908">
        <v>0.15</v>
      </c>
      <c r="I908">
        <v>161.5</v>
      </c>
      <c r="J908">
        <v>25.93</v>
      </c>
      <c r="K908" t="str">
        <f t="shared" si="42"/>
        <v>Furniture</v>
      </c>
      <c r="L908" t="str">
        <f t="shared" si="43"/>
        <v>May-2025</v>
      </c>
      <c r="M908" s="14">
        <f t="shared" si="44"/>
        <v>45778</v>
      </c>
    </row>
    <row r="909" spans="1:13" x14ac:dyDescent="0.35">
      <c r="A909" t="s">
        <v>1038</v>
      </c>
      <c r="B909" s="2">
        <v>45812</v>
      </c>
      <c r="C909" t="s">
        <v>69</v>
      </c>
      <c r="D909" t="s">
        <v>21</v>
      </c>
      <c r="E909" t="s">
        <v>18</v>
      </c>
      <c r="F909" t="s">
        <v>14</v>
      </c>
      <c r="G909">
        <v>5</v>
      </c>
      <c r="H909">
        <v>0.1</v>
      </c>
      <c r="I909">
        <v>247.5</v>
      </c>
      <c r="J909">
        <v>97.08</v>
      </c>
      <c r="K909" t="str">
        <f t="shared" si="42"/>
        <v>Furniture</v>
      </c>
      <c r="L909" t="str">
        <f t="shared" si="43"/>
        <v>Jun-2025</v>
      </c>
      <c r="M909" s="14">
        <f t="shared" si="44"/>
        <v>45809</v>
      </c>
    </row>
    <row r="910" spans="1:13" x14ac:dyDescent="0.35">
      <c r="A910" t="s">
        <v>1039</v>
      </c>
      <c r="B910" s="2">
        <v>45761</v>
      </c>
      <c r="C910" t="s">
        <v>641</v>
      </c>
      <c r="D910" t="s">
        <v>12</v>
      </c>
      <c r="E910" t="s">
        <v>13</v>
      </c>
      <c r="F910" t="s">
        <v>22</v>
      </c>
      <c r="G910">
        <v>4</v>
      </c>
      <c r="H910">
        <v>0.2</v>
      </c>
      <c r="I910">
        <v>112</v>
      </c>
      <c r="J910">
        <v>49.48</v>
      </c>
      <c r="K910" t="str">
        <f t="shared" si="42"/>
        <v>Technology</v>
      </c>
      <c r="L910" t="str">
        <f t="shared" si="43"/>
        <v>Apr-2025</v>
      </c>
      <c r="M910" s="14">
        <f t="shared" si="44"/>
        <v>45748</v>
      </c>
    </row>
    <row r="911" spans="1:13" x14ac:dyDescent="0.35">
      <c r="A911" t="s">
        <v>1040</v>
      </c>
      <c r="B911" s="2">
        <v>45755</v>
      </c>
      <c r="C911" t="s">
        <v>150</v>
      </c>
      <c r="D911" t="s">
        <v>49</v>
      </c>
      <c r="E911" t="s">
        <v>13</v>
      </c>
      <c r="F911" t="s">
        <v>22</v>
      </c>
      <c r="G911">
        <v>4</v>
      </c>
      <c r="H911">
        <v>0.2</v>
      </c>
      <c r="I911">
        <v>224</v>
      </c>
      <c r="J911">
        <v>77.86</v>
      </c>
      <c r="K911" t="str">
        <f t="shared" si="42"/>
        <v>Technology</v>
      </c>
      <c r="L911" t="str">
        <f t="shared" si="43"/>
        <v>Apr-2025</v>
      </c>
      <c r="M911" s="14">
        <f t="shared" si="44"/>
        <v>45748</v>
      </c>
    </row>
    <row r="912" spans="1:13" x14ac:dyDescent="0.35">
      <c r="A912" t="s">
        <v>1041</v>
      </c>
      <c r="B912" s="2">
        <v>45708</v>
      </c>
      <c r="C912" t="s">
        <v>101</v>
      </c>
      <c r="D912" t="s">
        <v>55</v>
      </c>
      <c r="E912" t="s">
        <v>46</v>
      </c>
      <c r="F912" t="s">
        <v>50</v>
      </c>
      <c r="G912">
        <v>2</v>
      </c>
      <c r="H912">
        <v>0.05</v>
      </c>
      <c r="I912">
        <v>456</v>
      </c>
      <c r="J912">
        <v>96.17</v>
      </c>
      <c r="K912" t="str">
        <f t="shared" si="42"/>
        <v>Office Supplies</v>
      </c>
      <c r="L912" t="str">
        <f t="shared" si="43"/>
        <v>Feb-2025</v>
      </c>
      <c r="M912" s="14">
        <f t="shared" si="44"/>
        <v>45689</v>
      </c>
    </row>
    <row r="913" spans="1:13" x14ac:dyDescent="0.35">
      <c r="A913" t="s">
        <v>1042</v>
      </c>
      <c r="B913" s="2">
        <v>45925</v>
      </c>
      <c r="C913" t="s">
        <v>278</v>
      </c>
      <c r="D913" t="s">
        <v>12</v>
      </c>
      <c r="E913" t="s">
        <v>13</v>
      </c>
      <c r="F913" t="s">
        <v>14</v>
      </c>
      <c r="G913">
        <v>1</v>
      </c>
      <c r="H913">
        <v>0.1</v>
      </c>
      <c r="I913">
        <v>31.5</v>
      </c>
      <c r="J913">
        <v>4.4800000000000004</v>
      </c>
      <c r="K913" t="str">
        <f t="shared" si="42"/>
        <v>Technology</v>
      </c>
      <c r="L913" t="str">
        <f t="shared" si="43"/>
        <v>Sept-2025</v>
      </c>
      <c r="M913" s="14">
        <f t="shared" si="44"/>
        <v>45901</v>
      </c>
    </row>
    <row r="914" spans="1:13" x14ac:dyDescent="0.35">
      <c r="A914" t="s">
        <v>1043</v>
      </c>
      <c r="B914" s="2">
        <v>45828</v>
      </c>
      <c r="C914" t="s">
        <v>145</v>
      </c>
      <c r="D914" t="s">
        <v>45</v>
      </c>
      <c r="E914" t="s">
        <v>46</v>
      </c>
      <c r="F914" t="s">
        <v>25</v>
      </c>
      <c r="G914">
        <v>1</v>
      </c>
      <c r="H914">
        <v>0</v>
      </c>
      <c r="I914">
        <v>18</v>
      </c>
      <c r="J914">
        <v>5.01</v>
      </c>
      <c r="K914" t="str">
        <f t="shared" si="42"/>
        <v>Office Supplies</v>
      </c>
      <c r="L914" t="str">
        <f t="shared" si="43"/>
        <v>Jun-2025</v>
      </c>
      <c r="M914" s="14">
        <f t="shared" si="44"/>
        <v>45809</v>
      </c>
    </row>
    <row r="915" spans="1:13" x14ac:dyDescent="0.35">
      <c r="A915" t="s">
        <v>1044</v>
      </c>
      <c r="B915" s="2">
        <v>45669</v>
      </c>
      <c r="C915" t="s">
        <v>142</v>
      </c>
      <c r="D915" t="s">
        <v>83</v>
      </c>
      <c r="E915" t="s">
        <v>46</v>
      </c>
      <c r="F915" t="s">
        <v>25</v>
      </c>
      <c r="G915">
        <v>3</v>
      </c>
      <c r="H915">
        <v>0.05</v>
      </c>
      <c r="I915">
        <v>71.25</v>
      </c>
      <c r="J915">
        <v>24.52</v>
      </c>
      <c r="K915" t="str">
        <f t="shared" si="42"/>
        <v>Office Supplies</v>
      </c>
      <c r="L915" t="str">
        <f t="shared" si="43"/>
        <v>Jan-2025</v>
      </c>
      <c r="M915" s="14">
        <f t="shared" si="44"/>
        <v>45658</v>
      </c>
    </row>
    <row r="916" spans="1:13" x14ac:dyDescent="0.35">
      <c r="A916" t="s">
        <v>1045</v>
      </c>
      <c r="B916" s="2">
        <v>45799</v>
      </c>
      <c r="C916" t="s">
        <v>231</v>
      </c>
      <c r="D916" t="s">
        <v>55</v>
      </c>
      <c r="E916" t="s">
        <v>46</v>
      </c>
      <c r="F916" t="s">
        <v>22</v>
      </c>
      <c r="G916">
        <v>3</v>
      </c>
      <c r="H916">
        <v>0.15</v>
      </c>
      <c r="I916">
        <v>612</v>
      </c>
      <c r="J916">
        <v>139.86000000000001</v>
      </c>
      <c r="K916" t="str">
        <f t="shared" si="42"/>
        <v>Office Supplies</v>
      </c>
      <c r="L916" t="str">
        <f t="shared" si="43"/>
        <v>May-2025</v>
      </c>
      <c r="M916" s="14">
        <f t="shared" si="44"/>
        <v>45778</v>
      </c>
    </row>
    <row r="917" spans="1:13" x14ac:dyDescent="0.35">
      <c r="A917" t="s">
        <v>1046</v>
      </c>
      <c r="B917" s="2">
        <v>45738</v>
      </c>
      <c r="C917" t="s">
        <v>20</v>
      </c>
      <c r="D917" t="s">
        <v>35</v>
      </c>
      <c r="E917" t="s">
        <v>13</v>
      </c>
      <c r="F917" t="s">
        <v>14</v>
      </c>
      <c r="G917">
        <v>1</v>
      </c>
      <c r="H917">
        <v>0</v>
      </c>
      <c r="I917">
        <v>850</v>
      </c>
      <c r="J917">
        <v>113.7</v>
      </c>
      <c r="K917" t="str">
        <f t="shared" si="42"/>
        <v>Technology</v>
      </c>
      <c r="L917" t="str">
        <f t="shared" si="43"/>
        <v>Mar-2025</v>
      </c>
      <c r="M917" s="14">
        <f t="shared" si="44"/>
        <v>45717</v>
      </c>
    </row>
    <row r="918" spans="1:13" x14ac:dyDescent="0.35">
      <c r="A918" t="s">
        <v>1047</v>
      </c>
      <c r="B918" s="2">
        <v>45763</v>
      </c>
      <c r="C918" t="s">
        <v>154</v>
      </c>
      <c r="D918" t="s">
        <v>55</v>
      </c>
      <c r="E918" t="s">
        <v>46</v>
      </c>
      <c r="F918" t="s">
        <v>25</v>
      </c>
      <c r="G918">
        <v>3</v>
      </c>
      <c r="H918">
        <v>0.2</v>
      </c>
      <c r="I918">
        <v>576</v>
      </c>
      <c r="J918">
        <v>198.66</v>
      </c>
      <c r="K918" t="str">
        <f t="shared" si="42"/>
        <v>Office Supplies</v>
      </c>
      <c r="L918" t="str">
        <f t="shared" si="43"/>
        <v>Apr-2025</v>
      </c>
      <c r="M918" s="14">
        <f t="shared" si="44"/>
        <v>45748</v>
      </c>
    </row>
    <row r="919" spans="1:13" x14ac:dyDescent="0.35">
      <c r="A919" t="s">
        <v>1048</v>
      </c>
      <c r="B919" s="2">
        <v>45951</v>
      </c>
      <c r="C919" t="s">
        <v>91</v>
      </c>
      <c r="D919" t="s">
        <v>21</v>
      </c>
      <c r="E919" t="s">
        <v>18</v>
      </c>
      <c r="F919" t="s">
        <v>50</v>
      </c>
      <c r="G919">
        <v>2</v>
      </c>
      <c r="H919">
        <v>0</v>
      </c>
      <c r="I919">
        <v>110</v>
      </c>
      <c r="J919">
        <v>38.200000000000003</v>
      </c>
      <c r="K919" t="str">
        <f t="shared" si="42"/>
        <v>Furniture</v>
      </c>
      <c r="L919" t="str">
        <f t="shared" si="43"/>
        <v>Oct-2025</v>
      </c>
      <c r="M919" s="14">
        <f t="shared" si="44"/>
        <v>45931</v>
      </c>
    </row>
    <row r="920" spans="1:13" x14ac:dyDescent="0.35">
      <c r="A920" t="s">
        <v>1049</v>
      </c>
      <c r="B920" s="2">
        <v>45683</v>
      </c>
      <c r="C920" t="s">
        <v>217</v>
      </c>
      <c r="D920" t="s">
        <v>28</v>
      </c>
      <c r="E920" t="s">
        <v>18</v>
      </c>
      <c r="F920" t="s">
        <v>14</v>
      </c>
      <c r="G920">
        <v>1</v>
      </c>
      <c r="H920">
        <v>0.15</v>
      </c>
      <c r="I920">
        <v>238</v>
      </c>
      <c r="J920">
        <v>36.159999999999997</v>
      </c>
      <c r="K920" t="str">
        <f t="shared" si="42"/>
        <v>Furniture</v>
      </c>
      <c r="L920" t="str">
        <f t="shared" si="43"/>
        <v>Jan-2025</v>
      </c>
      <c r="M920" s="14">
        <f t="shared" si="44"/>
        <v>45658</v>
      </c>
    </row>
    <row r="921" spans="1:13" x14ac:dyDescent="0.35">
      <c r="A921" t="s">
        <v>1050</v>
      </c>
      <c r="B921" s="2">
        <v>45854</v>
      </c>
      <c r="C921" t="s">
        <v>34</v>
      </c>
      <c r="D921" t="s">
        <v>67</v>
      </c>
      <c r="E921" t="s">
        <v>13</v>
      </c>
      <c r="F921" t="s">
        <v>50</v>
      </c>
      <c r="G921">
        <v>1</v>
      </c>
      <c r="H921">
        <v>0.15</v>
      </c>
      <c r="I921">
        <v>1020</v>
      </c>
      <c r="J921">
        <v>327.08</v>
      </c>
      <c r="K921" t="str">
        <f t="shared" si="42"/>
        <v>Technology</v>
      </c>
      <c r="L921" t="str">
        <f t="shared" si="43"/>
        <v>Jul-2025</v>
      </c>
      <c r="M921" s="14">
        <f t="shared" si="44"/>
        <v>45839</v>
      </c>
    </row>
    <row r="922" spans="1:13" x14ac:dyDescent="0.35">
      <c r="A922" t="s">
        <v>1051</v>
      </c>
      <c r="B922" s="2">
        <v>45973</v>
      </c>
      <c r="C922" t="s">
        <v>165</v>
      </c>
      <c r="D922" t="s">
        <v>49</v>
      </c>
      <c r="E922" t="s">
        <v>13</v>
      </c>
      <c r="F922" t="s">
        <v>14</v>
      </c>
      <c r="G922">
        <v>3</v>
      </c>
      <c r="H922">
        <v>0.1</v>
      </c>
      <c r="I922">
        <v>189</v>
      </c>
      <c r="J922">
        <v>34.07</v>
      </c>
      <c r="K922" t="str">
        <f t="shared" si="42"/>
        <v>Technology</v>
      </c>
      <c r="L922" t="str">
        <f t="shared" si="43"/>
        <v>Nov-2025</v>
      </c>
      <c r="M922" s="14">
        <f t="shared" si="44"/>
        <v>45962</v>
      </c>
    </row>
    <row r="923" spans="1:13" x14ac:dyDescent="0.35">
      <c r="A923" t="s">
        <v>1052</v>
      </c>
      <c r="B923" s="2">
        <v>45896</v>
      </c>
      <c r="C923" t="s">
        <v>135</v>
      </c>
      <c r="D923" t="s">
        <v>83</v>
      </c>
      <c r="E923" t="s">
        <v>46</v>
      </c>
      <c r="F923" t="s">
        <v>50</v>
      </c>
      <c r="G923">
        <v>2</v>
      </c>
      <c r="H923">
        <v>0</v>
      </c>
      <c r="I923">
        <v>50</v>
      </c>
      <c r="J923">
        <v>9.09</v>
      </c>
      <c r="K923" t="str">
        <f t="shared" si="42"/>
        <v>Office Supplies</v>
      </c>
      <c r="L923" t="str">
        <f t="shared" si="43"/>
        <v>Aug-2025</v>
      </c>
      <c r="M923" s="14">
        <f t="shared" si="44"/>
        <v>45870</v>
      </c>
    </row>
    <row r="924" spans="1:13" x14ac:dyDescent="0.35">
      <c r="A924" t="s">
        <v>1053</v>
      </c>
      <c r="B924" s="2">
        <v>45707</v>
      </c>
      <c r="C924" t="s">
        <v>224</v>
      </c>
      <c r="D924" t="s">
        <v>45</v>
      </c>
      <c r="E924" t="s">
        <v>46</v>
      </c>
      <c r="F924" t="s">
        <v>22</v>
      </c>
      <c r="G924">
        <v>3</v>
      </c>
      <c r="H924">
        <v>0.15</v>
      </c>
      <c r="I924">
        <v>45.9</v>
      </c>
      <c r="J924">
        <v>13.53</v>
      </c>
      <c r="K924" t="str">
        <f t="shared" si="42"/>
        <v>Office Supplies</v>
      </c>
      <c r="L924" t="str">
        <f t="shared" si="43"/>
        <v>Feb-2025</v>
      </c>
      <c r="M924" s="14">
        <f t="shared" si="44"/>
        <v>45689</v>
      </c>
    </row>
    <row r="925" spans="1:13" x14ac:dyDescent="0.35">
      <c r="A925" t="s">
        <v>1054</v>
      </c>
      <c r="B925" s="2">
        <v>45973</v>
      </c>
      <c r="C925" t="s">
        <v>78</v>
      </c>
      <c r="D925" t="s">
        <v>35</v>
      </c>
      <c r="E925" t="s">
        <v>13</v>
      </c>
      <c r="F925" t="s">
        <v>25</v>
      </c>
      <c r="G925">
        <v>3</v>
      </c>
      <c r="H925">
        <v>0.15</v>
      </c>
      <c r="I925">
        <v>2167.5</v>
      </c>
      <c r="J925">
        <v>844.23</v>
      </c>
      <c r="K925" t="str">
        <f t="shared" si="42"/>
        <v>Technology</v>
      </c>
      <c r="L925" t="str">
        <f t="shared" si="43"/>
        <v>Nov-2025</v>
      </c>
      <c r="M925" s="14">
        <f t="shared" si="44"/>
        <v>45962</v>
      </c>
    </row>
    <row r="926" spans="1:13" x14ac:dyDescent="0.35">
      <c r="A926" t="s">
        <v>1055</v>
      </c>
      <c r="B926" s="2">
        <v>45824</v>
      </c>
      <c r="C926" t="s">
        <v>183</v>
      </c>
      <c r="D926" t="s">
        <v>45</v>
      </c>
      <c r="E926" t="s">
        <v>46</v>
      </c>
      <c r="F926" t="s">
        <v>25</v>
      </c>
      <c r="G926">
        <v>4</v>
      </c>
      <c r="H926">
        <v>0</v>
      </c>
      <c r="I926">
        <v>72</v>
      </c>
      <c r="J926">
        <v>30.85</v>
      </c>
      <c r="K926" t="str">
        <f t="shared" si="42"/>
        <v>Office Supplies</v>
      </c>
      <c r="L926" t="str">
        <f t="shared" si="43"/>
        <v>Jun-2025</v>
      </c>
      <c r="M926" s="14">
        <f t="shared" si="44"/>
        <v>45809</v>
      </c>
    </row>
    <row r="927" spans="1:13" x14ac:dyDescent="0.35">
      <c r="A927" t="s">
        <v>1056</v>
      </c>
      <c r="B927" s="2">
        <v>45903</v>
      </c>
      <c r="C927" t="s">
        <v>185</v>
      </c>
      <c r="D927" t="s">
        <v>45</v>
      </c>
      <c r="E927" t="s">
        <v>46</v>
      </c>
      <c r="F927" t="s">
        <v>22</v>
      </c>
      <c r="G927">
        <v>2</v>
      </c>
      <c r="H927">
        <v>0.1</v>
      </c>
      <c r="I927">
        <v>32.4</v>
      </c>
      <c r="J927">
        <v>6.37</v>
      </c>
      <c r="K927" t="str">
        <f t="shared" si="42"/>
        <v>Office Supplies</v>
      </c>
      <c r="L927" t="str">
        <f t="shared" si="43"/>
        <v>Sept-2025</v>
      </c>
      <c r="M927" s="14">
        <f t="shared" si="44"/>
        <v>45901</v>
      </c>
    </row>
    <row r="928" spans="1:13" x14ac:dyDescent="0.35">
      <c r="A928" t="s">
        <v>1057</v>
      </c>
      <c r="B928" s="2">
        <v>45918</v>
      </c>
      <c r="C928" t="s">
        <v>196</v>
      </c>
      <c r="D928" t="s">
        <v>12</v>
      </c>
      <c r="E928" t="s">
        <v>13</v>
      </c>
      <c r="F928" t="s">
        <v>14</v>
      </c>
      <c r="G928">
        <v>4</v>
      </c>
      <c r="H928">
        <v>0</v>
      </c>
      <c r="I928">
        <v>140</v>
      </c>
      <c r="J928">
        <v>47.94</v>
      </c>
      <c r="K928" t="str">
        <f t="shared" si="42"/>
        <v>Technology</v>
      </c>
      <c r="L928" t="str">
        <f t="shared" si="43"/>
        <v>Sept-2025</v>
      </c>
      <c r="M928" s="14">
        <f t="shared" si="44"/>
        <v>45901</v>
      </c>
    </row>
    <row r="929" spans="1:13" x14ac:dyDescent="0.35">
      <c r="A929" t="s">
        <v>1058</v>
      </c>
      <c r="B929" s="2">
        <v>45812</v>
      </c>
      <c r="C929" t="s">
        <v>109</v>
      </c>
      <c r="D929" t="s">
        <v>55</v>
      </c>
      <c r="E929" t="s">
        <v>46</v>
      </c>
      <c r="F929" t="s">
        <v>22</v>
      </c>
      <c r="G929">
        <v>4</v>
      </c>
      <c r="H929">
        <v>0.15</v>
      </c>
      <c r="I929">
        <v>816</v>
      </c>
      <c r="J929">
        <v>208.18</v>
      </c>
      <c r="K929" t="str">
        <f t="shared" si="42"/>
        <v>Office Supplies</v>
      </c>
      <c r="L929" t="str">
        <f t="shared" si="43"/>
        <v>Jun-2025</v>
      </c>
      <c r="M929" s="14">
        <f t="shared" si="44"/>
        <v>45809</v>
      </c>
    </row>
    <row r="930" spans="1:13" x14ac:dyDescent="0.35">
      <c r="A930" t="s">
        <v>1059</v>
      </c>
      <c r="B930" s="2">
        <v>45938</v>
      </c>
      <c r="C930" t="s">
        <v>124</v>
      </c>
      <c r="D930" t="s">
        <v>28</v>
      </c>
      <c r="E930" t="s">
        <v>18</v>
      </c>
      <c r="F930" t="s">
        <v>50</v>
      </c>
      <c r="G930">
        <v>4</v>
      </c>
      <c r="H930">
        <v>0.15</v>
      </c>
      <c r="I930">
        <v>952</v>
      </c>
      <c r="J930">
        <v>407.65</v>
      </c>
      <c r="K930" t="str">
        <f t="shared" si="42"/>
        <v>Furniture</v>
      </c>
      <c r="L930" t="str">
        <f t="shared" si="43"/>
        <v>Oct-2025</v>
      </c>
      <c r="M930" s="14">
        <f t="shared" si="44"/>
        <v>45931</v>
      </c>
    </row>
    <row r="931" spans="1:13" x14ac:dyDescent="0.35">
      <c r="A931" t="s">
        <v>1060</v>
      </c>
      <c r="B931" s="2">
        <v>45880</v>
      </c>
      <c r="C931" t="s">
        <v>238</v>
      </c>
      <c r="D931" t="s">
        <v>83</v>
      </c>
      <c r="E931" t="s">
        <v>46</v>
      </c>
      <c r="F931" t="s">
        <v>14</v>
      </c>
      <c r="G931">
        <v>3</v>
      </c>
      <c r="H931">
        <v>0.2</v>
      </c>
      <c r="I931">
        <v>60</v>
      </c>
      <c r="J931">
        <v>13.26</v>
      </c>
      <c r="K931" t="str">
        <f t="shared" si="42"/>
        <v>Office Supplies</v>
      </c>
      <c r="L931" t="str">
        <f t="shared" si="43"/>
        <v>Aug-2025</v>
      </c>
      <c r="M931" s="14">
        <f t="shared" si="44"/>
        <v>45870</v>
      </c>
    </row>
    <row r="932" spans="1:13" x14ac:dyDescent="0.35">
      <c r="A932" t="s">
        <v>1061</v>
      </c>
      <c r="B932" s="2">
        <v>46022</v>
      </c>
      <c r="C932" t="s">
        <v>89</v>
      </c>
      <c r="D932" t="s">
        <v>83</v>
      </c>
      <c r="E932" t="s">
        <v>46</v>
      </c>
      <c r="F932" t="s">
        <v>25</v>
      </c>
      <c r="G932">
        <v>4</v>
      </c>
      <c r="H932">
        <v>0</v>
      </c>
      <c r="I932">
        <v>100</v>
      </c>
      <c r="J932">
        <v>25.46</v>
      </c>
      <c r="K932" t="str">
        <f t="shared" si="42"/>
        <v>Office Supplies</v>
      </c>
      <c r="L932" t="str">
        <f t="shared" si="43"/>
        <v>Dec-2025</v>
      </c>
      <c r="M932" s="14">
        <f t="shared" si="44"/>
        <v>45992</v>
      </c>
    </row>
    <row r="933" spans="1:13" x14ac:dyDescent="0.35">
      <c r="A933" t="s">
        <v>1062</v>
      </c>
      <c r="B933" s="2">
        <v>45942</v>
      </c>
      <c r="C933" t="s">
        <v>98</v>
      </c>
      <c r="D933" t="s">
        <v>12</v>
      </c>
      <c r="E933" t="s">
        <v>13</v>
      </c>
      <c r="F933" t="s">
        <v>14</v>
      </c>
      <c r="G933">
        <v>4</v>
      </c>
      <c r="H933">
        <v>0.05</v>
      </c>
      <c r="I933">
        <v>133</v>
      </c>
      <c r="J933">
        <v>46.33</v>
      </c>
      <c r="K933" t="str">
        <f t="shared" si="42"/>
        <v>Technology</v>
      </c>
      <c r="L933" t="str">
        <f t="shared" si="43"/>
        <v>Oct-2025</v>
      </c>
      <c r="M933" s="14">
        <f t="shared" si="44"/>
        <v>45931</v>
      </c>
    </row>
    <row r="934" spans="1:13" x14ac:dyDescent="0.35">
      <c r="A934" t="s">
        <v>1063</v>
      </c>
      <c r="B934" s="2">
        <v>45964</v>
      </c>
      <c r="C934" t="s">
        <v>192</v>
      </c>
      <c r="D934" t="s">
        <v>12</v>
      </c>
      <c r="E934" t="s">
        <v>13</v>
      </c>
      <c r="F934" t="s">
        <v>14</v>
      </c>
      <c r="G934">
        <v>5</v>
      </c>
      <c r="H934">
        <v>0.15</v>
      </c>
      <c r="I934">
        <v>148.75</v>
      </c>
      <c r="J934">
        <v>50.87</v>
      </c>
      <c r="K934" t="str">
        <f t="shared" si="42"/>
        <v>Technology</v>
      </c>
      <c r="L934" t="str">
        <f t="shared" si="43"/>
        <v>Nov-2025</v>
      </c>
      <c r="M934" s="14">
        <f t="shared" si="44"/>
        <v>45962</v>
      </c>
    </row>
    <row r="935" spans="1:13" x14ac:dyDescent="0.35">
      <c r="A935" t="s">
        <v>1064</v>
      </c>
      <c r="B935" s="2">
        <v>45704</v>
      </c>
      <c r="C935" t="s">
        <v>44</v>
      </c>
      <c r="D935" t="s">
        <v>21</v>
      </c>
      <c r="E935" t="s">
        <v>18</v>
      </c>
      <c r="F935" t="s">
        <v>14</v>
      </c>
      <c r="G935">
        <v>2</v>
      </c>
      <c r="H935">
        <v>0.2</v>
      </c>
      <c r="I935">
        <v>88</v>
      </c>
      <c r="J935">
        <v>13.37</v>
      </c>
      <c r="K935" t="str">
        <f t="shared" si="42"/>
        <v>Furniture</v>
      </c>
      <c r="L935" t="str">
        <f t="shared" si="43"/>
        <v>Feb-2025</v>
      </c>
      <c r="M935" s="14">
        <f t="shared" si="44"/>
        <v>45689</v>
      </c>
    </row>
    <row r="936" spans="1:13" x14ac:dyDescent="0.35">
      <c r="A936" t="s">
        <v>1065</v>
      </c>
      <c r="B936" s="2">
        <v>45733</v>
      </c>
      <c r="C936" t="s">
        <v>59</v>
      </c>
      <c r="D936" t="s">
        <v>38</v>
      </c>
      <c r="E936" t="s">
        <v>13</v>
      </c>
      <c r="F936" t="s">
        <v>50</v>
      </c>
      <c r="G936">
        <v>2</v>
      </c>
      <c r="H936">
        <v>0.15</v>
      </c>
      <c r="I936">
        <v>544</v>
      </c>
      <c r="J936">
        <v>149.43</v>
      </c>
      <c r="K936" t="str">
        <f t="shared" si="42"/>
        <v>Technology</v>
      </c>
      <c r="L936" t="str">
        <f t="shared" si="43"/>
        <v>Mar-2025</v>
      </c>
      <c r="M936" s="14">
        <f t="shared" si="44"/>
        <v>45717</v>
      </c>
    </row>
    <row r="937" spans="1:13" x14ac:dyDescent="0.35">
      <c r="A937" t="s">
        <v>1066</v>
      </c>
      <c r="B937" s="2">
        <v>45758</v>
      </c>
      <c r="C937" t="s">
        <v>236</v>
      </c>
      <c r="D937" t="s">
        <v>21</v>
      </c>
      <c r="E937" t="s">
        <v>18</v>
      </c>
      <c r="F937" t="s">
        <v>25</v>
      </c>
      <c r="G937">
        <v>3</v>
      </c>
      <c r="H937">
        <v>0.1</v>
      </c>
      <c r="I937">
        <v>148.5</v>
      </c>
      <c r="J937">
        <v>38.880000000000003</v>
      </c>
      <c r="K937" t="str">
        <f t="shared" si="42"/>
        <v>Furniture</v>
      </c>
      <c r="L937" t="str">
        <f t="shared" si="43"/>
        <v>Apr-2025</v>
      </c>
      <c r="M937" s="14">
        <f t="shared" si="44"/>
        <v>45748</v>
      </c>
    </row>
    <row r="938" spans="1:13" x14ac:dyDescent="0.35">
      <c r="A938" t="s">
        <v>1067</v>
      </c>
      <c r="B938" s="2">
        <v>45880</v>
      </c>
      <c r="C938" t="s">
        <v>349</v>
      </c>
      <c r="D938" t="s">
        <v>17</v>
      </c>
      <c r="E938" t="s">
        <v>18</v>
      </c>
      <c r="F938" t="s">
        <v>50</v>
      </c>
      <c r="G938">
        <v>3</v>
      </c>
      <c r="H938">
        <v>0</v>
      </c>
      <c r="I938">
        <v>630</v>
      </c>
      <c r="J938">
        <v>162.35</v>
      </c>
      <c r="K938" t="str">
        <f t="shared" si="42"/>
        <v>Furniture</v>
      </c>
      <c r="L938" t="str">
        <f t="shared" si="43"/>
        <v>Aug-2025</v>
      </c>
      <c r="M938" s="14">
        <f t="shared" si="44"/>
        <v>45870</v>
      </c>
    </row>
    <row r="939" spans="1:13" x14ac:dyDescent="0.35">
      <c r="A939" t="s">
        <v>1068</v>
      </c>
      <c r="B939" s="2">
        <v>45723</v>
      </c>
      <c r="C939" t="s">
        <v>217</v>
      </c>
      <c r="D939" t="s">
        <v>35</v>
      </c>
      <c r="E939" t="s">
        <v>13</v>
      </c>
      <c r="F939" t="s">
        <v>14</v>
      </c>
      <c r="G939">
        <v>1</v>
      </c>
      <c r="H939">
        <v>0.1</v>
      </c>
      <c r="I939">
        <v>765</v>
      </c>
      <c r="J939">
        <v>116.77</v>
      </c>
      <c r="K939" t="str">
        <f t="shared" si="42"/>
        <v>Technology</v>
      </c>
      <c r="L939" t="str">
        <f t="shared" si="43"/>
        <v>Mar-2025</v>
      </c>
      <c r="M939" s="14">
        <f t="shared" si="44"/>
        <v>45717</v>
      </c>
    </row>
    <row r="940" spans="1:13" x14ac:dyDescent="0.35">
      <c r="A940" t="s">
        <v>1069</v>
      </c>
      <c r="B940" s="2">
        <v>46018</v>
      </c>
      <c r="C940" t="s">
        <v>369</v>
      </c>
      <c r="D940" t="s">
        <v>55</v>
      </c>
      <c r="E940" t="s">
        <v>46</v>
      </c>
      <c r="F940" t="s">
        <v>22</v>
      </c>
      <c r="G940">
        <v>3</v>
      </c>
      <c r="H940">
        <v>0</v>
      </c>
      <c r="I940">
        <v>720</v>
      </c>
      <c r="J940">
        <v>119.37</v>
      </c>
      <c r="K940" t="str">
        <f t="shared" si="42"/>
        <v>Office Supplies</v>
      </c>
      <c r="L940" t="str">
        <f t="shared" si="43"/>
        <v>Dec-2025</v>
      </c>
      <c r="M940" s="14">
        <f t="shared" si="44"/>
        <v>45992</v>
      </c>
    </row>
    <row r="941" spans="1:13" x14ac:dyDescent="0.35">
      <c r="A941" t="s">
        <v>1070</v>
      </c>
      <c r="B941" s="2">
        <v>45879</v>
      </c>
      <c r="C941" t="s">
        <v>165</v>
      </c>
      <c r="D941" t="s">
        <v>17</v>
      </c>
      <c r="E941" t="s">
        <v>18</v>
      </c>
      <c r="F941" t="s">
        <v>50</v>
      </c>
      <c r="G941">
        <v>5</v>
      </c>
      <c r="H941">
        <v>0.15</v>
      </c>
      <c r="I941">
        <v>892.5</v>
      </c>
      <c r="J941">
        <v>217.48</v>
      </c>
      <c r="K941" t="str">
        <f t="shared" si="42"/>
        <v>Furniture</v>
      </c>
      <c r="L941" t="str">
        <f t="shared" si="43"/>
        <v>Aug-2025</v>
      </c>
      <c r="M941" s="14">
        <f t="shared" si="44"/>
        <v>45870</v>
      </c>
    </row>
    <row r="942" spans="1:13" x14ac:dyDescent="0.35">
      <c r="A942" t="s">
        <v>1071</v>
      </c>
      <c r="B942" s="2">
        <v>45865</v>
      </c>
      <c r="C942" t="s">
        <v>238</v>
      </c>
      <c r="D942" t="s">
        <v>99</v>
      </c>
      <c r="E942" t="s">
        <v>18</v>
      </c>
      <c r="F942" t="s">
        <v>50</v>
      </c>
      <c r="G942">
        <v>4</v>
      </c>
      <c r="H942">
        <v>0.2</v>
      </c>
      <c r="I942">
        <v>608</v>
      </c>
      <c r="J942">
        <v>231.22</v>
      </c>
      <c r="K942" t="str">
        <f t="shared" si="42"/>
        <v>Furniture</v>
      </c>
      <c r="L942" t="str">
        <f t="shared" si="43"/>
        <v>Jul-2025</v>
      </c>
      <c r="M942" s="14">
        <f t="shared" si="44"/>
        <v>45839</v>
      </c>
    </row>
    <row r="943" spans="1:13" x14ac:dyDescent="0.35">
      <c r="A943" t="s">
        <v>1072</v>
      </c>
      <c r="B943" s="2">
        <v>45729</v>
      </c>
      <c r="C943" t="s">
        <v>194</v>
      </c>
      <c r="D943" t="s">
        <v>21</v>
      </c>
      <c r="E943" t="s">
        <v>18</v>
      </c>
      <c r="F943" t="s">
        <v>50</v>
      </c>
      <c r="G943">
        <v>5</v>
      </c>
      <c r="H943">
        <v>0.15</v>
      </c>
      <c r="I943">
        <v>233.75</v>
      </c>
      <c r="J943">
        <v>40.14</v>
      </c>
      <c r="K943" t="str">
        <f t="shared" si="42"/>
        <v>Furniture</v>
      </c>
      <c r="L943" t="str">
        <f t="shared" si="43"/>
        <v>Mar-2025</v>
      </c>
      <c r="M943" s="14">
        <f t="shared" si="44"/>
        <v>45717</v>
      </c>
    </row>
    <row r="944" spans="1:13" x14ac:dyDescent="0.35">
      <c r="A944" t="s">
        <v>1073</v>
      </c>
      <c r="B944" s="2">
        <v>45736</v>
      </c>
      <c r="C944" t="s">
        <v>192</v>
      </c>
      <c r="D944" t="s">
        <v>35</v>
      </c>
      <c r="E944" t="s">
        <v>13</v>
      </c>
      <c r="F944" t="s">
        <v>14</v>
      </c>
      <c r="G944">
        <v>2</v>
      </c>
      <c r="H944">
        <v>0.05</v>
      </c>
      <c r="I944">
        <v>1615</v>
      </c>
      <c r="J944">
        <v>720.57</v>
      </c>
      <c r="K944" t="str">
        <f t="shared" si="42"/>
        <v>Technology</v>
      </c>
      <c r="L944" t="str">
        <f t="shared" si="43"/>
        <v>Mar-2025</v>
      </c>
      <c r="M944" s="14">
        <f t="shared" si="44"/>
        <v>45717</v>
      </c>
    </row>
    <row r="945" spans="1:13" x14ac:dyDescent="0.35">
      <c r="A945" t="s">
        <v>1074</v>
      </c>
      <c r="B945" s="2">
        <v>45731</v>
      </c>
      <c r="C945" t="s">
        <v>11</v>
      </c>
      <c r="D945" t="s">
        <v>17</v>
      </c>
      <c r="E945" t="s">
        <v>18</v>
      </c>
      <c r="F945" t="s">
        <v>14</v>
      </c>
      <c r="G945">
        <v>4</v>
      </c>
      <c r="H945">
        <v>0.15</v>
      </c>
      <c r="I945">
        <v>714</v>
      </c>
      <c r="J945">
        <v>91.58</v>
      </c>
      <c r="K945" t="str">
        <f t="shared" si="42"/>
        <v>Furniture</v>
      </c>
      <c r="L945" t="str">
        <f t="shared" si="43"/>
        <v>Mar-2025</v>
      </c>
      <c r="M945" s="14">
        <f t="shared" si="44"/>
        <v>45717</v>
      </c>
    </row>
    <row r="946" spans="1:13" x14ac:dyDescent="0.35">
      <c r="A946" t="s">
        <v>1075</v>
      </c>
      <c r="B946" s="2">
        <v>45728</v>
      </c>
      <c r="C946" t="s">
        <v>135</v>
      </c>
      <c r="D946" t="s">
        <v>38</v>
      </c>
      <c r="E946" t="s">
        <v>13</v>
      </c>
      <c r="F946" t="s">
        <v>50</v>
      </c>
      <c r="G946">
        <v>4</v>
      </c>
      <c r="H946">
        <v>0.15</v>
      </c>
      <c r="I946">
        <v>1088</v>
      </c>
      <c r="J946">
        <v>168.77</v>
      </c>
      <c r="K946" t="str">
        <f t="shared" si="42"/>
        <v>Technology</v>
      </c>
      <c r="L946" t="str">
        <f t="shared" si="43"/>
        <v>Mar-2025</v>
      </c>
      <c r="M946" s="14">
        <f t="shared" si="44"/>
        <v>45717</v>
      </c>
    </row>
    <row r="947" spans="1:13" x14ac:dyDescent="0.35">
      <c r="A947" t="s">
        <v>1076</v>
      </c>
      <c r="B947" s="2">
        <v>45977</v>
      </c>
      <c r="C947" t="s">
        <v>483</v>
      </c>
      <c r="D947" t="s">
        <v>28</v>
      </c>
      <c r="E947" t="s">
        <v>18</v>
      </c>
      <c r="F947" t="s">
        <v>50</v>
      </c>
      <c r="G947">
        <v>4</v>
      </c>
      <c r="H947">
        <v>0.2</v>
      </c>
      <c r="I947">
        <v>896</v>
      </c>
      <c r="J947">
        <v>277.79000000000002</v>
      </c>
      <c r="K947" t="str">
        <f t="shared" si="42"/>
        <v>Furniture</v>
      </c>
      <c r="L947" t="str">
        <f t="shared" si="43"/>
        <v>Nov-2025</v>
      </c>
      <c r="M947" s="14">
        <f t="shared" si="44"/>
        <v>45962</v>
      </c>
    </row>
    <row r="948" spans="1:13" x14ac:dyDescent="0.35">
      <c r="A948" t="s">
        <v>1077</v>
      </c>
      <c r="B948" s="2">
        <v>45839</v>
      </c>
      <c r="C948" t="s">
        <v>219</v>
      </c>
      <c r="D948" t="s">
        <v>21</v>
      </c>
      <c r="E948" t="s">
        <v>18</v>
      </c>
      <c r="F948" t="s">
        <v>50</v>
      </c>
      <c r="G948">
        <v>2</v>
      </c>
      <c r="H948">
        <v>0.15</v>
      </c>
      <c r="I948">
        <v>93.5</v>
      </c>
      <c r="J948">
        <v>23.42</v>
      </c>
      <c r="K948" t="str">
        <f t="shared" si="42"/>
        <v>Furniture</v>
      </c>
      <c r="L948" t="str">
        <f t="shared" si="43"/>
        <v>Jul-2025</v>
      </c>
      <c r="M948" s="14">
        <f t="shared" si="44"/>
        <v>45839</v>
      </c>
    </row>
    <row r="949" spans="1:13" x14ac:dyDescent="0.35">
      <c r="A949" t="s">
        <v>1078</v>
      </c>
      <c r="B949" s="2">
        <v>45779</v>
      </c>
      <c r="C949" t="s">
        <v>119</v>
      </c>
      <c r="D949" t="s">
        <v>17</v>
      </c>
      <c r="E949" t="s">
        <v>18</v>
      </c>
      <c r="F949" t="s">
        <v>25</v>
      </c>
      <c r="G949">
        <v>5</v>
      </c>
      <c r="H949">
        <v>0.1</v>
      </c>
      <c r="I949">
        <v>945</v>
      </c>
      <c r="J949">
        <v>297.13</v>
      </c>
      <c r="K949" t="str">
        <f t="shared" si="42"/>
        <v>Furniture</v>
      </c>
      <c r="L949" t="str">
        <f t="shared" si="43"/>
        <v>May-2025</v>
      </c>
      <c r="M949" s="14">
        <f t="shared" si="44"/>
        <v>45778</v>
      </c>
    </row>
    <row r="950" spans="1:13" x14ac:dyDescent="0.35">
      <c r="A950" t="s">
        <v>1079</v>
      </c>
      <c r="B950" s="2">
        <v>45675</v>
      </c>
      <c r="C950" t="s">
        <v>183</v>
      </c>
      <c r="D950" t="s">
        <v>67</v>
      </c>
      <c r="E950" t="s">
        <v>13</v>
      </c>
      <c r="F950" t="s">
        <v>50</v>
      </c>
      <c r="G950">
        <v>5</v>
      </c>
      <c r="H950">
        <v>0.15</v>
      </c>
      <c r="I950">
        <v>5100</v>
      </c>
      <c r="J950">
        <v>1108.68</v>
      </c>
      <c r="K950" t="str">
        <f t="shared" si="42"/>
        <v>Technology</v>
      </c>
      <c r="L950" t="str">
        <f t="shared" si="43"/>
        <v>Jan-2025</v>
      </c>
      <c r="M950" s="14">
        <f t="shared" si="44"/>
        <v>45658</v>
      </c>
    </row>
    <row r="951" spans="1:13" x14ac:dyDescent="0.35">
      <c r="A951" t="s">
        <v>1080</v>
      </c>
      <c r="B951" s="2">
        <v>46011</v>
      </c>
      <c r="C951" t="s">
        <v>57</v>
      </c>
      <c r="D951" t="s">
        <v>12</v>
      </c>
      <c r="E951" t="s">
        <v>13</v>
      </c>
      <c r="F951" t="s">
        <v>25</v>
      </c>
      <c r="G951">
        <v>2</v>
      </c>
      <c r="H951">
        <v>0.2</v>
      </c>
      <c r="I951">
        <v>56</v>
      </c>
      <c r="J951">
        <v>7.02</v>
      </c>
      <c r="K951" t="str">
        <f t="shared" si="42"/>
        <v>Technology</v>
      </c>
      <c r="L951" t="str">
        <f t="shared" si="43"/>
        <v>Dec-2025</v>
      </c>
      <c r="M951" s="14">
        <f t="shared" si="44"/>
        <v>45992</v>
      </c>
    </row>
    <row r="952" spans="1:13" x14ac:dyDescent="0.35">
      <c r="A952" t="s">
        <v>1081</v>
      </c>
      <c r="B952" s="2">
        <v>45896</v>
      </c>
      <c r="C952" t="s">
        <v>315</v>
      </c>
      <c r="D952" t="s">
        <v>55</v>
      </c>
      <c r="E952" t="s">
        <v>46</v>
      </c>
      <c r="F952" t="s">
        <v>22</v>
      </c>
      <c r="G952">
        <v>1</v>
      </c>
      <c r="H952">
        <v>0.2</v>
      </c>
      <c r="I952">
        <v>192</v>
      </c>
      <c r="J952">
        <v>30.01</v>
      </c>
      <c r="K952" t="str">
        <f t="shared" si="42"/>
        <v>Office Supplies</v>
      </c>
      <c r="L952" t="str">
        <f t="shared" si="43"/>
        <v>Aug-2025</v>
      </c>
      <c r="M952" s="14">
        <f t="shared" si="44"/>
        <v>45870</v>
      </c>
    </row>
    <row r="953" spans="1:13" x14ac:dyDescent="0.35">
      <c r="A953" t="s">
        <v>1082</v>
      </c>
      <c r="B953" s="2">
        <v>45899</v>
      </c>
      <c r="C953" t="s">
        <v>187</v>
      </c>
      <c r="D953" t="s">
        <v>38</v>
      </c>
      <c r="E953" t="s">
        <v>13</v>
      </c>
      <c r="F953" t="s">
        <v>14</v>
      </c>
      <c r="G953">
        <v>1</v>
      </c>
      <c r="H953">
        <v>0.2</v>
      </c>
      <c r="I953">
        <v>256</v>
      </c>
      <c r="J953">
        <v>47.78</v>
      </c>
      <c r="K953" t="str">
        <f t="shared" si="42"/>
        <v>Technology</v>
      </c>
      <c r="L953" t="str">
        <f t="shared" si="43"/>
        <v>Aug-2025</v>
      </c>
      <c r="M953" s="14">
        <f t="shared" si="44"/>
        <v>45870</v>
      </c>
    </row>
    <row r="954" spans="1:13" x14ac:dyDescent="0.35">
      <c r="A954" t="s">
        <v>1083</v>
      </c>
      <c r="B954" s="2">
        <v>45833</v>
      </c>
      <c r="C954" t="s">
        <v>253</v>
      </c>
      <c r="D954" t="s">
        <v>55</v>
      </c>
      <c r="E954" t="s">
        <v>46</v>
      </c>
      <c r="F954" t="s">
        <v>25</v>
      </c>
      <c r="G954">
        <v>1</v>
      </c>
      <c r="H954">
        <v>0.15</v>
      </c>
      <c r="I954">
        <v>204</v>
      </c>
      <c r="J954">
        <v>61.23</v>
      </c>
      <c r="K954" t="str">
        <f t="shared" si="42"/>
        <v>Office Supplies</v>
      </c>
      <c r="L954" t="str">
        <f t="shared" si="43"/>
        <v>Jun-2025</v>
      </c>
      <c r="M954" s="14">
        <f t="shared" si="44"/>
        <v>45809</v>
      </c>
    </row>
    <row r="955" spans="1:13" x14ac:dyDescent="0.35">
      <c r="A955" t="s">
        <v>1084</v>
      </c>
      <c r="B955" s="2">
        <v>45873</v>
      </c>
      <c r="C955" t="s">
        <v>515</v>
      </c>
      <c r="D955" t="s">
        <v>49</v>
      </c>
      <c r="E955" t="s">
        <v>13</v>
      </c>
      <c r="F955" t="s">
        <v>25</v>
      </c>
      <c r="G955">
        <v>3</v>
      </c>
      <c r="H955">
        <v>0.1</v>
      </c>
      <c r="I955">
        <v>189</v>
      </c>
      <c r="J955">
        <v>74.599999999999994</v>
      </c>
      <c r="K955" t="str">
        <f t="shared" si="42"/>
        <v>Technology</v>
      </c>
      <c r="L955" t="str">
        <f t="shared" si="43"/>
        <v>Aug-2025</v>
      </c>
      <c r="M955" s="14">
        <f t="shared" si="44"/>
        <v>45870</v>
      </c>
    </row>
    <row r="956" spans="1:13" x14ac:dyDescent="0.35">
      <c r="A956" t="s">
        <v>1085</v>
      </c>
      <c r="B956" s="2">
        <v>45946</v>
      </c>
      <c r="C956" t="s">
        <v>219</v>
      </c>
      <c r="D956" t="s">
        <v>35</v>
      </c>
      <c r="E956" t="s">
        <v>13</v>
      </c>
      <c r="F956" t="s">
        <v>14</v>
      </c>
      <c r="G956">
        <v>1</v>
      </c>
      <c r="H956">
        <v>0.15</v>
      </c>
      <c r="I956">
        <v>722.5</v>
      </c>
      <c r="J956">
        <v>187.28</v>
      </c>
      <c r="K956" t="str">
        <f t="shared" si="42"/>
        <v>Technology</v>
      </c>
      <c r="L956" t="str">
        <f t="shared" si="43"/>
        <v>Oct-2025</v>
      </c>
      <c r="M956" s="14">
        <f t="shared" si="44"/>
        <v>45931</v>
      </c>
    </row>
    <row r="957" spans="1:13" x14ac:dyDescent="0.35">
      <c r="A957" t="s">
        <v>1086</v>
      </c>
      <c r="B957" s="2">
        <v>45994</v>
      </c>
      <c r="C957" t="s">
        <v>167</v>
      </c>
      <c r="D957" t="s">
        <v>35</v>
      </c>
      <c r="E957" t="s">
        <v>13</v>
      </c>
      <c r="F957" t="s">
        <v>22</v>
      </c>
      <c r="G957">
        <v>5</v>
      </c>
      <c r="H957">
        <v>0</v>
      </c>
      <c r="I957">
        <v>4250</v>
      </c>
      <c r="J957">
        <v>1510.24</v>
      </c>
      <c r="K957" t="str">
        <f t="shared" si="42"/>
        <v>Technology</v>
      </c>
      <c r="L957" t="str">
        <f t="shared" si="43"/>
        <v>Dec-2025</v>
      </c>
      <c r="M957" s="14">
        <f t="shared" si="44"/>
        <v>45992</v>
      </c>
    </row>
    <row r="958" spans="1:13" x14ac:dyDescent="0.35">
      <c r="A958" t="s">
        <v>1087</v>
      </c>
      <c r="B958" s="2">
        <v>45916</v>
      </c>
      <c r="C958" t="s">
        <v>295</v>
      </c>
      <c r="D958" t="s">
        <v>12</v>
      </c>
      <c r="E958" t="s">
        <v>13</v>
      </c>
      <c r="F958" t="s">
        <v>25</v>
      </c>
      <c r="G958">
        <v>3</v>
      </c>
      <c r="H958">
        <v>0.1</v>
      </c>
      <c r="I958">
        <v>94.5</v>
      </c>
      <c r="J958">
        <v>38.39</v>
      </c>
      <c r="K958" t="str">
        <f t="shared" si="42"/>
        <v>Technology</v>
      </c>
      <c r="L958" t="str">
        <f t="shared" si="43"/>
        <v>Sept-2025</v>
      </c>
      <c r="M958" s="14">
        <f t="shared" si="44"/>
        <v>45901</v>
      </c>
    </row>
    <row r="959" spans="1:13" x14ac:dyDescent="0.35">
      <c r="A959" t="s">
        <v>1088</v>
      </c>
      <c r="B959" s="2">
        <v>45789</v>
      </c>
      <c r="C959" t="s">
        <v>24</v>
      </c>
      <c r="D959" t="s">
        <v>67</v>
      </c>
      <c r="E959" t="s">
        <v>13</v>
      </c>
      <c r="F959" t="s">
        <v>22</v>
      </c>
      <c r="G959">
        <v>1</v>
      </c>
      <c r="H959">
        <v>0.2</v>
      </c>
      <c r="I959">
        <v>960</v>
      </c>
      <c r="J959">
        <v>376.68</v>
      </c>
      <c r="K959" t="str">
        <f t="shared" si="42"/>
        <v>Technology</v>
      </c>
      <c r="L959" t="str">
        <f t="shared" si="43"/>
        <v>May-2025</v>
      </c>
      <c r="M959" s="14">
        <f t="shared" si="44"/>
        <v>45778</v>
      </c>
    </row>
    <row r="960" spans="1:13" x14ac:dyDescent="0.35">
      <c r="A960" t="s">
        <v>1089</v>
      </c>
      <c r="B960" s="2">
        <v>45995</v>
      </c>
      <c r="C960" t="s">
        <v>135</v>
      </c>
      <c r="D960" t="s">
        <v>45</v>
      </c>
      <c r="E960" t="s">
        <v>46</v>
      </c>
      <c r="F960" t="s">
        <v>22</v>
      </c>
      <c r="G960">
        <v>3</v>
      </c>
      <c r="H960">
        <v>0.05</v>
      </c>
      <c r="I960">
        <v>51.3</v>
      </c>
      <c r="J960">
        <v>18.66</v>
      </c>
      <c r="K960" t="str">
        <f t="shared" si="42"/>
        <v>Office Supplies</v>
      </c>
      <c r="L960" t="str">
        <f t="shared" si="43"/>
        <v>Dec-2025</v>
      </c>
      <c r="M960" s="14">
        <f t="shared" si="44"/>
        <v>45992</v>
      </c>
    </row>
    <row r="961" spans="1:13" x14ac:dyDescent="0.35">
      <c r="A961" t="s">
        <v>1090</v>
      </c>
      <c r="B961" s="2">
        <v>45906</v>
      </c>
      <c r="C961" t="s">
        <v>167</v>
      </c>
      <c r="D961" t="s">
        <v>28</v>
      </c>
      <c r="E961" t="s">
        <v>18</v>
      </c>
      <c r="F961" t="s">
        <v>22</v>
      </c>
      <c r="G961">
        <v>5</v>
      </c>
      <c r="H961">
        <v>0</v>
      </c>
      <c r="I961">
        <v>1400</v>
      </c>
      <c r="J961">
        <v>471.6</v>
      </c>
      <c r="K961" t="str">
        <f t="shared" si="42"/>
        <v>Furniture</v>
      </c>
      <c r="L961" t="str">
        <f t="shared" si="43"/>
        <v>Sept-2025</v>
      </c>
      <c r="M961" s="14">
        <f t="shared" si="44"/>
        <v>45901</v>
      </c>
    </row>
    <row r="962" spans="1:13" x14ac:dyDescent="0.35">
      <c r="A962" t="s">
        <v>1091</v>
      </c>
      <c r="B962" s="2">
        <v>45962</v>
      </c>
      <c r="C962" t="s">
        <v>109</v>
      </c>
      <c r="D962" t="s">
        <v>28</v>
      </c>
      <c r="E962" t="s">
        <v>18</v>
      </c>
      <c r="F962" t="s">
        <v>50</v>
      </c>
      <c r="G962">
        <v>4</v>
      </c>
      <c r="H962">
        <v>0.15</v>
      </c>
      <c r="I962">
        <v>952</v>
      </c>
      <c r="J962">
        <v>186.38</v>
      </c>
      <c r="K962" t="str">
        <f t="shared" ref="K962:K1001" si="45">TRIM(E962)</f>
        <v>Furniture</v>
      </c>
      <c r="L962" t="str">
        <f t="shared" si="43"/>
        <v>Nov-2025</v>
      </c>
      <c r="M962" s="14">
        <f t="shared" si="44"/>
        <v>45962</v>
      </c>
    </row>
    <row r="963" spans="1:13" x14ac:dyDescent="0.35">
      <c r="A963" t="s">
        <v>1092</v>
      </c>
      <c r="B963" s="2">
        <v>45984</v>
      </c>
      <c r="C963" t="s">
        <v>30</v>
      </c>
      <c r="D963" t="s">
        <v>28</v>
      </c>
      <c r="E963" t="s">
        <v>18</v>
      </c>
      <c r="F963" t="s">
        <v>14</v>
      </c>
      <c r="G963">
        <v>2</v>
      </c>
      <c r="H963">
        <v>0.2</v>
      </c>
      <c r="I963">
        <v>448</v>
      </c>
      <c r="J963">
        <v>93.03</v>
      </c>
      <c r="K963" t="str">
        <f t="shared" si="45"/>
        <v>Furniture</v>
      </c>
      <c r="L963" t="str">
        <f t="shared" ref="L963:L1001" si="46">TEXT(B963,"mmm-yyyy")</f>
        <v>Nov-2025</v>
      </c>
      <c r="M963" s="14">
        <f t="shared" ref="M963:M1001" si="47">DATE(YEAR(B963),MONTH(B963),1)</f>
        <v>45962</v>
      </c>
    </row>
    <row r="964" spans="1:13" x14ac:dyDescent="0.35">
      <c r="A964" t="s">
        <v>1093</v>
      </c>
      <c r="B964" s="2">
        <v>45986</v>
      </c>
      <c r="C964" t="s">
        <v>98</v>
      </c>
      <c r="D964" t="s">
        <v>35</v>
      </c>
      <c r="E964" t="s">
        <v>13</v>
      </c>
      <c r="F964" t="s">
        <v>50</v>
      </c>
      <c r="G964">
        <v>1</v>
      </c>
      <c r="H964">
        <v>0</v>
      </c>
      <c r="I964">
        <v>850</v>
      </c>
      <c r="J964">
        <v>335.49</v>
      </c>
      <c r="K964" t="str">
        <f t="shared" si="45"/>
        <v>Technology</v>
      </c>
      <c r="L964" t="str">
        <f t="shared" si="46"/>
        <v>Nov-2025</v>
      </c>
      <c r="M964" s="14">
        <f t="shared" si="47"/>
        <v>45962</v>
      </c>
    </row>
    <row r="965" spans="1:13" x14ac:dyDescent="0.35">
      <c r="A965" t="s">
        <v>1094</v>
      </c>
      <c r="B965" s="2">
        <v>45812</v>
      </c>
      <c r="C965" t="s">
        <v>34</v>
      </c>
      <c r="D965" t="s">
        <v>45</v>
      </c>
      <c r="E965" t="s">
        <v>46</v>
      </c>
      <c r="F965" t="s">
        <v>50</v>
      </c>
      <c r="G965">
        <v>5</v>
      </c>
      <c r="H965">
        <v>0.05</v>
      </c>
      <c r="I965">
        <v>85.5</v>
      </c>
      <c r="J965">
        <v>27.76</v>
      </c>
      <c r="K965" t="str">
        <f t="shared" si="45"/>
        <v>Office Supplies</v>
      </c>
      <c r="L965" t="str">
        <f t="shared" si="46"/>
        <v>Jun-2025</v>
      </c>
      <c r="M965" s="14">
        <f t="shared" si="47"/>
        <v>45809</v>
      </c>
    </row>
    <row r="966" spans="1:13" x14ac:dyDescent="0.35">
      <c r="A966" t="s">
        <v>1095</v>
      </c>
      <c r="B966" s="2">
        <v>45900</v>
      </c>
      <c r="C966" t="s">
        <v>62</v>
      </c>
      <c r="D966" t="s">
        <v>35</v>
      </c>
      <c r="E966" t="s">
        <v>13</v>
      </c>
      <c r="F966" t="s">
        <v>25</v>
      </c>
      <c r="G966">
        <v>2</v>
      </c>
      <c r="H966">
        <v>0.2</v>
      </c>
      <c r="I966">
        <v>1360</v>
      </c>
      <c r="J966">
        <v>221.42</v>
      </c>
      <c r="K966" t="str">
        <f t="shared" si="45"/>
        <v>Technology</v>
      </c>
      <c r="L966" t="str">
        <f t="shared" si="46"/>
        <v>Aug-2025</v>
      </c>
      <c r="M966" s="14">
        <f t="shared" si="47"/>
        <v>45870</v>
      </c>
    </row>
    <row r="967" spans="1:13" x14ac:dyDescent="0.35">
      <c r="A967" t="s">
        <v>1096</v>
      </c>
      <c r="B967" s="2">
        <v>45887</v>
      </c>
      <c r="C967" t="s">
        <v>360</v>
      </c>
      <c r="D967" t="s">
        <v>99</v>
      </c>
      <c r="E967" t="s">
        <v>18</v>
      </c>
      <c r="F967" t="s">
        <v>14</v>
      </c>
      <c r="G967">
        <v>3</v>
      </c>
      <c r="H967">
        <v>0.2</v>
      </c>
      <c r="I967">
        <v>456</v>
      </c>
      <c r="J967">
        <v>102.44</v>
      </c>
      <c r="K967" t="str">
        <f t="shared" si="45"/>
        <v>Furniture</v>
      </c>
      <c r="L967" t="str">
        <f t="shared" si="46"/>
        <v>Aug-2025</v>
      </c>
      <c r="M967" s="14">
        <f t="shared" si="47"/>
        <v>45870</v>
      </c>
    </row>
    <row r="968" spans="1:13" x14ac:dyDescent="0.35">
      <c r="A968" t="s">
        <v>1097</v>
      </c>
      <c r="B968" s="2">
        <v>45930</v>
      </c>
      <c r="C968" t="s">
        <v>196</v>
      </c>
      <c r="D968" t="s">
        <v>38</v>
      </c>
      <c r="E968" t="s">
        <v>13</v>
      </c>
      <c r="F968" t="s">
        <v>25</v>
      </c>
      <c r="G968">
        <v>3</v>
      </c>
      <c r="H968">
        <v>0.15</v>
      </c>
      <c r="I968">
        <v>816</v>
      </c>
      <c r="J968">
        <v>202.81</v>
      </c>
      <c r="K968" t="str">
        <f t="shared" si="45"/>
        <v>Technology</v>
      </c>
      <c r="L968" t="str">
        <f t="shared" si="46"/>
        <v>Sept-2025</v>
      </c>
      <c r="M968" s="14">
        <f t="shared" si="47"/>
        <v>45901</v>
      </c>
    </row>
    <row r="969" spans="1:13" x14ac:dyDescent="0.35">
      <c r="A969" t="s">
        <v>1098</v>
      </c>
      <c r="B969" s="2">
        <v>45829</v>
      </c>
      <c r="C969" t="s">
        <v>54</v>
      </c>
      <c r="D969" t="s">
        <v>35</v>
      </c>
      <c r="E969" t="s">
        <v>13</v>
      </c>
      <c r="F969" t="s">
        <v>50</v>
      </c>
      <c r="G969">
        <v>3</v>
      </c>
      <c r="H969">
        <v>0</v>
      </c>
      <c r="I969">
        <v>2550</v>
      </c>
      <c r="J969">
        <v>932.63</v>
      </c>
      <c r="K969" t="str">
        <f t="shared" si="45"/>
        <v>Technology</v>
      </c>
      <c r="L969" t="str">
        <f t="shared" si="46"/>
        <v>Jun-2025</v>
      </c>
      <c r="M969" s="14">
        <f t="shared" si="47"/>
        <v>45809</v>
      </c>
    </row>
    <row r="970" spans="1:13" x14ac:dyDescent="0.35">
      <c r="A970" t="s">
        <v>1099</v>
      </c>
      <c r="B970" s="2">
        <v>45894</v>
      </c>
      <c r="C970" t="s">
        <v>409</v>
      </c>
      <c r="D970" t="s">
        <v>38</v>
      </c>
      <c r="E970" t="s">
        <v>13</v>
      </c>
      <c r="F970" t="s">
        <v>25</v>
      </c>
      <c r="G970">
        <v>2</v>
      </c>
      <c r="H970">
        <v>0.2</v>
      </c>
      <c r="I970">
        <v>512</v>
      </c>
      <c r="J970">
        <v>100.22</v>
      </c>
      <c r="K970" t="str">
        <f t="shared" si="45"/>
        <v>Technology</v>
      </c>
      <c r="L970" t="str">
        <f t="shared" si="46"/>
        <v>Aug-2025</v>
      </c>
      <c r="M970" s="14">
        <f t="shared" si="47"/>
        <v>45870</v>
      </c>
    </row>
    <row r="971" spans="1:13" x14ac:dyDescent="0.35">
      <c r="A971" t="s">
        <v>1100</v>
      </c>
      <c r="B971" s="2">
        <v>46004</v>
      </c>
      <c r="C971" t="s">
        <v>236</v>
      </c>
      <c r="D971" t="s">
        <v>17</v>
      </c>
      <c r="E971" t="s">
        <v>18</v>
      </c>
      <c r="F971" t="s">
        <v>14</v>
      </c>
      <c r="G971">
        <v>2</v>
      </c>
      <c r="H971">
        <v>0.1</v>
      </c>
      <c r="I971">
        <v>378</v>
      </c>
      <c r="J971">
        <v>101.79</v>
      </c>
      <c r="K971" t="str">
        <f t="shared" si="45"/>
        <v>Furniture</v>
      </c>
      <c r="L971" t="str">
        <f t="shared" si="46"/>
        <v>Dec-2025</v>
      </c>
      <c r="M971" s="14">
        <f t="shared" si="47"/>
        <v>45992</v>
      </c>
    </row>
    <row r="972" spans="1:13" x14ac:dyDescent="0.35">
      <c r="A972" t="s">
        <v>1101</v>
      </c>
      <c r="B972" s="2">
        <v>45692</v>
      </c>
      <c r="C972" t="s">
        <v>278</v>
      </c>
      <c r="D972" t="s">
        <v>67</v>
      </c>
      <c r="E972" t="s">
        <v>13</v>
      </c>
      <c r="F972" t="s">
        <v>50</v>
      </c>
      <c r="G972">
        <v>4</v>
      </c>
      <c r="H972">
        <v>0</v>
      </c>
      <c r="I972">
        <v>4800</v>
      </c>
      <c r="J972">
        <v>1327.98</v>
      </c>
      <c r="K972" t="str">
        <f t="shared" si="45"/>
        <v>Technology</v>
      </c>
      <c r="L972" t="str">
        <f t="shared" si="46"/>
        <v>Feb-2025</v>
      </c>
      <c r="M972" s="14">
        <f t="shared" si="47"/>
        <v>45689</v>
      </c>
    </row>
    <row r="973" spans="1:13" x14ac:dyDescent="0.35">
      <c r="A973" t="s">
        <v>1102</v>
      </c>
      <c r="B973" s="2">
        <v>45837</v>
      </c>
      <c r="C973" t="s">
        <v>369</v>
      </c>
      <c r="D973" t="s">
        <v>21</v>
      </c>
      <c r="E973" t="s">
        <v>18</v>
      </c>
      <c r="F973" t="s">
        <v>14</v>
      </c>
      <c r="G973">
        <v>3</v>
      </c>
      <c r="H973">
        <v>0.1</v>
      </c>
      <c r="I973">
        <v>148.5</v>
      </c>
      <c r="J973">
        <v>57.36</v>
      </c>
      <c r="K973" t="str">
        <f t="shared" si="45"/>
        <v>Furniture</v>
      </c>
      <c r="L973" t="str">
        <f t="shared" si="46"/>
        <v>Jun-2025</v>
      </c>
      <c r="M973" s="14">
        <f t="shared" si="47"/>
        <v>45809</v>
      </c>
    </row>
    <row r="974" spans="1:13" x14ac:dyDescent="0.35">
      <c r="A974" t="s">
        <v>1103</v>
      </c>
      <c r="B974" s="2">
        <v>45687</v>
      </c>
      <c r="C974" t="s">
        <v>34</v>
      </c>
      <c r="D974" t="s">
        <v>83</v>
      </c>
      <c r="E974" t="s">
        <v>46</v>
      </c>
      <c r="F974" t="s">
        <v>14</v>
      </c>
      <c r="G974">
        <v>2</v>
      </c>
      <c r="H974">
        <v>0.2</v>
      </c>
      <c r="I974">
        <v>40</v>
      </c>
      <c r="J974">
        <v>9.58</v>
      </c>
      <c r="K974" t="str">
        <f t="shared" si="45"/>
        <v>Office Supplies</v>
      </c>
      <c r="L974" t="str">
        <f t="shared" si="46"/>
        <v>Jan-2025</v>
      </c>
      <c r="M974" s="14">
        <f t="shared" si="47"/>
        <v>45658</v>
      </c>
    </row>
    <row r="975" spans="1:13" x14ac:dyDescent="0.35">
      <c r="A975" t="s">
        <v>1104</v>
      </c>
      <c r="B975" s="2">
        <v>45702</v>
      </c>
      <c r="C975" t="s">
        <v>192</v>
      </c>
      <c r="D975" t="s">
        <v>83</v>
      </c>
      <c r="E975" t="s">
        <v>46</v>
      </c>
      <c r="F975" t="s">
        <v>22</v>
      </c>
      <c r="G975">
        <v>2</v>
      </c>
      <c r="H975">
        <v>0.15</v>
      </c>
      <c r="I975">
        <v>42.5</v>
      </c>
      <c r="J975">
        <v>9.92</v>
      </c>
      <c r="K975" t="str">
        <f t="shared" si="45"/>
        <v>Office Supplies</v>
      </c>
      <c r="L975" t="str">
        <f t="shared" si="46"/>
        <v>Feb-2025</v>
      </c>
      <c r="M975" s="14">
        <f t="shared" si="47"/>
        <v>45689</v>
      </c>
    </row>
    <row r="976" spans="1:13" x14ac:dyDescent="0.35">
      <c r="A976" t="s">
        <v>1105</v>
      </c>
      <c r="B976" s="2">
        <v>45714</v>
      </c>
      <c r="C976" t="s">
        <v>145</v>
      </c>
      <c r="D976" t="s">
        <v>17</v>
      </c>
      <c r="E976" t="s">
        <v>18</v>
      </c>
      <c r="F976" t="s">
        <v>14</v>
      </c>
      <c r="G976">
        <v>2</v>
      </c>
      <c r="H976">
        <v>0.1</v>
      </c>
      <c r="I976">
        <v>378</v>
      </c>
      <c r="J976">
        <v>133.36000000000001</v>
      </c>
      <c r="K976" t="str">
        <f t="shared" si="45"/>
        <v>Furniture</v>
      </c>
      <c r="L976" t="str">
        <f t="shared" si="46"/>
        <v>Feb-2025</v>
      </c>
      <c r="M976" s="14">
        <f t="shared" si="47"/>
        <v>45689</v>
      </c>
    </row>
    <row r="977" spans="1:13" x14ac:dyDescent="0.35">
      <c r="A977" t="s">
        <v>1106</v>
      </c>
      <c r="B977" s="2">
        <v>45985</v>
      </c>
      <c r="C977" t="s">
        <v>78</v>
      </c>
      <c r="D977" t="s">
        <v>45</v>
      </c>
      <c r="E977" t="s">
        <v>46</v>
      </c>
      <c r="F977" t="s">
        <v>25</v>
      </c>
      <c r="G977">
        <v>3</v>
      </c>
      <c r="H977">
        <v>0.15</v>
      </c>
      <c r="I977">
        <v>45.9</v>
      </c>
      <c r="J977">
        <v>10.17</v>
      </c>
      <c r="K977" t="str">
        <f t="shared" si="45"/>
        <v>Office Supplies</v>
      </c>
      <c r="L977" t="str">
        <f t="shared" si="46"/>
        <v>Nov-2025</v>
      </c>
      <c r="M977" s="14">
        <f t="shared" si="47"/>
        <v>45962</v>
      </c>
    </row>
    <row r="978" spans="1:13" x14ac:dyDescent="0.35">
      <c r="A978" t="s">
        <v>1107</v>
      </c>
      <c r="B978" s="2">
        <v>45789</v>
      </c>
      <c r="C978" t="s">
        <v>32</v>
      </c>
      <c r="D978" t="s">
        <v>28</v>
      </c>
      <c r="E978" t="s">
        <v>18</v>
      </c>
      <c r="F978" t="s">
        <v>50</v>
      </c>
      <c r="G978">
        <v>1</v>
      </c>
      <c r="H978">
        <v>0.1</v>
      </c>
      <c r="I978">
        <v>252</v>
      </c>
      <c r="J978">
        <v>48.78</v>
      </c>
      <c r="K978" t="str">
        <f t="shared" si="45"/>
        <v>Furniture</v>
      </c>
      <c r="L978" t="str">
        <f t="shared" si="46"/>
        <v>May-2025</v>
      </c>
      <c r="M978" s="14">
        <f t="shared" si="47"/>
        <v>45778</v>
      </c>
    </row>
    <row r="979" spans="1:13" x14ac:dyDescent="0.35">
      <c r="A979" t="s">
        <v>1108</v>
      </c>
      <c r="B979" s="2">
        <v>45828</v>
      </c>
      <c r="C979" t="s">
        <v>80</v>
      </c>
      <c r="D979" t="s">
        <v>67</v>
      </c>
      <c r="E979" t="s">
        <v>13</v>
      </c>
      <c r="F979" t="s">
        <v>50</v>
      </c>
      <c r="G979">
        <v>3</v>
      </c>
      <c r="H979">
        <v>0.1</v>
      </c>
      <c r="I979">
        <v>3240</v>
      </c>
      <c r="J979">
        <v>1267.76</v>
      </c>
      <c r="K979" t="str">
        <f t="shared" si="45"/>
        <v>Technology</v>
      </c>
      <c r="L979" t="str">
        <f t="shared" si="46"/>
        <v>Jun-2025</v>
      </c>
      <c r="M979" s="14">
        <f t="shared" si="47"/>
        <v>45809</v>
      </c>
    </row>
    <row r="980" spans="1:13" x14ac:dyDescent="0.35">
      <c r="A980" t="s">
        <v>1109</v>
      </c>
      <c r="B980" s="2">
        <v>45760</v>
      </c>
      <c r="C980" t="s">
        <v>122</v>
      </c>
      <c r="D980" t="s">
        <v>83</v>
      </c>
      <c r="E980" t="s">
        <v>46</v>
      </c>
      <c r="F980" t="s">
        <v>22</v>
      </c>
      <c r="G980">
        <v>4</v>
      </c>
      <c r="H980">
        <v>0.05</v>
      </c>
      <c r="I980">
        <v>95</v>
      </c>
      <c r="J980">
        <v>22.51</v>
      </c>
      <c r="K980" t="str">
        <f t="shared" si="45"/>
        <v>Office Supplies</v>
      </c>
      <c r="L980" t="str">
        <f t="shared" si="46"/>
        <v>Apr-2025</v>
      </c>
      <c r="M980" s="14">
        <f t="shared" si="47"/>
        <v>45748</v>
      </c>
    </row>
    <row r="981" spans="1:13" x14ac:dyDescent="0.35">
      <c r="A981" t="s">
        <v>1110</v>
      </c>
      <c r="B981" s="2">
        <v>45934</v>
      </c>
      <c r="C981" t="s">
        <v>342</v>
      </c>
      <c r="D981" t="s">
        <v>99</v>
      </c>
      <c r="E981" t="s">
        <v>18</v>
      </c>
      <c r="F981" t="s">
        <v>25</v>
      </c>
      <c r="G981">
        <v>2</v>
      </c>
      <c r="H981">
        <v>0.2</v>
      </c>
      <c r="I981">
        <v>304</v>
      </c>
      <c r="J981">
        <v>72.260000000000005</v>
      </c>
      <c r="K981" t="str">
        <f t="shared" si="45"/>
        <v>Furniture</v>
      </c>
      <c r="L981" t="str">
        <f t="shared" si="46"/>
        <v>Oct-2025</v>
      </c>
      <c r="M981" s="14">
        <f t="shared" si="47"/>
        <v>45931</v>
      </c>
    </row>
    <row r="982" spans="1:13" x14ac:dyDescent="0.35">
      <c r="A982" t="s">
        <v>1111</v>
      </c>
      <c r="B982" s="2">
        <v>45710</v>
      </c>
      <c r="C982" t="s">
        <v>210</v>
      </c>
      <c r="D982" t="s">
        <v>67</v>
      </c>
      <c r="E982" t="s">
        <v>13</v>
      </c>
      <c r="F982" t="s">
        <v>50</v>
      </c>
      <c r="G982">
        <v>1</v>
      </c>
      <c r="H982">
        <v>0</v>
      </c>
      <c r="I982">
        <v>1200</v>
      </c>
      <c r="J982">
        <v>313.75</v>
      </c>
      <c r="K982" t="str">
        <f t="shared" si="45"/>
        <v>Technology</v>
      </c>
      <c r="L982" t="str">
        <f t="shared" si="46"/>
        <v>Feb-2025</v>
      </c>
      <c r="M982" s="14">
        <f t="shared" si="47"/>
        <v>45689</v>
      </c>
    </row>
    <row r="983" spans="1:13" x14ac:dyDescent="0.35">
      <c r="A983" t="s">
        <v>1112</v>
      </c>
      <c r="B983" s="2">
        <v>45667</v>
      </c>
      <c r="C983" t="s">
        <v>78</v>
      </c>
      <c r="D983" t="s">
        <v>45</v>
      </c>
      <c r="E983" t="s">
        <v>46</v>
      </c>
      <c r="F983" t="s">
        <v>50</v>
      </c>
      <c r="G983">
        <v>2</v>
      </c>
      <c r="H983">
        <v>0</v>
      </c>
      <c r="I983">
        <v>36</v>
      </c>
      <c r="J983">
        <v>5.12</v>
      </c>
      <c r="K983" t="str">
        <f t="shared" si="45"/>
        <v>Office Supplies</v>
      </c>
      <c r="L983" t="str">
        <f t="shared" si="46"/>
        <v>Jan-2025</v>
      </c>
      <c r="M983" s="14">
        <f t="shared" si="47"/>
        <v>45658</v>
      </c>
    </row>
    <row r="984" spans="1:13" x14ac:dyDescent="0.35">
      <c r="A984" t="s">
        <v>1113</v>
      </c>
      <c r="B984" s="2">
        <v>45794</v>
      </c>
      <c r="C984" t="s">
        <v>107</v>
      </c>
      <c r="D984" t="s">
        <v>28</v>
      </c>
      <c r="E984" t="s">
        <v>18</v>
      </c>
      <c r="F984" t="s">
        <v>50</v>
      </c>
      <c r="G984">
        <v>3</v>
      </c>
      <c r="H984">
        <v>0.15</v>
      </c>
      <c r="I984">
        <v>714</v>
      </c>
      <c r="J984">
        <v>185.9</v>
      </c>
      <c r="K984" t="str">
        <f t="shared" si="45"/>
        <v>Furniture</v>
      </c>
      <c r="L984" t="str">
        <f t="shared" si="46"/>
        <v>May-2025</v>
      </c>
      <c r="M984" s="14">
        <f t="shared" si="47"/>
        <v>45778</v>
      </c>
    </row>
    <row r="985" spans="1:13" x14ac:dyDescent="0.35">
      <c r="A985" t="s">
        <v>1114</v>
      </c>
      <c r="B985" s="2">
        <v>45902</v>
      </c>
      <c r="C985" t="s">
        <v>82</v>
      </c>
      <c r="D985" t="s">
        <v>99</v>
      </c>
      <c r="E985" t="s">
        <v>18</v>
      </c>
      <c r="F985" t="s">
        <v>50</v>
      </c>
      <c r="G985">
        <v>4</v>
      </c>
      <c r="H985">
        <v>0</v>
      </c>
      <c r="I985">
        <v>760</v>
      </c>
      <c r="J985">
        <v>206.54</v>
      </c>
      <c r="K985" t="str">
        <f t="shared" si="45"/>
        <v>Furniture</v>
      </c>
      <c r="L985" t="str">
        <f t="shared" si="46"/>
        <v>Sept-2025</v>
      </c>
      <c r="M985" s="14">
        <f t="shared" si="47"/>
        <v>45901</v>
      </c>
    </row>
    <row r="986" spans="1:13" x14ac:dyDescent="0.35">
      <c r="A986" t="s">
        <v>1115</v>
      </c>
      <c r="B986" s="2">
        <v>46010</v>
      </c>
      <c r="C986" t="s">
        <v>40</v>
      </c>
      <c r="D986" t="s">
        <v>45</v>
      </c>
      <c r="E986" t="s">
        <v>46</v>
      </c>
      <c r="F986" t="s">
        <v>25</v>
      </c>
      <c r="G986">
        <v>1</v>
      </c>
      <c r="H986">
        <v>0.2</v>
      </c>
      <c r="I986">
        <v>14.4</v>
      </c>
      <c r="J986">
        <v>3.94</v>
      </c>
      <c r="K986" t="str">
        <f t="shared" si="45"/>
        <v>Office Supplies</v>
      </c>
      <c r="L986" t="str">
        <f t="shared" si="46"/>
        <v>Dec-2025</v>
      </c>
      <c r="M986" s="14">
        <f t="shared" si="47"/>
        <v>45992</v>
      </c>
    </row>
    <row r="987" spans="1:13" x14ac:dyDescent="0.35">
      <c r="A987" t="s">
        <v>1116</v>
      </c>
      <c r="B987" s="2">
        <v>46007</v>
      </c>
      <c r="C987" t="s">
        <v>192</v>
      </c>
      <c r="D987" t="s">
        <v>35</v>
      </c>
      <c r="E987" t="s">
        <v>13</v>
      </c>
      <c r="F987" t="s">
        <v>14</v>
      </c>
      <c r="G987">
        <v>4</v>
      </c>
      <c r="H987">
        <v>0</v>
      </c>
      <c r="I987">
        <v>3400</v>
      </c>
      <c r="J987">
        <v>820.59</v>
      </c>
      <c r="K987" t="str">
        <f t="shared" si="45"/>
        <v>Technology</v>
      </c>
      <c r="L987" t="str">
        <f t="shared" si="46"/>
        <v>Dec-2025</v>
      </c>
      <c r="M987" s="14">
        <f t="shared" si="47"/>
        <v>45992</v>
      </c>
    </row>
    <row r="988" spans="1:13" x14ac:dyDescent="0.35">
      <c r="A988" t="s">
        <v>1117</v>
      </c>
      <c r="B988" s="2">
        <v>45845</v>
      </c>
      <c r="C988" t="s">
        <v>213</v>
      </c>
      <c r="D988" t="s">
        <v>55</v>
      </c>
      <c r="E988" t="s">
        <v>46</v>
      </c>
      <c r="F988" t="s">
        <v>25</v>
      </c>
      <c r="G988">
        <v>3</v>
      </c>
      <c r="H988">
        <v>0</v>
      </c>
      <c r="I988">
        <v>720</v>
      </c>
      <c r="J988">
        <v>124.14</v>
      </c>
      <c r="K988" t="str">
        <f t="shared" si="45"/>
        <v>Office Supplies</v>
      </c>
      <c r="L988" t="str">
        <f t="shared" si="46"/>
        <v>Jul-2025</v>
      </c>
      <c r="M988" s="14">
        <f t="shared" si="47"/>
        <v>45839</v>
      </c>
    </row>
    <row r="989" spans="1:13" x14ac:dyDescent="0.35">
      <c r="A989" t="s">
        <v>1118</v>
      </c>
      <c r="B989" s="2">
        <v>45989</v>
      </c>
      <c r="C989" t="s">
        <v>59</v>
      </c>
      <c r="D989" t="s">
        <v>21</v>
      </c>
      <c r="E989" t="s">
        <v>18</v>
      </c>
      <c r="F989" t="s">
        <v>22</v>
      </c>
      <c r="G989">
        <v>2</v>
      </c>
      <c r="H989">
        <v>0.2</v>
      </c>
      <c r="I989">
        <v>88</v>
      </c>
      <c r="J989">
        <v>38.46</v>
      </c>
      <c r="K989" t="str">
        <f t="shared" si="45"/>
        <v>Furniture</v>
      </c>
      <c r="L989" t="str">
        <f t="shared" si="46"/>
        <v>Nov-2025</v>
      </c>
      <c r="M989" s="14">
        <f t="shared" si="47"/>
        <v>45962</v>
      </c>
    </row>
    <row r="990" spans="1:13" x14ac:dyDescent="0.35">
      <c r="A990" t="s">
        <v>1119</v>
      </c>
      <c r="B990" s="2">
        <v>45811</v>
      </c>
      <c r="C990" t="s">
        <v>40</v>
      </c>
      <c r="D990" t="s">
        <v>17</v>
      </c>
      <c r="E990" t="s">
        <v>18</v>
      </c>
      <c r="F990" t="s">
        <v>50</v>
      </c>
      <c r="G990">
        <v>4</v>
      </c>
      <c r="H990">
        <v>0</v>
      </c>
      <c r="I990">
        <v>840</v>
      </c>
      <c r="J990">
        <v>203.19</v>
      </c>
      <c r="K990" t="str">
        <f t="shared" si="45"/>
        <v>Furniture</v>
      </c>
      <c r="L990" t="str">
        <f t="shared" si="46"/>
        <v>Jun-2025</v>
      </c>
      <c r="M990" s="14">
        <f t="shared" si="47"/>
        <v>45809</v>
      </c>
    </row>
    <row r="991" spans="1:13" x14ac:dyDescent="0.35">
      <c r="A991" t="s">
        <v>1120</v>
      </c>
      <c r="B991" s="2">
        <v>45701</v>
      </c>
      <c r="C991" t="s">
        <v>142</v>
      </c>
      <c r="D991" t="s">
        <v>38</v>
      </c>
      <c r="E991" t="s">
        <v>13</v>
      </c>
      <c r="F991" t="s">
        <v>14</v>
      </c>
      <c r="G991">
        <v>4</v>
      </c>
      <c r="H991">
        <v>0.05</v>
      </c>
      <c r="I991">
        <v>1216</v>
      </c>
      <c r="J991">
        <v>491.04</v>
      </c>
      <c r="K991" t="str">
        <f t="shared" si="45"/>
        <v>Technology</v>
      </c>
      <c r="L991" t="str">
        <f t="shared" si="46"/>
        <v>Feb-2025</v>
      </c>
      <c r="M991" s="14">
        <f t="shared" si="47"/>
        <v>45689</v>
      </c>
    </row>
    <row r="992" spans="1:13" x14ac:dyDescent="0.35">
      <c r="A992" t="s">
        <v>1121</v>
      </c>
      <c r="B992" s="2">
        <v>45961</v>
      </c>
      <c r="C992" t="s">
        <v>119</v>
      </c>
      <c r="D992" t="s">
        <v>21</v>
      </c>
      <c r="E992" t="s">
        <v>18</v>
      </c>
      <c r="F992" t="s">
        <v>25</v>
      </c>
      <c r="G992">
        <v>4</v>
      </c>
      <c r="H992">
        <v>0.15</v>
      </c>
      <c r="I992">
        <v>187</v>
      </c>
      <c r="J992">
        <v>80.260000000000005</v>
      </c>
      <c r="K992" t="str">
        <f t="shared" si="45"/>
        <v>Furniture</v>
      </c>
      <c r="L992" t="str">
        <f t="shared" si="46"/>
        <v>Oct-2025</v>
      </c>
      <c r="M992" s="14">
        <f t="shared" si="47"/>
        <v>45931</v>
      </c>
    </row>
    <row r="993" spans="1:13" x14ac:dyDescent="0.35">
      <c r="A993" t="s">
        <v>1122</v>
      </c>
      <c r="B993" s="2">
        <v>45913</v>
      </c>
      <c r="C993" t="s">
        <v>105</v>
      </c>
      <c r="D993" t="s">
        <v>55</v>
      </c>
      <c r="E993" t="s">
        <v>46</v>
      </c>
      <c r="F993" t="s">
        <v>25</v>
      </c>
      <c r="G993">
        <v>4</v>
      </c>
      <c r="H993">
        <v>0</v>
      </c>
      <c r="I993">
        <v>960</v>
      </c>
      <c r="J993">
        <v>420.26</v>
      </c>
      <c r="K993" t="str">
        <f t="shared" si="45"/>
        <v>Office Supplies</v>
      </c>
      <c r="L993" t="str">
        <f t="shared" si="46"/>
        <v>Sept-2025</v>
      </c>
      <c r="M993" s="14">
        <f t="shared" si="47"/>
        <v>45901</v>
      </c>
    </row>
    <row r="994" spans="1:13" x14ac:dyDescent="0.35">
      <c r="A994" t="s">
        <v>1123</v>
      </c>
      <c r="B994" s="2">
        <v>45679</v>
      </c>
      <c r="C994" t="s">
        <v>78</v>
      </c>
      <c r="D994" t="s">
        <v>99</v>
      </c>
      <c r="E994" t="s">
        <v>18</v>
      </c>
      <c r="F994" t="s">
        <v>50</v>
      </c>
      <c r="G994">
        <v>1</v>
      </c>
      <c r="H994">
        <v>0.05</v>
      </c>
      <c r="I994">
        <v>180.5</v>
      </c>
      <c r="J994">
        <v>33.15</v>
      </c>
      <c r="K994" t="str">
        <f t="shared" si="45"/>
        <v>Furniture</v>
      </c>
      <c r="L994" t="str">
        <f t="shared" si="46"/>
        <v>Jan-2025</v>
      </c>
      <c r="M994" s="14">
        <f t="shared" si="47"/>
        <v>45658</v>
      </c>
    </row>
    <row r="995" spans="1:13" x14ac:dyDescent="0.35">
      <c r="A995" t="s">
        <v>1124</v>
      </c>
      <c r="B995" s="2">
        <v>46005</v>
      </c>
      <c r="C995" t="s">
        <v>128</v>
      </c>
      <c r="D995" t="s">
        <v>55</v>
      </c>
      <c r="E995" t="s">
        <v>46</v>
      </c>
      <c r="F995" t="s">
        <v>14</v>
      </c>
      <c r="G995">
        <v>2</v>
      </c>
      <c r="H995">
        <v>0.2</v>
      </c>
      <c r="I995">
        <v>384</v>
      </c>
      <c r="J995">
        <v>143.28</v>
      </c>
      <c r="K995" t="str">
        <f t="shared" si="45"/>
        <v>Office Supplies</v>
      </c>
      <c r="L995" t="str">
        <f t="shared" si="46"/>
        <v>Dec-2025</v>
      </c>
      <c r="M995" s="14">
        <f t="shared" si="47"/>
        <v>45992</v>
      </c>
    </row>
    <row r="996" spans="1:13" x14ac:dyDescent="0.35">
      <c r="A996" t="s">
        <v>1125</v>
      </c>
      <c r="B996" s="2">
        <v>45730</v>
      </c>
      <c r="C996" t="s">
        <v>111</v>
      </c>
      <c r="D996" t="s">
        <v>45</v>
      </c>
      <c r="E996" t="s">
        <v>46</v>
      </c>
      <c r="F996" t="s">
        <v>14</v>
      </c>
      <c r="G996">
        <v>1</v>
      </c>
      <c r="H996">
        <v>0.15</v>
      </c>
      <c r="I996">
        <v>15.3</v>
      </c>
      <c r="J996">
        <v>2.2999999999999998</v>
      </c>
      <c r="K996" t="str">
        <f t="shared" si="45"/>
        <v>Office Supplies</v>
      </c>
      <c r="L996" t="str">
        <f t="shared" si="46"/>
        <v>Mar-2025</v>
      </c>
      <c r="M996" s="14">
        <f t="shared" si="47"/>
        <v>45717</v>
      </c>
    </row>
    <row r="997" spans="1:13" x14ac:dyDescent="0.35">
      <c r="A997" t="s">
        <v>1126</v>
      </c>
      <c r="B997" s="2">
        <v>45782</v>
      </c>
      <c r="C997" t="s">
        <v>217</v>
      </c>
      <c r="D997" t="s">
        <v>17</v>
      </c>
      <c r="E997" t="s">
        <v>18</v>
      </c>
      <c r="F997" t="s">
        <v>25</v>
      </c>
      <c r="G997">
        <v>2</v>
      </c>
      <c r="H997">
        <v>0</v>
      </c>
      <c r="I997">
        <v>420</v>
      </c>
      <c r="J997">
        <v>165.13</v>
      </c>
      <c r="K997" t="str">
        <f t="shared" si="45"/>
        <v>Furniture</v>
      </c>
      <c r="L997" t="str">
        <f t="shared" si="46"/>
        <v>May-2025</v>
      </c>
      <c r="M997" s="14">
        <f t="shared" si="47"/>
        <v>45778</v>
      </c>
    </row>
    <row r="998" spans="1:13" x14ac:dyDescent="0.35">
      <c r="A998" t="s">
        <v>1127</v>
      </c>
      <c r="B998" s="2">
        <v>45707</v>
      </c>
      <c r="C998" t="s">
        <v>80</v>
      </c>
      <c r="D998" t="s">
        <v>45</v>
      </c>
      <c r="E998" t="s">
        <v>46</v>
      </c>
      <c r="F998" t="s">
        <v>14</v>
      </c>
      <c r="G998">
        <v>5</v>
      </c>
      <c r="H998">
        <v>0.05</v>
      </c>
      <c r="I998">
        <v>85.5</v>
      </c>
      <c r="J998">
        <v>14.91</v>
      </c>
      <c r="K998" t="str">
        <f t="shared" si="45"/>
        <v>Office Supplies</v>
      </c>
      <c r="L998" t="str">
        <f t="shared" si="46"/>
        <v>Feb-2025</v>
      </c>
      <c r="M998" s="14">
        <f t="shared" si="47"/>
        <v>45689</v>
      </c>
    </row>
    <row r="999" spans="1:13" x14ac:dyDescent="0.35">
      <c r="A999" t="s">
        <v>1128</v>
      </c>
      <c r="B999" s="2">
        <v>45716</v>
      </c>
      <c r="C999" t="s">
        <v>181</v>
      </c>
      <c r="D999" t="s">
        <v>45</v>
      </c>
      <c r="E999" t="s">
        <v>46</v>
      </c>
      <c r="F999" t="s">
        <v>50</v>
      </c>
      <c r="G999">
        <v>5</v>
      </c>
      <c r="H999">
        <v>0.2</v>
      </c>
      <c r="I999">
        <v>72</v>
      </c>
      <c r="J999">
        <v>27.16</v>
      </c>
      <c r="K999" t="str">
        <f t="shared" si="45"/>
        <v>Office Supplies</v>
      </c>
      <c r="L999" t="str">
        <f t="shared" si="46"/>
        <v>Feb-2025</v>
      </c>
      <c r="M999" s="14">
        <f t="shared" si="47"/>
        <v>45689</v>
      </c>
    </row>
    <row r="1000" spans="1:13" x14ac:dyDescent="0.35">
      <c r="A1000" t="s">
        <v>1129</v>
      </c>
      <c r="B1000" s="2">
        <v>45830</v>
      </c>
      <c r="C1000" t="s">
        <v>278</v>
      </c>
      <c r="D1000" t="s">
        <v>17</v>
      </c>
      <c r="E1000" t="s">
        <v>18</v>
      </c>
      <c r="F1000" t="s">
        <v>22</v>
      </c>
      <c r="G1000">
        <v>4</v>
      </c>
      <c r="H1000">
        <v>0.1</v>
      </c>
      <c r="I1000">
        <v>756</v>
      </c>
      <c r="J1000">
        <v>310.06</v>
      </c>
      <c r="K1000" t="str">
        <f t="shared" si="45"/>
        <v>Furniture</v>
      </c>
      <c r="L1000" t="str">
        <f t="shared" si="46"/>
        <v>Jun-2025</v>
      </c>
      <c r="M1000" s="14">
        <f t="shared" si="47"/>
        <v>45809</v>
      </c>
    </row>
    <row r="1001" spans="1:13" x14ac:dyDescent="0.35">
      <c r="A1001" t="s">
        <v>1130</v>
      </c>
      <c r="B1001" s="2">
        <v>45822</v>
      </c>
      <c r="C1001" t="s">
        <v>80</v>
      </c>
      <c r="D1001" t="s">
        <v>21</v>
      </c>
      <c r="E1001" t="s">
        <v>18</v>
      </c>
      <c r="F1001" t="s">
        <v>14</v>
      </c>
      <c r="G1001">
        <v>1</v>
      </c>
      <c r="H1001">
        <v>0.2</v>
      </c>
      <c r="I1001">
        <v>44</v>
      </c>
      <c r="J1001">
        <v>17.28</v>
      </c>
      <c r="K1001" t="str">
        <f t="shared" si="45"/>
        <v>Furniture</v>
      </c>
      <c r="L1001" t="str">
        <f t="shared" si="46"/>
        <v>Jun-2025</v>
      </c>
      <c r="M1001" s="14">
        <f t="shared" si="47"/>
        <v>45809</v>
      </c>
    </row>
    <row r="1003" spans="1:13" x14ac:dyDescent="0.35">
      <c r="A1003" s="3"/>
    </row>
    <row r="1004" spans="1:13" x14ac:dyDescent="0.35">
      <c r="A1004" s="3"/>
    </row>
    <row r="1005" spans="1:13" x14ac:dyDescent="0.35">
      <c r="A1005" s="3"/>
    </row>
    <row r="1006" spans="1:13" x14ac:dyDescent="0.35">
      <c r="A1006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678D-2FE0-4942-B0B7-2C992F64C6DF}">
  <dimension ref="B7:H90"/>
  <sheetViews>
    <sheetView showGridLines="0" topLeftCell="A11" zoomScale="60" zoomScaleNormal="60" workbookViewId="0">
      <selection activeCell="L14" sqref="L14"/>
    </sheetView>
  </sheetViews>
  <sheetFormatPr defaultRowHeight="14.5" x14ac:dyDescent="0.35"/>
  <cols>
    <col min="2" max="2" width="15.7265625" customWidth="1"/>
    <col min="3" max="3" width="45.26953125" bestFit="1" customWidth="1"/>
    <col min="4" max="4" width="11.81640625" bestFit="1" customWidth="1"/>
    <col min="5" max="5" width="16" customWidth="1"/>
    <col min="6" max="6" width="28" bestFit="1" customWidth="1"/>
    <col min="7" max="7" width="11.81640625" bestFit="1" customWidth="1"/>
    <col min="8" max="8" width="24.08984375" bestFit="1" customWidth="1"/>
    <col min="9" max="9" width="12.08984375" customWidth="1"/>
    <col min="10" max="10" width="13.81640625" customWidth="1"/>
    <col min="11" max="11" width="11.81640625" bestFit="1" customWidth="1"/>
    <col min="12" max="12" width="18.26953125" bestFit="1" customWidth="1"/>
    <col min="13" max="13" width="24.36328125" bestFit="1" customWidth="1"/>
    <col min="14" max="14" width="28.26953125" bestFit="1" customWidth="1"/>
  </cols>
  <sheetData>
    <row r="7" spans="2:8" x14ac:dyDescent="0.35">
      <c r="B7" s="35" t="s">
        <v>1160</v>
      </c>
      <c r="C7" s="36" t="s">
        <v>1142</v>
      </c>
      <c r="E7" s="3"/>
      <c r="H7" s="3"/>
    </row>
    <row r="8" spans="2:8" x14ac:dyDescent="0.35">
      <c r="B8" s="3" t="s">
        <v>1138</v>
      </c>
      <c r="C8" s="13">
        <f>SUM('Clean Sales Data'!I:I)</f>
        <v>787092.90000000037</v>
      </c>
    </row>
    <row r="9" spans="2:8" x14ac:dyDescent="0.35">
      <c r="B9" s="3" t="s">
        <v>1139</v>
      </c>
      <c r="C9" s="12">
        <f>SUM('Clean Sales Data'!J:J)</f>
        <v>220965.28000000032</v>
      </c>
    </row>
    <row r="10" spans="2:8" x14ac:dyDescent="0.35">
      <c r="B10" s="3" t="s">
        <v>1140</v>
      </c>
      <c r="C10" s="12">
        <f>SUM('Clean Sales Data'!G:G)</f>
        <v>3060</v>
      </c>
    </row>
    <row r="11" spans="2:8" x14ac:dyDescent="0.35">
      <c r="B11" s="3" t="s">
        <v>1141</v>
      </c>
      <c r="C11" s="17">
        <f>C9/C8</f>
        <v>0.28073595886838798</v>
      </c>
    </row>
    <row r="12" spans="2:8" x14ac:dyDescent="0.35">
      <c r="B12" s="3"/>
      <c r="C12" s="7"/>
    </row>
    <row r="13" spans="2:8" x14ac:dyDescent="0.35">
      <c r="C13" s="7"/>
    </row>
    <row r="14" spans="2:8" x14ac:dyDescent="0.35">
      <c r="B14" s="3" t="s">
        <v>1136</v>
      </c>
      <c r="E14" s="3" t="s">
        <v>1161</v>
      </c>
    </row>
    <row r="15" spans="2:8" x14ac:dyDescent="0.35">
      <c r="B15" s="4" t="s">
        <v>1131</v>
      </c>
      <c r="C15" t="s">
        <v>1133</v>
      </c>
      <c r="E15" s="4" t="s">
        <v>1131</v>
      </c>
      <c r="F15" s="18" t="s">
        <v>1133</v>
      </c>
      <c r="G15" t="s">
        <v>1134</v>
      </c>
    </row>
    <row r="16" spans="2:8" x14ac:dyDescent="0.35">
      <c r="B16" s="5" t="s">
        <v>18</v>
      </c>
      <c r="C16" s="6">
        <v>158069.5</v>
      </c>
      <c r="E16" s="5" t="s">
        <v>25</v>
      </c>
      <c r="F16" s="6">
        <v>175969.65</v>
      </c>
      <c r="G16" s="6">
        <v>49281.12999999999</v>
      </c>
    </row>
    <row r="17" spans="2:7" x14ac:dyDescent="0.35">
      <c r="B17" s="5" t="s">
        <v>46</v>
      </c>
      <c r="C17" s="6">
        <v>67298.400000000009</v>
      </c>
      <c r="E17" s="5" t="s">
        <v>14</v>
      </c>
      <c r="F17" s="6">
        <v>182652.59999999998</v>
      </c>
      <c r="G17" s="6">
        <v>49657.910000000011</v>
      </c>
    </row>
    <row r="18" spans="2:7" x14ac:dyDescent="0.35">
      <c r="B18" s="5" t="s">
        <v>13</v>
      </c>
      <c r="C18" s="6">
        <v>561725</v>
      </c>
      <c r="E18" s="5" t="s">
        <v>22</v>
      </c>
      <c r="F18" s="6">
        <v>200268.89999999997</v>
      </c>
      <c r="G18" s="6">
        <v>59950.920000000042</v>
      </c>
    </row>
    <row r="19" spans="2:7" x14ac:dyDescent="0.35">
      <c r="B19" s="5" t="s">
        <v>1132</v>
      </c>
      <c r="C19" s="6">
        <v>787092.9</v>
      </c>
      <c r="E19" s="5" t="s">
        <v>50</v>
      </c>
      <c r="F19" s="6">
        <v>228201.75000000003</v>
      </c>
      <c r="G19" s="6">
        <v>62075.319999999985</v>
      </c>
    </row>
    <row r="20" spans="2:7" x14ac:dyDescent="0.35">
      <c r="E20" s="5" t="s">
        <v>1132</v>
      </c>
      <c r="F20" s="6">
        <v>787092.89999999991</v>
      </c>
      <c r="G20" s="6">
        <v>220965.28000000003</v>
      </c>
    </row>
    <row r="21" spans="2:7" x14ac:dyDescent="0.35">
      <c r="B21" s="8"/>
    </row>
    <row r="23" spans="2:7" x14ac:dyDescent="0.35">
      <c r="B23" s="8" t="s">
        <v>1162</v>
      </c>
      <c r="E23" s="3" t="s">
        <v>1159</v>
      </c>
    </row>
    <row r="24" spans="2:7" x14ac:dyDescent="0.35">
      <c r="B24" s="4" t="s">
        <v>1131</v>
      </c>
      <c r="C24" s="34" t="s">
        <v>1134</v>
      </c>
      <c r="E24" s="15" t="s">
        <v>1131</v>
      </c>
      <c r="F24" s="19" t="s">
        <v>1133</v>
      </c>
      <c r="G24" s="3" t="s">
        <v>1134</v>
      </c>
    </row>
    <row r="25" spans="2:7" x14ac:dyDescent="0.35">
      <c r="B25" s="5" t="s">
        <v>67</v>
      </c>
      <c r="C25" s="6">
        <v>67389.740000000005</v>
      </c>
      <c r="E25" s="8" t="s">
        <v>1147</v>
      </c>
      <c r="F25" s="16">
        <v>61244.3</v>
      </c>
      <c r="G25" s="16">
        <v>16352.990000000002</v>
      </c>
    </row>
    <row r="26" spans="2:7" x14ac:dyDescent="0.35">
      <c r="B26" s="5" t="s">
        <v>35</v>
      </c>
      <c r="C26" s="6">
        <v>58833.869999999974</v>
      </c>
      <c r="E26" s="8" t="s">
        <v>1148</v>
      </c>
      <c r="F26" s="16">
        <v>68517.45</v>
      </c>
      <c r="G26" s="16">
        <v>17988.48</v>
      </c>
    </row>
    <row r="27" spans="2:7" x14ac:dyDescent="0.35">
      <c r="B27" s="5" t="s">
        <v>38</v>
      </c>
      <c r="C27" s="6">
        <v>22520.160000000007</v>
      </c>
      <c r="E27" s="8" t="s">
        <v>1149</v>
      </c>
      <c r="F27" s="16">
        <v>55961.9</v>
      </c>
      <c r="G27" s="16">
        <v>16411.089999999997</v>
      </c>
    </row>
    <row r="28" spans="2:7" x14ac:dyDescent="0.35">
      <c r="B28" s="5" t="s">
        <v>28</v>
      </c>
      <c r="C28" s="6">
        <v>17445.89</v>
      </c>
      <c r="E28" s="8" t="s">
        <v>1150</v>
      </c>
      <c r="F28" s="16">
        <v>73609.7</v>
      </c>
      <c r="G28" s="16">
        <v>20339.519999999997</v>
      </c>
    </row>
    <row r="29" spans="2:7" x14ac:dyDescent="0.35">
      <c r="B29" s="5" t="s">
        <v>55</v>
      </c>
      <c r="C29" s="6">
        <v>15762.929999999995</v>
      </c>
      <c r="E29" s="8" t="s">
        <v>1151</v>
      </c>
      <c r="F29" s="16">
        <v>66524.05</v>
      </c>
      <c r="G29" s="16">
        <v>17487.410000000007</v>
      </c>
    </row>
    <row r="30" spans="2:7" x14ac:dyDescent="0.35">
      <c r="B30" s="5" t="s">
        <v>17</v>
      </c>
      <c r="C30" s="6">
        <v>15542.210000000001</v>
      </c>
      <c r="E30" s="8" t="s">
        <v>1152</v>
      </c>
      <c r="F30" s="16">
        <v>77887.700000000012</v>
      </c>
      <c r="G30" s="16">
        <v>23709.399999999998</v>
      </c>
    </row>
    <row r="31" spans="2:7" x14ac:dyDescent="0.35">
      <c r="B31" s="5" t="s">
        <v>99</v>
      </c>
      <c r="C31" s="6">
        <v>10117.32</v>
      </c>
      <c r="E31" s="8" t="s">
        <v>1153</v>
      </c>
      <c r="F31" s="16">
        <v>55649.9</v>
      </c>
      <c r="G31" s="16">
        <v>17919.600000000002</v>
      </c>
    </row>
    <row r="32" spans="2:7" x14ac:dyDescent="0.35">
      <c r="B32" s="5" t="s">
        <v>49</v>
      </c>
      <c r="C32" s="6">
        <v>4212.13</v>
      </c>
      <c r="E32" s="8" t="s">
        <v>1154</v>
      </c>
      <c r="F32" s="16">
        <v>73392.899999999994</v>
      </c>
      <c r="G32" s="16">
        <v>17997.03999999999</v>
      </c>
    </row>
    <row r="33" spans="2:8" x14ac:dyDescent="0.35">
      <c r="B33" s="5" t="s">
        <v>21</v>
      </c>
      <c r="C33" s="6">
        <v>3536.03</v>
      </c>
      <c r="E33" s="8" t="s">
        <v>1155</v>
      </c>
      <c r="F33" s="16">
        <v>53866.55</v>
      </c>
      <c r="G33" s="16">
        <v>15732.320000000002</v>
      </c>
    </row>
    <row r="34" spans="2:8" x14ac:dyDescent="0.35">
      <c r="B34" s="5" t="s">
        <v>12</v>
      </c>
      <c r="C34" s="6">
        <v>2643.6999999999994</v>
      </c>
      <c r="E34" s="8" t="s">
        <v>1156</v>
      </c>
      <c r="F34" s="16">
        <v>61921.149999999994</v>
      </c>
      <c r="G34" s="16">
        <v>19056.680000000008</v>
      </c>
    </row>
    <row r="35" spans="2:8" x14ac:dyDescent="0.35">
      <c r="B35" s="5" t="s">
        <v>83</v>
      </c>
      <c r="C35" s="6">
        <v>1625.8400000000004</v>
      </c>
      <c r="E35" s="8" t="s">
        <v>1157</v>
      </c>
      <c r="F35" s="16">
        <v>60570.25</v>
      </c>
      <c r="G35" s="16">
        <v>15784.679999999995</v>
      </c>
    </row>
    <row r="36" spans="2:8" x14ac:dyDescent="0.35">
      <c r="B36" s="5" t="s">
        <v>45</v>
      </c>
      <c r="C36" s="6">
        <v>1335.46</v>
      </c>
      <c r="E36" s="8" t="s">
        <v>1158</v>
      </c>
      <c r="F36" s="16">
        <v>77947.049999999988</v>
      </c>
      <c r="G36" s="16">
        <v>22186.07</v>
      </c>
    </row>
    <row r="37" spans="2:8" x14ac:dyDescent="0.35">
      <c r="B37" s="5" t="s">
        <v>1132</v>
      </c>
      <c r="C37" s="6">
        <v>220965.28</v>
      </c>
      <c r="E37" s="8" t="s">
        <v>1132</v>
      </c>
      <c r="F37" s="16">
        <v>787092.90000000014</v>
      </c>
      <c r="G37" s="16">
        <v>220965.27999999997</v>
      </c>
    </row>
    <row r="40" spans="2:8" x14ac:dyDescent="0.35">
      <c r="B40" s="3" t="s">
        <v>1137</v>
      </c>
      <c r="E40" s="3" t="s">
        <v>1163</v>
      </c>
    </row>
    <row r="41" spans="2:8" x14ac:dyDescent="0.35">
      <c r="B41" s="4" t="s">
        <v>1131</v>
      </c>
      <c r="C41" t="s">
        <v>1135</v>
      </c>
      <c r="E41" s="4" t="s">
        <v>1131</v>
      </c>
      <c r="F41" s="18" t="s">
        <v>1133</v>
      </c>
      <c r="G41" t="s">
        <v>1134</v>
      </c>
      <c r="H41" s="11" t="s">
        <v>1143</v>
      </c>
    </row>
    <row r="42" spans="2:8" x14ac:dyDescent="0.35">
      <c r="B42" s="5" t="s">
        <v>17</v>
      </c>
      <c r="C42" s="7">
        <v>0.30406953085260402</v>
      </c>
      <c r="E42" s="5" t="s">
        <v>99</v>
      </c>
      <c r="F42" s="7">
        <v>4.5671864147167382E-2</v>
      </c>
      <c r="G42" s="7">
        <v>4.5786921818667621E-2</v>
      </c>
      <c r="H42" s="7">
        <f t="shared" ref="H42:H48" si="0">G42-F42</f>
        <v>1.150576715002391E-4</v>
      </c>
    </row>
    <row r="43" spans="2:8" x14ac:dyDescent="0.35">
      <c r="B43" s="5" t="s">
        <v>45</v>
      </c>
      <c r="C43" s="7">
        <v>0.30400418857702205</v>
      </c>
      <c r="E43" s="5" t="s">
        <v>17</v>
      </c>
      <c r="F43" s="7">
        <v>6.4940237677153484E-2</v>
      </c>
      <c r="G43" s="7">
        <v>7.0337792435083021E-2</v>
      </c>
      <c r="H43" s="7">
        <f t="shared" si="0"/>
        <v>5.3975547579295374E-3</v>
      </c>
    </row>
    <row r="44" spans="2:8" x14ac:dyDescent="0.35">
      <c r="B44" s="5" t="s">
        <v>21</v>
      </c>
      <c r="C44" s="7">
        <v>0.30176697744874231</v>
      </c>
      <c r="E44" s="5" t="s">
        <v>21</v>
      </c>
      <c r="F44" s="7">
        <v>1.4887378605498791E-2</v>
      </c>
      <c r="G44" s="7">
        <v>1.6002649828063487E-2</v>
      </c>
      <c r="H44" s="7">
        <f t="shared" si="0"/>
        <v>1.1152712225646951E-3</v>
      </c>
    </row>
    <row r="45" spans="2:8" x14ac:dyDescent="0.35">
      <c r="B45" s="5" t="s">
        <v>12</v>
      </c>
      <c r="C45" s="7">
        <v>0.29385055714563585</v>
      </c>
      <c r="E45" s="5" t="s">
        <v>83</v>
      </c>
      <c r="F45" s="7">
        <v>7.4419423679212456E-3</v>
      </c>
      <c r="G45" s="7">
        <v>7.3578980371938997E-3</v>
      </c>
      <c r="H45" s="7">
        <f t="shared" si="0"/>
        <v>-8.4044330727345816E-5</v>
      </c>
    </row>
    <row r="46" spans="2:8" x14ac:dyDescent="0.35">
      <c r="B46" s="5" t="s">
        <v>28</v>
      </c>
      <c r="C46" s="7">
        <v>0.29355359246171964</v>
      </c>
      <c r="E46" s="5" t="s">
        <v>49</v>
      </c>
      <c r="F46" s="7">
        <v>1.8347262438779464E-2</v>
      </c>
      <c r="G46" s="7">
        <v>1.9062406546404034E-2</v>
      </c>
      <c r="H46" s="7">
        <f t="shared" si="0"/>
        <v>7.1514410762456987E-4</v>
      </c>
    </row>
    <row r="47" spans="2:8" x14ac:dyDescent="0.35">
      <c r="B47" s="5" t="s">
        <v>49</v>
      </c>
      <c r="C47" s="7">
        <v>0.29167855411675092</v>
      </c>
      <c r="E47" s="5" t="s">
        <v>67</v>
      </c>
      <c r="F47" s="7">
        <v>0.31803107358737448</v>
      </c>
      <c r="G47" s="7">
        <v>0.30497886364771881</v>
      </c>
      <c r="H47" s="7">
        <f t="shared" si="0"/>
        <v>-1.3052209939655668E-2</v>
      </c>
    </row>
    <row r="48" spans="2:8" x14ac:dyDescent="0.35">
      <c r="B48" s="5" t="s">
        <v>35</v>
      </c>
      <c r="C48" s="7">
        <v>0.28378974025034354</v>
      </c>
      <c r="E48" s="5" t="s">
        <v>38</v>
      </c>
      <c r="F48" s="7">
        <v>0.10229033955204017</v>
      </c>
      <c r="G48" s="7">
        <v>0.10191718807588236</v>
      </c>
      <c r="H48" s="7">
        <f t="shared" si="0"/>
        <v>-3.7315147615780975E-4</v>
      </c>
    </row>
    <row r="49" spans="2:8" x14ac:dyDescent="0.35">
      <c r="B49" s="5" t="s">
        <v>99</v>
      </c>
      <c r="C49" s="7">
        <v>0.28144319572716142</v>
      </c>
      <c r="E49" s="5" t="s">
        <v>45</v>
      </c>
      <c r="F49" s="7">
        <v>5.5811709138781449E-3</v>
      </c>
      <c r="G49" s="7">
        <v>6.0437549283760784E-3</v>
      </c>
      <c r="H49" s="7">
        <f>G49 -F49</f>
        <v>4.6258401449793349E-4</v>
      </c>
    </row>
    <row r="50" spans="2:8" x14ac:dyDescent="0.35">
      <c r="B50" s="5" t="s">
        <v>38</v>
      </c>
      <c r="C50" s="7">
        <v>0.2797118441971384</v>
      </c>
      <c r="E50" s="5" t="s">
        <v>28</v>
      </c>
      <c r="F50" s="7">
        <v>7.5505699517807875E-2</v>
      </c>
      <c r="G50" s="7">
        <v>7.8953082583833989E-2</v>
      </c>
      <c r="H50" s="7">
        <f>G50-F50</f>
        <v>3.4473830660261134E-3</v>
      </c>
    </row>
    <row r="51" spans="2:8" x14ac:dyDescent="0.35">
      <c r="B51" s="5" t="s">
        <v>83</v>
      </c>
      <c r="C51" s="7">
        <v>0.27756551429790871</v>
      </c>
      <c r="E51" s="5" t="s">
        <v>55</v>
      </c>
      <c r="F51" s="7">
        <v>7.2479373146422735E-2</v>
      </c>
      <c r="G51" s="7">
        <v>7.1336682396438006E-2</v>
      </c>
      <c r="H51" s="7">
        <f>G51-F51</f>
        <v>-1.1426907499847289E-3</v>
      </c>
    </row>
    <row r="52" spans="2:8" x14ac:dyDescent="0.35">
      <c r="B52" s="5" t="s">
        <v>55</v>
      </c>
      <c r="C52" s="7">
        <v>0.27630994951619681</v>
      </c>
      <c r="D52" s="20"/>
      <c r="E52" s="5" t="s">
        <v>35</v>
      </c>
      <c r="F52" s="7">
        <v>0.26339330465311017</v>
      </c>
      <c r="G52" s="7">
        <v>0.26625843661954479</v>
      </c>
      <c r="H52" s="7">
        <f>G52-F52</f>
        <v>2.8651319664346198E-3</v>
      </c>
    </row>
    <row r="53" spans="2:8" x14ac:dyDescent="0.35">
      <c r="B53" s="5" t="s">
        <v>67</v>
      </c>
      <c r="C53" s="7">
        <v>0.26921436561201662</v>
      </c>
      <c r="E53" s="5" t="s">
        <v>12</v>
      </c>
      <c r="F53" s="7">
        <v>1.1430353392846003E-2</v>
      </c>
      <c r="G53" s="7">
        <v>1.1964323082793819E-2</v>
      </c>
      <c r="H53" s="10">
        <f>G53-F53</f>
        <v>5.3396968994781635E-4</v>
      </c>
    </row>
    <row r="54" spans="2:8" x14ac:dyDescent="0.35">
      <c r="B54" s="5" t="s">
        <v>1132</v>
      </c>
      <c r="C54" s="7">
        <v>0.28073595886838765</v>
      </c>
      <c r="E54" s="5" t="s">
        <v>1132</v>
      </c>
      <c r="F54" s="7">
        <v>1</v>
      </c>
      <c r="G54" s="7">
        <v>1</v>
      </c>
      <c r="H54" s="9">
        <f>SUM(H42:H53)</f>
        <v>-2.7755575615628914E-17</v>
      </c>
    </row>
    <row r="55" spans="2:8" x14ac:dyDescent="0.35">
      <c r="E55" s="7"/>
    </row>
    <row r="56" spans="2:8" x14ac:dyDescent="0.35">
      <c r="E56" s="7"/>
    </row>
    <row r="57" spans="2:8" x14ac:dyDescent="0.35">
      <c r="E57" s="7"/>
    </row>
    <row r="58" spans="2:8" x14ac:dyDescent="0.35">
      <c r="E58" s="21"/>
    </row>
    <row r="61" spans="2:8" x14ac:dyDescent="0.35">
      <c r="B61" s="3"/>
    </row>
    <row r="77" spans="2:5" x14ac:dyDescent="0.35">
      <c r="B77" s="4" t="s">
        <v>1131</v>
      </c>
      <c r="C77" s="18" t="s">
        <v>1133</v>
      </c>
      <c r="D77" t="s">
        <v>1134</v>
      </c>
      <c r="E77" s="11" t="s">
        <v>1143</v>
      </c>
    </row>
    <row r="78" spans="2:5" x14ac:dyDescent="0.35">
      <c r="B78" s="5" t="s">
        <v>99</v>
      </c>
      <c r="C78" s="7">
        <v>4.5671864147167382E-2</v>
      </c>
      <c r="D78" s="7">
        <v>4.5786921818667621E-2</v>
      </c>
      <c r="E78" s="7">
        <f t="shared" ref="E78:E84" si="1">D78-C78</f>
        <v>1.150576715002391E-4</v>
      </c>
    </row>
    <row r="79" spans="2:5" x14ac:dyDescent="0.35">
      <c r="B79" s="5" t="s">
        <v>17</v>
      </c>
      <c r="C79" s="7">
        <v>6.4940237677153484E-2</v>
      </c>
      <c r="D79" s="7">
        <v>7.0337792435083021E-2</v>
      </c>
      <c r="E79" s="7">
        <f t="shared" si="1"/>
        <v>5.3975547579295374E-3</v>
      </c>
    </row>
    <row r="80" spans="2:5" x14ac:dyDescent="0.35">
      <c r="B80" s="5" t="s">
        <v>21</v>
      </c>
      <c r="C80" s="7">
        <v>1.4887378605498791E-2</v>
      </c>
      <c r="D80" s="7">
        <v>1.6002649828063487E-2</v>
      </c>
      <c r="E80" s="7">
        <f t="shared" si="1"/>
        <v>1.1152712225646951E-3</v>
      </c>
    </row>
    <row r="81" spans="2:5" x14ac:dyDescent="0.35">
      <c r="B81" s="5" t="s">
        <v>83</v>
      </c>
      <c r="C81" s="7">
        <v>7.4419423679212456E-3</v>
      </c>
      <c r="D81" s="7">
        <v>7.3578980371938997E-3</v>
      </c>
      <c r="E81" s="7">
        <f t="shared" si="1"/>
        <v>-8.4044330727345816E-5</v>
      </c>
    </row>
    <row r="82" spans="2:5" x14ac:dyDescent="0.35">
      <c r="B82" s="5" t="s">
        <v>49</v>
      </c>
      <c r="C82" s="7">
        <v>1.8347262438779464E-2</v>
      </c>
      <c r="D82" s="7">
        <v>1.9062406546404034E-2</v>
      </c>
      <c r="E82" s="7">
        <f t="shared" si="1"/>
        <v>7.1514410762456987E-4</v>
      </c>
    </row>
    <row r="83" spans="2:5" x14ac:dyDescent="0.35">
      <c r="B83" s="5" t="s">
        <v>67</v>
      </c>
      <c r="C83" s="7">
        <v>0.31803107358737448</v>
      </c>
      <c r="D83" s="7">
        <v>0.30497886364771881</v>
      </c>
      <c r="E83" s="7">
        <f t="shared" si="1"/>
        <v>-1.3052209939655668E-2</v>
      </c>
    </row>
    <row r="84" spans="2:5" x14ac:dyDescent="0.35">
      <c r="B84" s="5" t="s">
        <v>38</v>
      </c>
      <c r="C84" s="7">
        <v>0.10229033955204017</v>
      </c>
      <c r="D84" s="7">
        <v>0.10191718807588236</v>
      </c>
      <c r="E84" s="7">
        <f t="shared" si="1"/>
        <v>-3.7315147615780975E-4</v>
      </c>
    </row>
    <row r="85" spans="2:5" x14ac:dyDescent="0.35">
      <c r="B85" s="5" t="s">
        <v>45</v>
      </c>
      <c r="C85" s="7">
        <v>5.5811709138781449E-3</v>
      </c>
      <c r="D85" s="7">
        <v>6.0437549283760784E-3</v>
      </c>
      <c r="E85" s="7">
        <f>D85 -C85</f>
        <v>4.6258401449793349E-4</v>
      </c>
    </row>
    <row r="86" spans="2:5" x14ac:dyDescent="0.35">
      <c r="B86" s="5" t="s">
        <v>28</v>
      </c>
      <c r="C86" s="7">
        <v>7.5505699517807875E-2</v>
      </c>
      <c r="D86" s="7">
        <v>7.8953082583833989E-2</v>
      </c>
      <c r="E86" s="7">
        <f>D86-C86</f>
        <v>3.4473830660261134E-3</v>
      </c>
    </row>
    <row r="87" spans="2:5" x14ac:dyDescent="0.35">
      <c r="B87" s="5" t="s">
        <v>55</v>
      </c>
      <c r="C87" s="7">
        <v>7.2479373146422735E-2</v>
      </c>
      <c r="D87" s="7">
        <v>7.1336682396438006E-2</v>
      </c>
      <c r="E87" s="7">
        <f>D87-C87</f>
        <v>-1.1426907499847289E-3</v>
      </c>
    </row>
    <row r="88" spans="2:5" x14ac:dyDescent="0.35">
      <c r="B88" s="5" t="s">
        <v>35</v>
      </c>
      <c r="C88" s="7">
        <v>0.26339330465311017</v>
      </c>
      <c r="D88" s="7">
        <v>0.26625843661954479</v>
      </c>
      <c r="E88" s="7">
        <f>D88-C88</f>
        <v>2.8651319664346198E-3</v>
      </c>
    </row>
    <row r="89" spans="2:5" x14ac:dyDescent="0.35">
      <c r="B89" s="5" t="s">
        <v>12</v>
      </c>
      <c r="C89" s="7">
        <v>1.1430353392846003E-2</v>
      </c>
      <c r="D89" s="7">
        <v>1.1964323082793819E-2</v>
      </c>
      <c r="E89" s="10">
        <f>D89-C89</f>
        <v>5.3396968994781635E-4</v>
      </c>
    </row>
    <row r="90" spans="2:5" x14ac:dyDescent="0.35">
      <c r="B90" s="5" t="s">
        <v>1132</v>
      </c>
      <c r="C90" s="7">
        <v>1</v>
      </c>
      <c r="D90" s="7">
        <v>1</v>
      </c>
      <c r="E90" s="9">
        <f>SUM(E78:E89)</f>
        <v>-2.7755575615628914E-17</v>
      </c>
    </row>
  </sheetData>
  <phoneticPr fontId="3" type="noConversion"/>
  <pageMargins left="0.7" right="0.7" top="0.75" bottom="0.75" header="0.3" footer="0.3"/>
  <pageSetup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6E46-777E-427E-AFBF-E90BE0A7DBE0}">
  <dimension ref="A7:J8"/>
  <sheetViews>
    <sheetView showGridLines="0" tabSelected="1" zoomScale="70" zoomScaleNormal="70" workbookViewId="0">
      <selection activeCell="Q42" sqref="Q42"/>
    </sheetView>
  </sheetViews>
  <sheetFormatPr defaultRowHeight="14.5" x14ac:dyDescent="0.35"/>
  <cols>
    <col min="1" max="1" width="12.08984375" style="31" bestFit="1" customWidth="1"/>
    <col min="2" max="2" width="11.54296875" style="31" customWidth="1"/>
    <col min="3" max="3" width="14.36328125" style="31" customWidth="1"/>
    <col min="4" max="4" width="15.26953125" style="33" bestFit="1" customWidth="1"/>
    <col min="5" max="5" width="14.1796875" style="31" customWidth="1"/>
    <col min="6" max="6" width="15.7265625" style="31" bestFit="1" customWidth="1"/>
    <col min="7" max="7" width="13.6328125" style="31" customWidth="1"/>
    <col min="8" max="8" width="14.36328125" style="31" bestFit="1" customWidth="1"/>
    <col min="9" max="9" width="8.7265625" style="31"/>
    <col min="10" max="10" width="13.7265625" style="31" bestFit="1" customWidth="1"/>
    <col min="11" max="16384" width="8.7265625" style="31"/>
  </cols>
  <sheetData>
    <row r="7" spans="1:10" s="24" customFormat="1" x14ac:dyDescent="0.35">
      <c r="A7" s="22"/>
      <c r="B7" s="22"/>
      <c r="C7" s="22"/>
      <c r="D7" s="23"/>
      <c r="E7" s="37" t="s">
        <v>1138</v>
      </c>
      <c r="F7" s="37" t="s">
        <v>1139</v>
      </c>
      <c r="G7" s="37" t="s">
        <v>1140</v>
      </c>
      <c r="H7" s="37" t="s">
        <v>1141</v>
      </c>
      <c r="J7" s="22"/>
    </row>
    <row r="8" spans="1:10" x14ac:dyDescent="0.35">
      <c r="A8" s="25"/>
      <c r="B8" s="25"/>
      <c r="C8" s="26"/>
      <c r="D8" s="23"/>
      <c r="E8" s="27">
        <f>Analysis!C8</f>
        <v>787092.90000000037</v>
      </c>
      <c r="F8" s="28">
        <f>Analysis!C9</f>
        <v>220965.28000000032</v>
      </c>
      <c r="G8" s="29">
        <f>Analysis!C10</f>
        <v>3060</v>
      </c>
      <c r="H8" s="30">
        <f>Analysis!C11</f>
        <v>0.28073595886838798</v>
      </c>
      <c r="J8" s="3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Clean Sales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Qadeer</cp:lastModifiedBy>
  <dcterms:created xsi:type="dcterms:W3CDTF">2026-08-28T17:58:33Z</dcterms:created>
  <dcterms:modified xsi:type="dcterms:W3CDTF">2026-09-15T16:01:31Z</dcterms:modified>
</cp:coreProperties>
</file>